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e77c21ff3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vity" sheetId="1" r:id="R22c54f0a2d2c4e26"/>
    <x:sheet xmlns:r="http://schemas.openxmlformats.org/officeDocument/2006/relationships" name="Condition Results" sheetId="2" r:id="R630159d766684a97"/>
    <x:sheet xmlns:r="http://schemas.openxmlformats.org/officeDocument/2006/relationships" name="QC Diagnostics" sheetId="3" r:id="R96d43bc812c747ad"/>
    <x:sheet xmlns:r="http://schemas.openxmlformats.org/officeDocument/2006/relationships" name="PMF Profiles" sheetId="4" r:id="R544e02c04e194094"/>
    <x:sheet xmlns:r="http://schemas.openxmlformats.org/officeDocument/2006/relationships" name="Parameters" sheetId="5" r:id="R6a0a34e5be5a4f83"/>
    <x:sheet xmlns:r="http://schemas.openxmlformats.org/officeDocument/2006/relationships" name="Provenance" sheetId="6" r:id="R311e0a860951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"/>
    <x:numFmt numFmtId="202" formatCode="0.000000000000"/>
    <x:numFmt numFmtId="203" formatCode="0.0000"/>
    <x:numFmt numFmtId="204" formatCode="0.000000"/>
    <x:numFmt numFmtId="205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5">
    <x:xf numFmtId="0" fontId="0" fillId="0" borderId="0" xfId="0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3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5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color rgb="FF005B96"/>
      </x:font>
      <x:fill>
        <x:patternFill patternType="solid">
          <x:bgColor rgb="FFD9EAF7"/>
        </x:patternFill>
      </x:fill>
    </x:dxf>
    <x:dxf>
      <x:font>
        <x:color rgb="FF9C41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c7bb05e8e4239" /><Relationship Type="http://schemas.openxmlformats.org/officeDocument/2006/relationships/theme" Target="/xl/theme/theme1.xml" Id="R139e85bf83dc4576" /><Relationship Type="http://schemas.openxmlformats.org/officeDocument/2006/relationships/sharedStrings" Target="/xl/sharedStrings.xml" Id="Rbaa3340d3e5d4b1e" /><Relationship Type="http://schemas.openxmlformats.org/officeDocument/2006/relationships/worksheet" Target="/xl/worksheets/sheet1.xml" Id="R22c54f0a2d2c4e26" /><Relationship Type="http://schemas.openxmlformats.org/officeDocument/2006/relationships/worksheet" Target="/xl/worksheets/sheet2.xml" Id="R630159d766684a97" /><Relationship Type="http://schemas.openxmlformats.org/officeDocument/2006/relationships/worksheet" Target="/xl/worksheets/sheet3.xml" Id="R96d43bc812c747ad" /><Relationship Type="http://schemas.openxmlformats.org/officeDocument/2006/relationships/worksheet" Target="/xl/worksheets/sheet4.xml" Id="R544e02c04e194094" /><Relationship Type="http://schemas.openxmlformats.org/officeDocument/2006/relationships/worksheet" Target="/xl/worksheets/sheet5.xml" Id="R6a0a34e5be5a4f83" /><Relationship Type="http://schemas.openxmlformats.org/officeDocument/2006/relationships/worksheet" Target="/xl/worksheets/sheet6.xml" Id="R311e0a860951484a" /></Relationships>
</file>

<file path=xl/tables/table1.xml><?xml version="1.0" encoding="utf-8"?>
<x:table xmlns:x="http://schemas.openxmlformats.org/spreadsheetml/2006/main" id="1" name="SelectivityTable" displayName="SelectivityTable" ref="A1:I9" headerRowCount="1" totalsRowCount="0" totalsRowShown="0">
  <x:autoFilter ref="A1:I9"/>
  <x:tableColumns count="9">
    <x:tableColumn id="1" name="Candidate"/>
    <x:tableColumn id="2" name="ΔG Li (kJ/mol)"/>
    <x:tableColumn id="3" name="Bootstrap SD Li (kJ/mol)"/>
    <x:tableColumn id="4" name="ΔG Na (kJ/mol)"/>
    <x:tableColumn id="5" name="Bootstrap SD Na (kJ/mol)"/>
    <x:tableColumn id="6" name="ΔΔG Li−Na (kJ/mol)"/>
    <x:tableColumn id="7" name="Propagated SD (kJ/mol)"/>
    <x:tableColumn id="8" name="Nominal preference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ResultsTable" displayName="ConditionResultsTable" ref="A1:M17" headerRowCount="1" totalsRowCount="0" totalsRowShown="0">
  <x:autoFilter ref="A1:M17"/>
  <x:tableColumns count="13">
    <x:tableColumn id="1" name="Candidate"/>
    <x:tableColumn id="2" name="Condition"/>
    <x:tableColumn id="3" name="ΔG (kJ/mol)"/>
    <x:tableColumn id="4" name="Bootstrap SD (kJ/mol)"/>
    <x:tableColumn id="5" name="Endpoint span (kJ/mol)"/>
    <x:tableColumn id="6" name="Early−late difference (kJ/mol)"/>
    <x:tableColumn id="7" name="Burn-in max shift (kJ/mol)"/>
    <x:tableColumn id="8" name="Histogram min support"/>
    <x:tableColumn id="9" name="Histogram weak bins"/>
    <x:tableColumn id="10" name="IACT min (ps)"/>
    <x:tableColumn id="11" name="IACT median (ps)"/>
    <x:tableColumn id="12" name="IACT max (ps)"/>
    <x:tableColumn id="13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CDiagnosticsTable" displayName="QCDiagnosticsTable" ref="A1:O9" headerRowCount="1" totalsRowCount="0" totalsRowShown="0">
  <x:autoFilter ref="A1:O9"/>
  <x:tableColumns count="15">
    <x:tableColumn id="1" name="Candidate"/>
    <x:tableColumn id="2" name="Status"/>
    <x:tableColumn id="3" name="Temperature (K)"/>
    <x:tableColumn id="4" name="ΔΔG"/>
    <x:tableColumn id="5" name="Propagated SD"/>
    <x:tableColumn id="6" name="Endpoint span Li"/>
    <x:tableColumn id="7" name="Endpoint span Na"/>
    <x:tableColumn id="8" name="Early−late Li"/>
    <x:tableColumn id="9" name="Early−late Na"/>
    <x:tableColumn id="10" name="Burn-in shift Li"/>
    <x:tableColumn id="11" name="Burn-in shift Na"/>
    <x:tableColumn id="12" name="Histogram support Li"/>
    <x:tableColumn id="13" name="Histogram support Na"/>
    <x:tableColumn id="14" name="Max IACT Li"/>
    <x:tableColumn id="15" name="Max IACT N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PMFProfilesTable" displayName="PMFProfilesTable" ref="A1:H3201" headerRowCount="1" totalsRowCount="0" totalsRowShown="0">
  <x:autoFilter ref="A1:H3201"/>
  <x:tableColumns count="8">
    <x:tableColumn id="1" name="Candidate"/>
    <x:tableColumn id="2" name="Condition"/>
    <x:tableColumn id="3" name="Distance (nm)"/>
    <x:tableColumn id="4" name="Raw PMF (kJ/mol)"/>
    <x:tableColumn id="5" name="Radial correction (kJ/mol)"/>
    <x:tableColumn id="6" name="Corrected PMF (kJ/mol)"/>
    <x:tableColumn id="7" name="Reference mean (kJ/mol)"/>
    <x:tableColumn id="8" name="PMF−reference mean (kJ/mol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stantsTable" displayName="ConstantsTable" ref="A1:B3" headerRowCount="1" totalsRowCount="0" totalsRowShown="0">
  <x:autoFilter ref="A1:B3"/>
  <x:tableColumns count="2">
    <x:tableColumn id="1" name="Parameter"/>
    <x:tableColumn id="2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egionsTable" displayName="RegionsTable" ref="A5:E13" headerRowCount="1" totalsRowCount="0" totalsRowShown="0">
  <x:autoFilter ref="A5:E13"/>
  <x:tableColumns count="5">
    <x:tableColumn id="1" name="Candidate"/>
    <x:tableColumn id="2" name="Bound min (nm)"/>
    <x:tableColumn id="3" name="Bound max (nm)"/>
    <x:tableColumn id="4" name="Reference min (nm)"/>
    <x:tableColumn id="5" name="Reference max (nm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venanceTable" displayName="ProvenanceTable" ref="A1:E245" headerRowCount="1" totalsRowCount="0" totalsRowShown="0">
  <x:autoFilter ref="A1:E245"/>
  <x:tableColumns count="5">
    <x:tableColumn id="1" name="Curated path"/>
    <x:tableColumn id="2" name="Source path"/>
    <x:tableColumn id="3" name="Bytes"/>
    <x:tableColumn id="4" name="SHA-256"/>
    <x:tableColumn id="5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7857f63b474e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0617d7230b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a8a66530a84b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350c15013941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53aeedd50e4a07" /><Relationship Type="http://schemas.openxmlformats.org/officeDocument/2006/relationships/table" Target="/xl/tables/table6.xml" Id="R94d54c5421554e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c77c0c0be0eb43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8" hidden="0" customWidth="1"/>
  </x:cols>
  <x:sheetData>
    <x:row r="1" ht="24" customHeight="1">
      <x:c r="A1" s="14" t="str">
        <x:v>Candidate</x:v>
      </x:c>
      <x:c r="B1" s="15" t="str">
        <x:v>ΔG Li (kJ/mol)</x:v>
      </x:c>
      <x:c r="C1" s="15" t="str">
        <x:v>Bootstrap SD Li (kJ/mol)</x:v>
      </x:c>
      <x:c r="D1" s="15" t="str">
        <x:v>ΔG Na (kJ/mol)</x:v>
      </x:c>
      <x:c r="E1" s="15" t="str">
        <x:v>Bootstrap SD Na (kJ/mol)</x:v>
      </x:c>
      <x:c r="F1" s="15" t="str">
        <x:v>ΔΔG Li−Na (kJ/mol)</x:v>
      </x:c>
      <x:c r="G1" s="15" t="str">
        <x:v>Propagated SD (kJ/mol)</x:v>
      </x:c>
      <x:c r="H1" s="15" t="str">
        <x:v>Nominal preference</x:v>
      </x:c>
      <x:c r="I1" s="16" t="str">
        <x:v>Status</x:v>
      </x:c>
    </x:row>
    <x:row r="2">
      <x:c r="A2" s="2" t="str">
        <x:v>LiDA-1</x:v>
      </x:c>
      <x:c r="B2" s="3" t="n">
        <x:v>-18.022738707069045</x:v>
      </x:c>
      <x:c r="C2" s="3" t="n">
        <x:v>1.5713398363631845</x:v>
      </x:c>
      <x:c r="D2" s="3" t="n">
        <x:v>1.31725646680321</x:v>
      </x:c>
      <x:c r="E2" s="3" t="n">
        <x:v>3.285579041343665</x:v>
      </x:c>
      <x:c r="F2" s="3" t="n">
        <x:f>B2-D2</x:f>
        <x:v>-19.339995173872257</x:v>
      </x:c>
      <x:c r="G2" s="3" t="n">
        <x:f>SQRT(C2^2+E2^2)</x:f>
        <x:v>3.6419965016812736</x:v>
      </x:c>
      <x:c r="H2" s="4" t="str">
        <x:f>IF(F2&lt;0,"Li",IF(F2&gt;0,"Na","Equal"))</x:f>
        <x:v>Li</x:v>
      </x:c>
      <x:c r="I2" s="5" t="str">
        <x:v>ESTIMATE_READY</x:v>
      </x:c>
    </x:row>
    <x:row r="3">
      <x:c r="A3" s="2" t="str">
        <x:v>LiDS-1</x:v>
      </x:c>
      <x:c r="B3" s="3" t="n">
        <x:v>-13.766384186920412</x:v>
      </x:c>
      <x:c r="C3" s="3" t="n">
        <x:v>0.7078027686429601</x:v>
      </x:c>
      <x:c r="D3" s="3" t="n">
        <x:v>-6.151313435020516</x:v>
      </x:c>
      <x:c r="E3" s="3" t="n">
        <x:v>7.251310830665027</x:v>
      </x:c>
      <x:c r="F3" s="3" t="n">
        <x:f>B3-D3</x:f>
        <x:v>-7.615070751899896</x:v>
      </x:c>
      <x:c r="G3" s="3" t="n">
        <x:f>SQRT(C3^2+E3^2)</x:f>
        <x:v>7.285773364730648</x:v>
      </x:c>
      <x:c r="H3" s="4" t="str">
        <x:f>IF(F3&lt;0,"Li",IF(F3&gt;0,"Na","Equal"))</x:f>
        <x:v>Li</x:v>
      </x:c>
      <x:c r="I3" s="5" t="str">
        <x:v>ESTIMATE_READY</x:v>
      </x:c>
    </x:row>
    <x:row r="4">
      <x:c r="A4" s="2" t="str">
        <x:v>LiD3-Core</x:v>
      </x:c>
      <x:c r="B4" s="3" t="n">
        <x:v>-4.926735514699583</x:v>
      </x:c>
      <x:c r="C4" s="3" t="n">
        <x:v>1.267743179755629</x:v>
      </x:c>
      <x:c r="D4" s="3" t="n">
        <x:v>-1.296448185634997</x:v>
      </x:c>
      <x:c r="E4" s="3" t="n">
        <x:v>6.209183192423611</x:v>
      </x:c>
      <x:c r="F4" s="3" t="n">
        <x:f>B4-D4</x:f>
        <x:v>-3.6302873290645863</x:v>
      </x:c>
      <x:c r="G4" s="3" t="n">
        <x:f>SQRT(C4^2+E4^2)</x:f>
        <x:v>6.3372808590824485</x:v>
      </x:c>
      <x:c r="H4" s="4" t="str">
        <x:f>IF(F4&lt;0,"Li",IF(F4&gt;0,"Na","Equal"))</x:f>
        <x:v>Li</x:v>
      </x:c>
      <x:c r="I4" s="5" t="str">
        <x:v>ESTIMATE_READY</x:v>
      </x:c>
    </x:row>
    <x:row r="5">
      <x:c r="A5" s="2" t="str">
        <x:v>LiD3-Flex</x:v>
      </x:c>
      <x:c r="B5" s="3" t="n">
        <x:v>-4.818335093526022</x:v>
      </x:c>
      <x:c r="C5" s="3" t="n">
        <x:v>9.628802890569707</x:v>
      </x:c>
      <x:c r="D5" s="3" t="n">
        <x:v>-3.4587436580208006</x:v>
      </x:c>
      <x:c r="E5" s="3" t="n">
        <x:v>2.7104460816851983</x:v>
      </x:c>
      <x:c r="F5" s="3" t="n">
        <x:f>B5-D5</x:f>
        <x:v>-1.3595914355052212</x:v>
      </x:c>
      <x:c r="G5" s="3" t="n">
        <x:f>SQRT(C5^2+E5^2)</x:f>
        <x:v>10.003017698033238</x:v>
      </x:c>
      <x:c r="H5" s="4" t="str">
        <x:f>IF(F5&lt;0,"Li",IF(F5&gt;0,"Na","Equal"))</x:f>
        <x:v>Li</x:v>
      </x:c>
      <x:c r="I5" s="5" t="str">
        <x:v>ESTIMATE_READY</x:v>
      </x:c>
    </x:row>
    <x:row r="6">
      <x:c r="A6" s="2" t="str">
        <x:v>LiND-Hybrid</x:v>
      </x:c>
      <x:c r="B6" s="3" t="n">
        <x:v>-12.106845054916986</x:v>
      </x:c>
      <x:c r="C6" s="3" t="n">
        <x:v>1.4088626786987768</x:v>
      </x:c>
      <x:c r="D6" s="3" t="n">
        <x:v>-3.1321290608187073</x:v>
      </x:c>
      <x:c r="E6" s="3" t="n">
        <x:v>9.72330885176685</x:v>
      </x:c>
      <x:c r="F6" s="3" t="n">
        <x:f>B6-D6</x:f>
        <x:v>-8.974715994098279</x:v>
      </x:c>
      <x:c r="G6" s="3" t="n">
        <x:f>SQRT(C6^2+E6^2)</x:f>
        <x:v>9.82484753440367</x:v>
      </x:c>
      <x:c r="H6" s="4" t="str">
        <x:f>IF(F6&lt;0,"Li",IF(F6&gt;0,"Na","Equal"))</x:f>
        <x:v>Li</x:v>
      </x:c>
      <x:c r="I6" s="5" t="str">
        <x:v>ESTIMATE_READY</x:v>
      </x:c>
    </x:row>
    <x:row r="7">
      <x:c r="A7" s="2" t="str">
        <x:v>LiLC-1</x:v>
      </x:c>
      <x:c r="B7" s="3" t="n">
        <x:v>0.0391464127590293</x:v>
      </x:c>
      <x:c r="C7" s="3" t="n">
        <x:v>5.152071673970042</x:v>
      </x:c>
      <x:c r="D7" s="3" t="n">
        <x:v>0.593488555590012</x:v>
      </x:c>
      <x:c r="E7" s="3" t="n">
        <x:v>3.2528029781437997</x:v>
      </x:c>
      <x:c r="F7" s="3" t="n">
        <x:f>B7-D7</x:f>
        <x:v>-0.5543421428309827</x:v>
      </x:c>
      <x:c r="G7" s="3" t="n">
        <x:f>SQRT(C7^2+E7^2)</x:f>
        <x:v>6.092993496496254</x:v>
      </x:c>
      <x:c r="H7" s="4" t="str">
        <x:f>IF(F7&lt;0,"Li",IF(F7&gt;0,"Na","Equal"))</x:f>
        <x:v>Li</x:v>
      </x:c>
      <x:c r="I7" s="5" t="str">
        <x:v>ESTIMATE_READY</x:v>
      </x:c>
    </x:row>
    <x:row r="8">
      <x:c r="A8" s="2" t="str">
        <x:v>LiA3-Ref</x:v>
      </x:c>
      <x:c r="B8" s="3" t="n">
        <x:v>2.4154030584959623</x:v>
      </x:c>
      <x:c r="C8" s="3" t="n">
        <x:v>3.726492374212475</x:v>
      </x:c>
      <x:c r="D8" s="3" t="n">
        <x:v>2.4493755213480783</x:v>
      </x:c>
      <x:c r="E8" s="3" t="n">
        <x:v>4.546390369325788</x:v>
      </x:c>
      <x:c r="F8" s="3" t="n">
        <x:f>B8-D8</x:f>
        <x:v>-0.03397246285211608</x:v>
      </x:c>
      <x:c r="G8" s="3" t="n">
        <x:f>SQRT(C8^2+E8^2)</x:f>
        <x:v>5.878470107550264</x:v>
      </x:c>
      <x:c r="H8" s="4" t="str">
        <x:f>IF(F8&lt;0,"Li",IF(F8&gt;0,"Na","Equal"))</x:f>
        <x:v>Li</x:v>
      </x:c>
      <x:c r="I8" s="5" t="str">
        <x:v>ESTIMATE_READY</x:v>
      </x:c>
    </x:row>
    <x:row r="9">
      <x:c r="A9" s="2" t="str">
        <x:v>LiN3-Core</x:v>
      </x:c>
      <x:c r="B9" s="3" t="n">
        <x:v>1.3407399039368322</x:v>
      </x:c>
      <x:c r="C9" s="3" t="n">
        <x:v>2.2711827871891117</x:v>
      </x:c>
      <x:c r="D9" s="3" t="n">
        <x:v>2.15620420134386</x:v>
      </x:c>
      <x:c r="E9" s="3" t="n">
        <x:v>1.7689768853142793</x:v>
      </x:c>
      <x:c r="F9" s="3" t="n">
        <x:f>B9-D9</x:f>
        <x:v>-0.8154642974070279</x:v>
      </x:c>
      <x:c r="G9" s="3" t="n">
        <x:f>SQRT(C9^2+E9^2)</x:f>
        <x:v>2.8788106005085345</x:v>
      </x:c>
      <x:c r="H9" s="4" t="str">
        <x:f>IF(F9&lt;0,"Li",IF(F9&gt;0,"Na","Equal"))</x:f>
        <x:v>Li</x:v>
      </x:c>
      <x:c r="I9" s="5" t="str">
        <x:v>ESTIMATE_READY</x:v>
      </x:c>
    </x:row>
  </x:sheetData>
  <x:conditionalFormatting sqref="F2:F9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7857f63b474e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 ht="24" customHeight="1">
      <x:c r="A1" s="14" t="str">
        <x:v>Candidate</x:v>
      </x:c>
      <x:c r="B1" s="15" t="str">
        <x:v>Condition</x:v>
      </x:c>
      <x:c r="C1" s="15" t="str">
        <x:v>ΔG (kJ/mol)</x:v>
      </x:c>
      <x:c r="D1" s="15" t="str">
        <x:v>Bootstrap SD (kJ/mol)</x:v>
      </x:c>
      <x:c r="E1" s="15" t="str">
        <x:v>Endpoint span (kJ/mol)</x:v>
      </x:c>
      <x:c r="F1" s="15" t="str">
        <x:v>Early−late difference (kJ/mol)</x:v>
      </x:c>
      <x:c r="G1" s="15" t="str">
        <x:v>Burn-in max shift (kJ/mol)</x:v>
      </x:c>
      <x:c r="H1" s="15" t="str">
        <x:v>Histogram min support</x:v>
      </x:c>
      <x:c r="I1" s="15" t="str">
        <x:v>Histogram weak bins</x:v>
      </x:c>
      <x:c r="J1" s="15" t="str">
        <x:v>IACT min (ps)</x:v>
      </x:c>
      <x:c r="K1" s="15" t="str">
        <x:v>IACT median (ps)</x:v>
      </x:c>
      <x:c r="L1" s="15" t="str">
        <x:v>IACT max (ps)</x:v>
      </x:c>
      <x:c r="M1" s="16" t="str">
        <x:v>Status</x:v>
      </x:c>
    </x:row>
    <x:row r="2">
      <x:c r="A2" s="2" t="str">
        <x:v>LiDA-1</x:v>
      </x:c>
      <x:c r="B2" s="4" t="str">
        <x:v>LiCl</x:v>
      </x:c>
      <x:c r="C2" s="3" t="n">
        <x:v>-18.023</x:v>
      </x:c>
      <x:c r="D2" s="3" t="n">
        <x:v>1.571</x:v>
      </x:c>
      <x:c r="E2" s="3" t="n">
        <x:v>0.361</x:v>
      </x:c>
      <x:c r="F2" s="3" t="n">
        <x:v>6.641</x:v>
      </x:c>
      <x:c r="G2" s="3" t="n">
        <x:v>3.518</x:v>
      </x:c>
      <x:c r="H2" s="18" t="n">
        <x:v>2</x:v>
      </x:c>
      <x:c r="I2" s="18" t="n">
        <x:v>0</x:v>
      </x:c>
      <x:c r="J2" s="3" t="n">
        <x:v>0.768</x:v>
      </x:c>
      <x:c r="K2" s="3" t="n">
        <x:v>1.247</x:v>
      </x:c>
      <x:c r="L2" s="3" t="n">
        <x:v>201.518</x:v>
      </x:c>
      <x:c r="M2" s="5" t="str">
        <x:v>ESTIMATE_READY</x:v>
      </x:c>
    </x:row>
    <x:row r="3">
      <x:c r="A3" s="2" t="str">
        <x:v>LiDA-1</x:v>
      </x:c>
      <x:c r="B3" s="4" t="str">
        <x:v>NaCl</x:v>
      </x:c>
      <x:c r="C3" s="3" t="n">
        <x:v>1.317</x:v>
      </x:c>
      <x:c r="D3" s="3" t="n">
        <x:v>3.286</x:v>
      </x:c>
      <x:c r="E3" s="3" t="n">
        <x:v>0.44</x:v>
      </x:c>
      <x:c r="F3" s="3" t="n">
        <x:v>2.131</x:v>
      </x:c>
      <x:c r="G3" s="3" t="n">
        <x:v>0.321</x:v>
      </x:c>
      <x:c r="H3" s="18" t="n">
        <x:v>3</x:v>
      </x:c>
      <x:c r="I3" s="18" t="n">
        <x:v>0</x:v>
      </x:c>
      <x:c r="J3" s="3" t="n">
        <x:v>0.809</x:v>
      </x:c>
      <x:c r="K3" s="3" t="n">
        <x:v>1.315</x:v>
      </x:c>
      <x:c r="L3" s="3" t="n">
        <x:v>12.622</x:v>
      </x:c>
      <x:c r="M3" s="5" t="str">
        <x:v>ESTIMATE_READY</x:v>
      </x:c>
    </x:row>
    <x:row r="4">
      <x:c r="A4" s="2" t="str">
        <x:v>LiDS-1</x:v>
      </x:c>
      <x:c r="B4" s="4" t="str">
        <x:v>LiCl</x:v>
      </x:c>
      <x:c r="C4" s="3" t="n">
        <x:v>-13.766</x:v>
      </x:c>
      <x:c r="D4" s="3" t="n">
        <x:v>0.708</x:v>
      </x:c>
      <x:c r="E4" s="3" t="n">
        <x:v>0.449</x:v>
      </x:c>
      <x:c r="F4" s="3" t="n">
        <x:v>5.81</x:v>
      </x:c>
      <x:c r="G4" s="3" t="n">
        <x:v>0.053</x:v>
      </x:c>
      <x:c r="H4" s="18" t="n">
        <x:v>2</x:v>
      </x:c>
      <x:c r="I4" s="18" t="n">
        <x:v>0</x:v>
      </x:c>
      <x:c r="J4" s="3" t="n">
        <x:v>0.74</x:v>
      </x:c>
      <x:c r="K4" s="3" t="n">
        <x:v>1.049</x:v>
      </x:c>
      <x:c r="L4" s="3" t="n">
        <x:v>24.605</x:v>
      </x:c>
      <x:c r="M4" s="5" t="str">
        <x:v>ESTIMATE_READY</x:v>
      </x:c>
    </x:row>
    <x:row r="5">
      <x:c r="A5" s="2" t="str">
        <x:v>LiDS-1</x:v>
      </x:c>
      <x:c r="B5" s="4" t="str">
        <x:v>NaCl</x:v>
      </x:c>
      <x:c r="C5" s="3" t="n">
        <x:v>-6.151</x:v>
      </x:c>
      <x:c r="D5" s="3" t="n">
        <x:v>7.251</x:v>
      </x:c>
      <x:c r="E5" s="3" t="n">
        <x:v>0.946</x:v>
      </x:c>
      <x:c r="F5" s="3" t="n">
        <x:v>2.377</x:v>
      </x:c>
      <x:c r="G5" s="3" t="n">
        <x:v>1.043</x:v>
      </x:c>
      <x:c r="H5" s="18" t="n">
        <x:v>3</x:v>
      </x:c>
      <x:c r="I5" s="18" t="n">
        <x:v>0</x:v>
      </x:c>
      <x:c r="J5" s="3" t="n">
        <x:v>0.872</x:v>
      </x:c>
      <x:c r="K5" s="3" t="n">
        <x:v>1.335</x:v>
      </x:c>
      <x:c r="L5" s="3" t="n">
        <x:v>69.534</x:v>
      </x:c>
      <x:c r="M5" s="5" t="str">
        <x:v>ESTIMATE_READY</x:v>
      </x:c>
    </x:row>
    <x:row r="6">
      <x:c r="A6" s="2" t="str">
        <x:v>LiD3-Core</x:v>
      </x:c>
      <x:c r="B6" s="4" t="str">
        <x:v>LiCl</x:v>
      </x:c>
      <x:c r="C6" s="3" t="n">
        <x:v>-4.927</x:v>
      </x:c>
      <x:c r="D6" s="3" t="n">
        <x:v>1.268</x:v>
      </x:c>
      <x:c r="E6" s="3" t="n">
        <x:v>0.43</x:v>
      </x:c>
      <x:c r="F6" s="3" t="n">
        <x:v>4.284</x:v>
      </x:c>
      <x:c r="G6" s="3" t="n">
        <x:v>0.39</x:v>
      </x:c>
      <x:c r="H6" s="18" t="n">
        <x:v>2</x:v>
      </x:c>
      <x:c r="I6" s="18" t="n">
        <x:v>0</x:v>
      </x:c>
      <x:c r="J6" s="3" t="n">
        <x:v>0.831</x:v>
      </x:c>
      <x:c r="K6" s="3" t="n">
        <x:v>1.245</x:v>
      </x:c>
      <x:c r="L6" s="3" t="n">
        <x:v>142.367</x:v>
      </x:c>
      <x:c r="M6" s="5" t="str">
        <x:v>ESTIMATE_READY</x:v>
      </x:c>
    </x:row>
    <x:row r="7">
      <x:c r="A7" s="2" t="str">
        <x:v>LiD3-Core</x:v>
      </x:c>
      <x:c r="B7" s="4" t="str">
        <x:v>NaCl</x:v>
      </x:c>
      <x:c r="C7" s="3" t="n">
        <x:v>-1.296</x:v>
      </x:c>
      <x:c r="D7" s="3" t="n">
        <x:v>6.209</x:v>
      </x:c>
      <x:c r="E7" s="3" t="n">
        <x:v>0.525</x:v>
      </x:c>
      <x:c r="F7" s="3" t="n">
        <x:v>1.048</x:v>
      </x:c>
      <x:c r="G7" s="3" t="n">
        <x:v>0.353</x:v>
      </x:c>
      <x:c r="H7" s="18" t="n">
        <x:v>3</x:v>
      </x:c>
      <x:c r="I7" s="18" t="n">
        <x:v>0</x:v>
      </x:c>
      <x:c r="J7" s="3" t="n">
        <x:v>0.82</x:v>
      </x:c>
      <x:c r="K7" s="3" t="n">
        <x:v>1.289</x:v>
      </x:c>
      <x:c r="L7" s="3" t="n">
        <x:v>99.346</x:v>
      </x:c>
      <x:c r="M7" s="5" t="str">
        <x:v>ESTIMATE_READY</x:v>
      </x:c>
    </x:row>
    <x:row r="8">
      <x:c r="A8" s="2" t="str">
        <x:v>LiD3-Flex</x:v>
      </x:c>
      <x:c r="B8" s="4" t="str">
        <x:v>LiCl</x:v>
      </x:c>
      <x:c r="C8" s="3" t="n">
        <x:v>-4.818</x:v>
      </x:c>
      <x:c r="D8" s="3" t="n">
        <x:v>9.629</x:v>
      </x:c>
      <x:c r="E8" s="3" t="n">
        <x:v>0.575</x:v>
      </x:c>
      <x:c r="F8" s="3" t="n">
        <x:v>12.773</x:v>
      </x:c>
      <x:c r="G8" s="3" t="n">
        <x:v>1.016</x:v>
      </x:c>
      <x:c r="H8" s="18" t="n">
        <x:v>3</x:v>
      </x:c>
      <x:c r="I8" s="18" t="n">
        <x:v>0</x:v>
      </x:c>
      <x:c r="J8" s="3" t="n">
        <x:v>0.788</x:v>
      </x:c>
      <x:c r="K8" s="3" t="n">
        <x:v>1.133</x:v>
      </x:c>
      <x:c r="L8" s="3" t="n">
        <x:v>309.105</x:v>
      </x:c>
      <x:c r="M8" s="5" t="str">
        <x:v>ESTIMATE_READY</x:v>
      </x:c>
    </x:row>
    <x:row r="9">
      <x:c r="A9" s="2" t="str">
        <x:v>LiD3-Flex</x:v>
      </x:c>
      <x:c r="B9" s="4" t="str">
        <x:v>NaCl</x:v>
      </x:c>
      <x:c r="C9" s="3" t="n">
        <x:v>-3.459</x:v>
      </x:c>
      <x:c r="D9" s="3" t="n">
        <x:v>2.71</x:v>
      </x:c>
      <x:c r="E9" s="3" t="n">
        <x:v>0.473</x:v>
      </x:c>
      <x:c r="F9" s="3" t="n">
        <x:v>3.001</x:v>
      </x:c>
      <x:c r="G9" s="3" t="n">
        <x:v>0.403</x:v>
      </x:c>
      <x:c r="H9" s="18" t="n">
        <x:v>2</x:v>
      </x:c>
      <x:c r="I9" s="18" t="n">
        <x:v>0</x:v>
      </x:c>
      <x:c r="J9" s="3" t="n">
        <x:v>0.969</x:v>
      </x:c>
      <x:c r="K9" s="3" t="n">
        <x:v>1.456</x:v>
      </x:c>
      <x:c r="L9" s="3" t="n">
        <x:v>130.575</x:v>
      </x:c>
      <x:c r="M9" s="5" t="str">
        <x:v>ESTIMATE_READY</x:v>
      </x:c>
    </x:row>
    <x:row r="10">
      <x:c r="A10" s="2" t="str">
        <x:v>LiND-Hybrid</x:v>
      </x:c>
      <x:c r="B10" s="4" t="str">
        <x:v>LiCl</x:v>
      </x:c>
      <x:c r="C10" s="3" t="n">
        <x:v>-12.107</x:v>
      </x:c>
      <x:c r="D10" s="3" t="n">
        <x:v>1.409</x:v>
      </x:c>
      <x:c r="E10" s="3" t="n">
        <x:v>0.292</x:v>
      </x:c>
      <x:c r="F10" s="3" t="n">
        <x:v>4.058</x:v>
      </x:c>
      <x:c r="G10" s="3" t="n">
        <x:v>3.259</x:v>
      </x:c>
      <x:c r="H10" s="18" t="n">
        <x:v>2</x:v>
      </x:c>
      <x:c r="I10" s="18" t="n">
        <x:v>0</x:v>
      </x:c>
      <x:c r="J10" s="3" t="n">
        <x:v>0.738</x:v>
      </x:c>
      <x:c r="K10" s="3" t="n">
        <x:v>0.99</x:v>
      </x:c>
      <x:c r="L10" s="3" t="n">
        <x:v>61.058</x:v>
      </x:c>
      <x:c r="M10" s="5" t="str">
        <x:v>ESTIMATE_READY</x:v>
      </x:c>
    </x:row>
    <x:row r="11">
      <x:c r="A11" s="2" t="str">
        <x:v>LiND-Hybrid</x:v>
      </x:c>
      <x:c r="B11" s="4" t="str">
        <x:v>NaCl</x:v>
      </x:c>
      <x:c r="C11" s="3" t="n">
        <x:v>-3.132</x:v>
      </x:c>
      <x:c r="D11" s="3" t="n">
        <x:v>9.723</x:v>
      </x:c>
      <x:c r="E11" s="3" t="n">
        <x:v>0.275</x:v>
      </x:c>
      <x:c r="F11" s="3" t="n">
        <x:v>1.78</x:v>
      </x:c>
      <x:c r="G11" s="3" t="n">
        <x:v>1.834</x:v>
      </x:c>
      <x:c r="H11" s="18" t="n">
        <x:v>4</x:v>
      </x:c>
      <x:c r="I11" s="18" t="n">
        <x:v>0</x:v>
      </x:c>
      <x:c r="J11" s="3" t="n">
        <x:v>0.876</x:v>
      </x:c>
      <x:c r="K11" s="3" t="n">
        <x:v>1.123</x:v>
      </x:c>
      <x:c r="L11" s="3" t="n">
        <x:v>11.998</x:v>
      </x:c>
      <x:c r="M11" s="5" t="str">
        <x:v>ESTIMATE_READY</x:v>
      </x:c>
    </x:row>
    <x:row r="12">
      <x:c r="A12" s="2" t="str">
        <x:v>LiLC-1</x:v>
      </x:c>
      <x:c r="B12" s="4" t="str">
        <x:v>LiCl</x:v>
      </x:c>
      <x:c r="C12" s="3" t="n">
        <x:v>0.039</x:v>
      </x:c>
      <x:c r="D12" s="3" t="n">
        <x:v>5.152</x:v>
      </x:c>
      <x:c r="E12" s="3" t="n">
        <x:v>0.187</x:v>
      </x:c>
      <x:c r="F12" s="3" t="n">
        <x:v>2.732</x:v>
      </x:c>
      <x:c r="G12" s="3" t="n">
        <x:v>0.418</x:v>
      </x:c>
      <x:c r="H12" s="18" t="n">
        <x:v>3</x:v>
      </x:c>
      <x:c r="I12" s="18" t="n">
        <x:v>0</x:v>
      </x:c>
      <x:c r="J12" s="3" t="n">
        <x:v>0.826</x:v>
      </x:c>
      <x:c r="K12" s="3" t="n">
        <x:v>1.018</x:v>
      </x:c>
      <x:c r="L12" s="3" t="n">
        <x:v>60.589</x:v>
      </x:c>
      <x:c r="M12" s="5" t="str">
        <x:v>ESTIMATE_READY</x:v>
      </x:c>
    </x:row>
    <x:row r="13">
      <x:c r="A13" s="2" t="str">
        <x:v>LiLC-1</x:v>
      </x:c>
      <x:c r="B13" s="4" t="str">
        <x:v>NaCl</x:v>
      </x:c>
      <x:c r="C13" s="3" t="n">
        <x:v>0.593</x:v>
      </x:c>
      <x:c r="D13" s="3" t="n">
        <x:v>3.253</x:v>
      </x:c>
      <x:c r="E13" s="3" t="n">
        <x:v>0.461</x:v>
      </x:c>
      <x:c r="F13" s="3" t="n">
        <x:v>2.502</x:v>
      </x:c>
      <x:c r="G13" s="3" t="n">
        <x:v>0.449</x:v>
      </x:c>
      <x:c r="H13" s="18" t="n">
        <x:v>3</x:v>
      </x:c>
      <x:c r="I13" s="18" t="n">
        <x:v>0</x:v>
      </x:c>
      <x:c r="J13" s="3" t="n">
        <x:v>0.773</x:v>
      </x:c>
      <x:c r="K13" s="3" t="n">
        <x:v>1.233</x:v>
      </x:c>
      <x:c r="L13" s="3" t="n">
        <x:v>12.178</x:v>
      </x:c>
      <x:c r="M13" s="5" t="str">
        <x:v>ESTIMATE_READY</x:v>
      </x:c>
    </x:row>
    <x:row r="14">
      <x:c r="A14" s="2" t="str">
        <x:v>LiA3-Ref</x:v>
      </x:c>
      <x:c r="B14" s="4" t="str">
        <x:v>LiCl</x:v>
      </x:c>
      <x:c r="C14" s="3" t="n">
        <x:v>2.415</x:v>
      </x:c>
      <x:c r="D14" s="3" t="n">
        <x:v>3.726</x:v>
      </x:c>
      <x:c r="E14" s="3" t="n">
        <x:v>0.728</x:v>
      </x:c>
      <x:c r="F14" s="3" t="n">
        <x:v>1.683</x:v>
      </x:c>
      <x:c r="G14" s="3" t="n">
        <x:v>0.883</x:v>
      </x:c>
      <x:c r="H14" s="18" t="n">
        <x:v>3</x:v>
      </x:c>
      <x:c r="I14" s="18" t="n">
        <x:v>0</x:v>
      </x:c>
      <x:c r="J14" s="3" t="n">
        <x:v>0.83</x:v>
      </x:c>
      <x:c r="K14" s="3" t="n">
        <x:v>1.097</x:v>
      </x:c>
      <x:c r="L14" s="3" t="n">
        <x:v>13.915</x:v>
      </x:c>
      <x:c r="M14" s="5" t="str">
        <x:v>ESTIMATE_READY</x:v>
      </x:c>
    </x:row>
    <x:row r="15">
      <x:c r="A15" s="2" t="str">
        <x:v>LiA3-Ref</x:v>
      </x:c>
      <x:c r="B15" s="4" t="str">
        <x:v>NaCl</x:v>
      </x:c>
      <x:c r="C15" s="3" t="n">
        <x:v>2.449</x:v>
      </x:c>
      <x:c r="D15" s="3" t="n">
        <x:v>4.546</x:v>
      </x:c>
      <x:c r="E15" s="3" t="n">
        <x:v>0.539</x:v>
      </x:c>
      <x:c r="F15" s="3" t="n">
        <x:v>1.739</x:v>
      </x:c>
      <x:c r="G15" s="3" t="n">
        <x:v>1.223</x:v>
      </x:c>
      <x:c r="H15" s="18" t="n">
        <x:v>2</x:v>
      </x:c>
      <x:c r="I15" s="18" t="n">
        <x:v>0</x:v>
      </x:c>
      <x:c r="J15" s="3" t="n">
        <x:v>0.911</x:v>
      </x:c>
      <x:c r="K15" s="3" t="n">
        <x:v>1.076</x:v>
      </x:c>
      <x:c r="L15" s="3" t="n">
        <x:v>30.426</x:v>
      </x:c>
      <x:c r="M15" s="5" t="str">
        <x:v>ESTIMATE_READY</x:v>
      </x:c>
    </x:row>
    <x:row r="16">
      <x:c r="A16" s="2" t="str">
        <x:v>LiN3-Core</x:v>
      </x:c>
      <x:c r="B16" s="4" t="str">
        <x:v>LiCl</x:v>
      </x:c>
      <x:c r="C16" s="3" t="n">
        <x:v>1.341</x:v>
      </x:c>
      <x:c r="D16" s="3" t="n">
        <x:v>2.271</x:v>
      </x:c>
      <x:c r="E16" s="3" t="n">
        <x:v>0.508</x:v>
      </x:c>
      <x:c r="F16" s="3" t="n">
        <x:v>5.808</x:v>
      </x:c>
      <x:c r="G16" s="3" t="n">
        <x:v>0.398</x:v>
      </x:c>
      <x:c r="H16" s="18" t="n">
        <x:v>3</x:v>
      </x:c>
      <x:c r="I16" s="18" t="n">
        <x:v>0</x:v>
      </x:c>
      <x:c r="J16" s="3" t="n">
        <x:v>0.74</x:v>
      </x:c>
      <x:c r="K16" s="3" t="n">
        <x:v>1.107</x:v>
      </x:c>
      <x:c r="L16" s="3" t="n">
        <x:v>114.409</x:v>
      </x:c>
      <x:c r="M16" s="5" t="str">
        <x:v>ESTIMATE_READY</x:v>
      </x:c>
    </x:row>
    <x:row r="17">
      <x:c r="A17" s="2" t="str">
        <x:v>LiN3-Core</x:v>
      </x:c>
      <x:c r="B17" s="4" t="str">
        <x:v>NaCl</x:v>
      </x:c>
      <x:c r="C17" s="3" t="n">
        <x:v>2.156</x:v>
      </x:c>
      <x:c r="D17" s="3" t="n">
        <x:v>1.769</x:v>
      </x:c>
      <x:c r="E17" s="3" t="n">
        <x:v>0.351</x:v>
      </x:c>
      <x:c r="F17" s="3" t="n">
        <x:v>2.697</x:v>
      </x:c>
      <x:c r="G17" s="3" t="n">
        <x:v>0.214</x:v>
      </x:c>
      <x:c r="H17" s="18" t="n">
        <x:v>2</x:v>
      </x:c>
      <x:c r="I17" s="18" t="n">
        <x:v>0</x:v>
      </x:c>
      <x:c r="J17" s="3" t="n">
        <x:v>0.834</x:v>
      </x:c>
      <x:c r="K17" s="3" t="n">
        <x:v>1.217</x:v>
      </x:c>
      <x:c r="L17" s="3" t="n">
        <x:v>67.692</x:v>
      </x:c>
      <x:c r="M17" s="5" t="str">
        <x:v>ESTIMATE_READY</x:v>
      </x:c>
    </x:row>
  </x:sheetData>
  <x:pageMargins left="0.7" right="0.7" top="0.75" bottom="0.75" header="0.3" footer="0.3"/>
  <x:tableParts count="1">
    <x:tablePart xmlns:r="http://schemas.openxmlformats.org/officeDocument/2006/relationships" r:id="R660617d7230b48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4" customHeight="1">
      <x:c r="A1" s="14" t="str">
        <x:v>Candidate</x:v>
      </x:c>
      <x:c r="B1" s="15" t="str">
        <x:v>Status</x:v>
      </x:c>
      <x:c r="C1" s="15" t="str">
        <x:v>Temperature (K)</x:v>
      </x:c>
      <x:c r="D1" s="15" t="str">
        <x:v>ΔΔG</x:v>
      </x:c>
      <x:c r="E1" s="15" t="str">
        <x:v>Propagated SD</x:v>
      </x:c>
      <x:c r="F1" s="15" t="str">
        <x:v>Endpoint span Li</x:v>
      </x:c>
      <x:c r="G1" s="15" t="str">
        <x:v>Endpoint span Na</x:v>
      </x:c>
      <x:c r="H1" s="15" t="str">
        <x:v>Early−late Li</x:v>
      </x:c>
      <x:c r="I1" s="15" t="str">
        <x:v>Early−late Na</x:v>
      </x:c>
      <x:c r="J1" s="15" t="str">
        <x:v>Burn-in shift Li</x:v>
      </x:c>
      <x:c r="K1" s="15" t="str">
        <x:v>Burn-in shift Na</x:v>
      </x:c>
      <x:c r="L1" s="15" t="str">
        <x:v>Histogram support Li</x:v>
      </x:c>
      <x:c r="M1" s="15" t="str">
        <x:v>Histogram support Na</x:v>
      </x:c>
      <x:c r="N1" s="15" t="str">
        <x:v>Max IACT Li</x:v>
      </x:c>
      <x:c r="O1" s="16" t="str">
        <x:v>Max IACT Na</x:v>
      </x:c>
    </x:row>
    <x:row r="2">
      <x:c r="A2" s="2" t="str">
        <x:v>LiDA-1</x:v>
      </x:c>
      <x:c r="B2" s="4" t="str">
        <x:v>ESTIMATE_READY</x:v>
      </x:c>
      <x:c r="C2" s="3" t="n">
        <x:v>298.15</x:v>
      </x:c>
      <x:c r="D2" s="3" t="n">
        <x:v>-19.34</x:v>
      </x:c>
      <x:c r="E2" s="3" t="n">
        <x:v>3.642</x:v>
      </x:c>
      <x:c r="F2" s="3" t="n">
        <x:v>0.361</x:v>
      </x:c>
      <x:c r="G2" s="3" t="n">
        <x:v>0.44</x:v>
      </x:c>
      <x:c r="H2" s="3" t="n">
        <x:v>6.641</x:v>
      </x:c>
      <x:c r="I2" s="3" t="n">
        <x:v>2.131</x:v>
      </x:c>
      <x:c r="J2" s="3" t="n">
        <x:v>3.518</x:v>
      </x:c>
      <x:c r="K2" s="3" t="n">
        <x:v>0.321</x:v>
      </x:c>
      <x:c r="L2" s="18" t="n">
        <x:v>2</x:v>
      </x:c>
      <x:c r="M2" s="18" t="n">
        <x:v>3</x:v>
      </x:c>
      <x:c r="N2" s="3" t="n">
        <x:v>201.518</x:v>
      </x:c>
      <x:c r="O2" s="19" t="n">
        <x:v>12.622</x:v>
      </x:c>
    </x:row>
    <x:row r="3">
      <x:c r="A3" s="2" t="str">
        <x:v>LiDS-1</x:v>
      </x:c>
      <x:c r="B3" s="4" t="str">
        <x:v>ESTIMATE_READY</x:v>
      </x:c>
      <x:c r="C3" s="3" t="n">
        <x:v>298.15</x:v>
      </x:c>
      <x:c r="D3" s="3" t="n">
        <x:v>-7.615</x:v>
      </x:c>
      <x:c r="E3" s="3" t="n">
        <x:v>7.286</x:v>
      </x:c>
      <x:c r="F3" s="3" t="n">
        <x:v>0.449</x:v>
      </x:c>
      <x:c r="G3" s="3" t="n">
        <x:v>0.946</x:v>
      </x:c>
      <x:c r="H3" s="3" t="n">
        <x:v>5.81</x:v>
      </x:c>
      <x:c r="I3" s="3" t="n">
        <x:v>2.377</x:v>
      </x:c>
      <x:c r="J3" s="3" t="n">
        <x:v>0.053</x:v>
      </x:c>
      <x:c r="K3" s="3" t="n">
        <x:v>1.043</x:v>
      </x:c>
      <x:c r="L3" s="18" t="n">
        <x:v>2</x:v>
      </x:c>
      <x:c r="M3" s="18" t="n">
        <x:v>3</x:v>
      </x:c>
      <x:c r="N3" s="3" t="n">
        <x:v>24.605</x:v>
      </x:c>
      <x:c r="O3" s="19" t="n">
        <x:v>69.534</x:v>
      </x:c>
    </x:row>
    <x:row r="4">
      <x:c r="A4" s="2" t="str">
        <x:v>LiD3-Core</x:v>
      </x:c>
      <x:c r="B4" s="4" t="str">
        <x:v>ESTIMATE_READY</x:v>
      </x:c>
      <x:c r="C4" s="3" t="n">
        <x:v>298.15</x:v>
      </x:c>
      <x:c r="D4" s="3" t="n">
        <x:v>-3.63</x:v>
      </x:c>
      <x:c r="E4" s="3" t="n">
        <x:v>6.337</x:v>
      </x:c>
      <x:c r="F4" s="3" t="n">
        <x:v>0.43</x:v>
      </x:c>
      <x:c r="G4" s="3" t="n">
        <x:v>0.525</x:v>
      </x:c>
      <x:c r="H4" s="3" t="n">
        <x:v>4.284</x:v>
      </x:c>
      <x:c r="I4" s="3" t="n">
        <x:v>1.048</x:v>
      </x:c>
      <x:c r="J4" s="3" t="n">
        <x:v>0.39</x:v>
      </x:c>
      <x:c r="K4" s="3" t="n">
        <x:v>0.353</x:v>
      </x:c>
      <x:c r="L4" s="18" t="n">
        <x:v>2</x:v>
      </x:c>
      <x:c r="M4" s="18" t="n">
        <x:v>3</x:v>
      </x:c>
      <x:c r="N4" s="3" t="n">
        <x:v>142.367</x:v>
      </x:c>
      <x:c r="O4" s="19" t="n">
        <x:v>99.346</x:v>
      </x:c>
    </x:row>
    <x:row r="5">
      <x:c r="A5" s="2" t="str">
        <x:v>LiD3-Flex</x:v>
      </x:c>
      <x:c r="B5" s="4" t="str">
        <x:v>ESTIMATE_READY</x:v>
      </x:c>
      <x:c r="C5" s="3" t="n">
        <x:v>298.15</x:v>
      </x:c>
      <x:c r="D5" s="3" t="n">
        <x:v>-1.36</x:v>
      </x:c>
      <x:c r="E5" s="3" t="n">
        <x:v>10.003</x:v>
      </x:c>
      <x:c r="F5" s="3" t="n">
        <x:v>0.575</x:v>
      </x:c>
      <x:c r="G5" s="3" t="n">
        <x:v>0.473</x:v>
      </x:c>
      <x:c r="H5" s="3" t="n">
        <x:v>12.773</x:v>
      </x:c>
      <x:c r="I5" s="3" t="n">
        <x:v>3.001</x:v>
      </x:c>
      <x:c r="J5" s="3" t="n">
        <x:v>1.016</x:v>
      </x:c>
      <x:c r="K5" s="3" t="n">
        <x:v>0.403</x:v>
      </x:c>
      <x:c r="L5" s="18" t="n">
        <x:v>3</x:v>
      </x:c>
      <x:c r="M5" s="18" t="n">
        <x:v>2</x:v>
      </x:c>
      <x:c r="N5" s="3" t="n">
        <x:v>309.105</x:v>
      </x:c>
      <x:c r="O5" s="19" t="n">
        <x:v>130.575</x:v>
      </x:c>
    </x:row>
    <x:row r="6">
      <x:c r="A6" s="2" t="str">
        <x:v>LiND-Hybrid</x:v>
      </x:c>
      <x:c r="B6" s="4" t="str">
        <x:v>ESTIMATE_READY</x:v>
      </x:c>
      <x:c r="C6" s="3" t="n">
        <x:v>298.15</x:v>
      </x:c>
      <x:c r="D6" s="3" t="n">
        <x:v>-8.975</x:v>
      </x:c>
      <x:c r="E6" s="3" t="n">
        <x:v>9.825</x:v>
      </x:c>
      <x:c r="F6" s="3" t="n">
        <x:v>0.292</x:v>
      </x:c>
      <x:c r="G6" s="3" t="n">
        <x:v>0.275</x:v>
      </x:c>
      <x:c r="H6" s="3" t="n">
        <x:v>4.058</x:v>
      </x:c>
      <x:c r="I6" s="3" t="n">
        <x:v>1.78</x:v>
      </x:c>
      <x:c r="J6" s="3" t="n">
        <x:v>3.259</x:v>
      </x:c>
      <x:c r="K6" s="3" t="n">
        <x:v>1.834</x:v>
      </x:c>
      <x:c r="L6" s="18" t="n">
        <x:v>2</x:v>
      </x:c>
      <x:c r="M6" s="18" t="n">
        <x:v>4</x:v>
      </x:c>
      <x:c r="N6" s="3" t="n">
        <x:v>61.058</x:v>
      </x:c>
      <x:c r="O6" s="19" t="n">
        <x:v>11.998</x:v>
      </x:c>
    </x:row>
    <x:row r="7">
      <x:c r="A7" s="2" t="str">
        <x:v>LiLC-1</x:v>
      </x:c>
      <x:c r="B7" s="4" t="str">
        <x:v>ESTIMATE_READY</x:v>
      </x:c>
      <x:c r="C7" s="3" t="n">
        <x:v>298.15</x:v>
      </x:c>
      <x:c r="D7" s="3" t="n">
        <x:v>-0.554</x:v>
      </x:c>
      <x:c r="E7" s="3" t="n">
        <x:v>6.093</x:v>
      </x:c>
      <x:c r="F7" s="3" t="n">
        <x:v>0.187</x:v>
      </x:c>
      <x:c r="G7" s="3" t="n">
        <x:v>0.461</x:v>
      </x:c>
      <x:c r="H7" s="3" t="n">
        <x:v>2.732</x:v>
      </x:c>
      <x:c r="I7" s="3" t="n">
        <x:v>2.502</x:v>
      </x:c>
      <x:c r="J7" s="3" t="n">
        <x:v>0.418</x:v>
      </x:c>
      <x:c r="K7" s="3" t="n">
        <x:v>0.449</x:v>
      </x:c>
      <x:c r="L7" s="18" t="n">
        <x:v>3</x:v>
      </x:c>
      <x:c r="M7" s="18" t="n">
        <x:v>3</x:v>
      </x:c>
      <x:c r="N7" s="3" t="n">
        <x:v>60.589</x:v>
      </x:c>
      <x:c r="O7" s="19" t="n">
        <x:v>12.178</x:v>
      </x:c>
    </x:row>
    <x:row r="8">
      <x:c r="A8" s="2" t="str">
        <x:v>LiA3-Ref</x:v>
      </x:c>
      <x:c r="B8" s="4" t="str">
        <x:v>ESTIMATE_READY</x:v>
      </x:c>
      <x:c r="C8" s="3" t="n">
        <x:v>298.15</x:v>
      </x:c>
      <x:c r="D8" s="3" t="n">
        <x:v>-0.034</x:v>
      </x:c>
      <x:c r="E8" s="3" t="n">
        <x:v>5.878</x:v>
      </x:c>
      <x:c r="F8" s="3" t="n">
        <x:v>0.728</x:v>
      </x:c>
      <x:c r="G8" s="3" t="n">
        <x:v>0.539</x:v>
      </x:c>
      <x:c r="H8" s="3" t="n">
        <x:v>1.683</x:v>
      </x:c>
      <x:c r="I8" s="3" t="n">
        <x:v>1.739</x:v>
      </x:c>
      <x:c r="J8" s="3" t="n">
        <x:v>0.883</x:v>
      </x:c>
      <x:c r="K8" s="3" t="n">
        <x:v>1.223</x:v>
      </x:c>
      <x:c r="L8" s="18" t="n">
        <x:v>3</x:v>
      </x:c>
      <x:c r="M8" s="18" t="n">
        <x:v>2</x:v>
      </x:c>
      <x:c r="N8" s="3" t="n">
        <x:v>13.915</x:v>
      </x:c>
      <x:c r="O8" s="19" t="n">
        <x:v>30.426</x:v>
      </x:c>
    </x:row>
    <x:row r="9">
      <x:c r="A9" s="2" t="str">
        <x:v>LiN3-Core</x:v>
      </x:c>
      <x:c r="B9" s="4" t="str">
        <x:v>ESTIMATE_READY</x:v>
      </x:c>
      <x:c r="C9" s="3" t="n">
        <x:v>298.15</x:v>
      </x:c>
      <x:c r="D9" s="3" t="n">
        <x:v>-0.815</x:v>
      </x:c>
      <x:c r="E9" s="3" t="n">
        <x:v>2.879</x:v>
      </x:c>
      <x:c r="F9" s="3" t="n">
        <x:v>0.508</x:v>
      </x:c>
      <x:c r="G9" s="3" t="n">
        <x:v>0.351</x:v>
      </x:c>
      <x:c r="H9" s="3" t="n">
        <x:v>5.808</x:v>
      </x:c>
      <x:c r="I9" s="3" t="n">
        <x:v>2.697</x:v>
      </x:c>
      <x:c r="J9" s="3" t="n">
        <x:v>0.398</x:v>
      </x:c>
      <x:c r="K9" s="3" t="n">
        <x:v>0.214</x:v>
      </x:c>
      <x:c r="L9" s="18" t="n">
        <x:v>3</x:v>
      </x:c>
      <x:c r="M9" s="18" t="n">
        <x:v>2</x:v>
      </x:c>
      <x:c r="N9" s="3" t="n">
        <x:v>114.409</x:v>
      </x:c>
      <x:c r="O9" s="19" t="n">
        <x:v>67.692</x:v>
      </x:c>
    </x:row>
  </x:sheetData>
  <x:pageMargins left="0.7" right="0.7" top="0.75" bottom="0.75" header="0.3" footer="0.3"/>
  <x:tableParts count="1">
    <x:tablePart xmlns:r="http://schemas.openxmlformats.org/officeDocument/2006/relationships" r:id="R46a8a66530a84b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4" customHeight="1">
      <x:c r="A1" s="14" t="str">
        <x:v>Candidate</x:v>
      </x:c>
      <x:c r="B1" s="15" t="str">
        <x:v>Condition</x:v>
      </x:c>
      <x:c r="C1" s="15" t="str">
        <x:v>Distance (nm)</x:v>
      </x:c>
      <x:c r="D1" s="15" t="str">
        <x:v>Raw PMF (kJ/mol)</x:v>
      </x:c>
      <x:c r="E1" s="15" t="str">
        <x:v>Radial correction (kJ/mol)</x:v>
      </x:c>
      <x:c r="F1" s="15" t="str">
        <x:v>Corrected PMF (kJ/mol)</x:v>
      </x:c>
      <x:c r="G1" s="15" t="str">
        <x:v>Reference mean (kJ/mol)</x:v>
      </x:c>
      <x:c r="H1" s="16" t="str">
        <x:v>PMF−reference mean (kJ/mol)</x:v>
      </x:c>
    </x:row>
    <x:row r="2">
      <x:c r="A2" s="2" t="str">
        <x:v>LiDA-1</x:v>
      </x:c>
      <x:c r="B2" s="4" t="str">
        <x:v>LiCl</x:v>
      </x:c>
      <x:c r="C2" s="23" t="n">
        <x:v>0.04600623</x:v>
      </x:c>
      <x:c r="D2" s="23" t="n">
        <x:v>0</x:v>
      </x:c>
      <x:c r="E2" s="23" t="n">
        <x:f>'Parameters'!$B$2*'Parameters'!$B$3*LN(4*PI()*C2^2)</x:f>
        <x:v>-8.991010230239805</x:v>
      </x:c>
      <x:c r="F2" s="23" t="n">
        <x:f>D2+E2</x:f>
        <x:v>-8.991010230239805</x:v>
      </x:c>
      <x:c r="G2" s="23" t="n">
        <x:f>AVERAGE($F$145:$F$168)</x:f>
        <x:v>16.996810930241676</x:v>
      </x:c>
      <x:c r="H2" s="24" t="n">
        <x:f>F2-G2</x:f>
        <x:v>-25.98782116048148</x:v>
      </x:c>
    </x:row>
    <x:row r="3">
      <x:c r="A3" s="2" t="str">
        <x:v>LiDA-1</x:v>
      </x:c>
      <x:c r="B3" s="4" t="str">
        <x:v>LiCl</x:v>
      </x:c>
      <x:c r="C3" s="23" t="n">
        <x:v>0.05846669</x:v>
      </x:c>
      <x:c r="D3" s="23" t="n">
        <x:v>-0.8982142</x:v>
      </x:c>
      <x:c r="E3" s="23" t="n">
        <x:f>'Parameters'!$B$2*'Parameters'!$B$3*LN(4*PI()*C3^2)</x:f>
        <x:v>-7.802695562745768</x:v>
      </x:c>
      <x:c r="F3" s="23" t="n">
        <x:f>D3+E3</x:f>
        <x:v>-8.700909762745768</x:v>
      </x:c>
      <x:c r="G3" s="23" t="n">
        <x:f>AVERAGE($F$145:$F$168)</x:f>
        <x:v>16.996810930241676</x:v>
      </x:c>
      <x:c r="H3" s="24" t="n">
        <x:f>F3-G3</x:f>
        <x:v>-25.697720692987446</x:v>
      </x:c>
    </x:row>
    <x:row r="4">
      <x:c r="A4" s="2" t="str">
        <x:v>LiDA-1</x:v>
      </x:c>
      <x:c r="B4" s="4" t="str">
        <x:v>LiCl</x:v>
      </x:c>
      <x:c r="C4" s="23" t="n">
        <x:v>0.07092715</x:v>
      </x:c>
      <x:c r="D4" s="23" t="n">
        <x:v>-0.863501</x:v>
      </x:c>
      <x:c r="E4" s="23" t="n">
        <x:f>'Parameters'!$B$2*'Parameters'!$B$3*LN(4*PI()*C4^2)</x:f>
        <x:v>-6.8448458845761095</x:v>
      </x:c>
      <x:c r="F4" s="23" t="n">
        <x:f>D4+E4</x:f>
        <x:v>-7.70834688457611</x:v>
      </x:c>
      <x:c r="G4" s="23" t="n">
        <x:f>AVERAGE($F$145:$F$168)</x:f>
        <x:v>16.996810930241676</x:v>
      </x:c>
      <x:c r="H4" s="24" t="n">
        <x:f>F4-G4</x:f>
        <x:v>-24.705157814817785</x:v>
      </x:c>
    </x:row>
    <x:row r="5">
      <x:c r="A5" s="2" t="str">
        <x:v>LiDA-1</x:v>
      </x:c>
      <x:c r="B5" s="4" t="str">
        <x:v>LiCl</x:v>
      </x:c>
      <x:c r="C5" s="23" t="n">
        <x:v>0.08338761</x:v>
      </x:c>
      <x:c r="D5" s="23" t="n">
        <x:v>-2.255614</x:v>
      </x:c>
      <x:c r="E5" s="23" t="n">
        <x:f>'Parameters'!$B$2*'Parameters'!$B$3*LN(4*PI()*C5^2)</x:f>
        <x:v>-6.042425128252862</x:v>
      </x:c>
      <x:c r="F5" s="23" t="n">
        <x:f>D5+E5</x:f>
        <x:v>-8.298039128252862</x:v>
      </x:c>
      <x:c r="G5" s="23" t="n">
        <x:f>AVERAGE($F$145:$F$168)</x:f>
        <x:v>16.996810930241676</x:v>
      </x:c>
      <x:c r="H5" s="24" t="n">
        <x:f>F5-G5</x:f>
        <x:v>-25.29485005849454</x:v>
      </x:c>
    </x:row>
    <x:row r="6">
      <x:c r="A6" s="2" t="str">
        <x:v>LiDA-1</x:v>
      </x:c>
      <x:c r="B6" s="4" t="str">
        <x:v>LiCl</x:v>
      </x:c>
      <x:c r="C6" s="23" t="n">
        <x:v>0.09584807</x:v>
      </x:c>
      <x:c r="D6" s="23" t="n">
        <x:v>-3.020128</x:v>
      </x:c>
      <x:c r="E6" s="23" t="n">
        <x:f>'Parameters'!$B$2*'Parameters'!$B$3*LN(4*PI()*C6^2)</x:f>
        <x:v>-5.35196322740021</x:v>
      </x:c>
      <x:c r="F6" s="23" t="n">
        <x:f>D6+E6</x:f>
        <x:v>-8.37209122740021</x:v>
      </x:c>
      <x:c r="G6" s="23" t="n">
        <x:f>AVERAGE($F$145:$F$168)</x:f>
        <x:v>16.996810930241676</x:v>
      </x:c>
      <x:c r="H6" s="24" t="n">
        <x:f>F6-G6</x:f>
        <x:v>-25.368902157641884</x:v>
      </x:c>
    </x:row>
    <x:row r="7">
      <x:c r="A7" s="2" t="str">
        <x:v>LiDA-1</x:v>
      </x:c>
      <x:c r="B7" s="4" t="str">
        <x:v>LiCl</x:v>
      </x:c>
      <x:c r="C7" s="23" t="n">
        <x:v>0.1083085</x:v>
      </x:c>
      <x:c r="D7" s="23" t="n">
        <x:v>-3.389709</x:v>
      </x:c>
      <x:c r="E7" s="23" t="n">
        <x:f>'Parameters'!$B$2*'Parameters'!$B$3*LN(4*PI()*C7^2)</x:f>
        <x:v>-4.746010426975064</x:v>
      </x:c>
      <x:c r="F7" s="23" t="n">
        <x:f>D7+E7</x:f>
        <x:v>-8.135719426975065</x:v>
      </x:c>
      <x:c r="G7" s="23" t="n">
        <x:f>AVERAGE($F$145:$F$168)</x:f>
        <x:v>16.996810930241676</x:v>
      </x:c>
      <x:c r="H7" s="24" t="n">
        <x:f>F7-G7</x:f>
        <x:v>-25.13253035721674</x:v>
      </x:c>
    </x:row>
    <x:row r="8">
      <x:c r="A8" s="2" t="str">
        <x:v>LiDA-1</x:v>
      </x:c>
      <x:c r="B8" s="4" t="str">
        <x:v>LiCl</x:v>
      </x:c>
      <x:c r="C8" s="23" t="n">
        <x:v>0.120769</x:v>
      </x:c>
      <x:c r="D8" s="23" t="n">
        <x:v>-3.104409</x:v>
      </x:c>
      <x:c r="E8" s="23" t="n">
        <x:f>'Parameters'!$B$2*'Parameters'!$B$3*LN(4*PI()*C8^2)</x:f>
        <x:v>-4.20611345012786</x:v>
      </x:c>
      <x:c r="F8" s="23" t="n">
        <x:f>D8+E8</x:f>
        <x:v>-7.310522450127859</x:v>
      </x:c>
      <x:c r="G8" s="23" t="n">
        <x:f>AVERAGE($F$145:$F$168)</x:f>
        <x:v>16.996810930241676</x:v>
      </x:c>
      <x:c r="H8" s="24" t="n">
        <x:f>F8-G8</x:f>
        <x:v>-24.307333380369535</x:v>
      </x:c>
    </x:row>
    <x:row r="9">
      <x:c r="A9" s="2" t="str">
        <x:v>LiDA-1</x:v>
      </x:c>
      <x:c r="B9" s="4" t="str">
        <x:v>LiCl</x:v>
      </x:c>
      <x:c r="C9" s="23" t="n">
        <x:v>0.1332295</x:v>
      </x:c>
      <x:c r="D9" s="23" t="n">
        <x:v>-2.783422</x:v>
      </x:c>
      <x:c r="E9" s="23" t="n">
        <x:f>'Parameters'!$B$2*'Parameters'!$B$3*LN(4*PI()*C9^2)</x:f>
        <x:v>-3.719278144083975</x:v>
      </x:c>
      <x:c r="F9" s="23" t="n">
        <x:f>D9+E9</x:f>
        <x:v>-6.502700144083975</x:v>
      </x:c>
      <x:c r="G9" s="23" t="n">
        <x:f>AVERAGE($F$145:$F$168)</x:f>
        <x:v>16.996810930241676</x:v>
      </x:c>
      <x:c r="H9" s="24" t="n">
        <x:f>F9-G9</x:f>
        <x:v>-23.49951107432565</x:v>
      </x:c>
    </x:row>
    <x:row r="10">
      <x:c r="A10" s="2" t="str">
        <x:v>LiDA-1</x:v>
      </x:c>
      <x:c r="B10" s="4" t="str">
        <x:v>LiCl</x:v>
      </x:c>
      <x:c r="C10" s="23" t="n">
        <x:v>0.1456899</x:v>
      </x:c>
      <x:c r="D10" s="23" t="n">
        <x:v>-4.978303</x:v>
      </x:c>
      <x:c r="E10" s="23" t="n">
        <x:f>'Parameters'!$B$2*'Parameters'!$B$3*LN(4*PI()*C10^2)</x:f>
        <x:v>-3.276005003486885</x:v>
      </x:c>
      <x:c r="F10" s="23" t="n">
        <x:f>D10+E10</x:f>
        <x:v>-8.254308003486885</x:v>
      </x:c>
      <x:c r="G10" s="23" t="n">
        <x:f>AVERAGE($F$145:$F$168)</x:f>
        <x:v>16.996810930241676</x:v>
      </x:c>
      <x:c r="H10" s="24" t="n">
        <x:f>F10-G10</x:f>
        <x:v>-25.251118933728563</x:v>
      </x:c>
    </x:row>
    <x:row r="11">
      <x:c r="A11" s="2" t="str">
        <x:v>LiDA-1</x:v>
      </x:c>
      <x:c r="B11" s="4" t="str">
        <x:v>LiCl</x:v>
      </x:c>
      <x:c r="C11" s="23" t="n">
        <x:v>0.1581504</x:v>
      </x:c>
      <x:c r="D11" s="23" t="n">
        <x:v>-6.843324</x:v>
      </x:c>
      <x:c r="E11" s="23" t="n">
        <x:f>'Parameters'!$B$2*'Parameters'!$B$3*LN(4*PI()*C11^2)</x:f>
        <x:v>-2.8691283884574537</x:v>
      </x:c>
      <x:c r="F11" s="23" t="n">
        <x:f>D11+E11</x:f>
        <x:v>-9.712452388457454</x:v>
      </x:c>
      <x:c r="G11" s="23" t="n">
        <x:f>AVERAGE($F$145:$F$168)</x:f>
        <x:v>16.996810930241676</x:v>
      </x:c>
      <x:c r="H11" s="24" t="n">
        <x:f>F11-G11</x:f>
        <x:v>-26.70926331869913</x:v>
      </x:c>
    </x:row>
    <x:row r="12">
      <x:c r="A12" s="2" t="str">
        <x:v>LiDA-1</x:v>
      </x:c>
      <x:c r="B12" s="4" t="str">
        <x:v>LiCl</x:v>
      </x:c>
      <x:c r="C12" s="23" t="n">
        <x:v>0.1706108</x:v>
      </x:c>
      <x:c r="D12" s="23" t="n">
        <x:v>-7.470331</x:v>
      </x:c>
      <x:c r="E12" s="23" t="n">
        <x:f>'Parameters'!$B$2*'Parameters'!$B$3*LN(4*PI()*C12^2)</x:f>
        <x:v>-2.493127821197242</x:v>
      </x:c>
      <x:c r="F12" s="23" t="n">
        <x:f>D12+E12</x:f>
        <x:v>-9.963458821197243</x:v>
      </x:c>
      <x:c r="G12" s="23" t="n">
        <x:f>AVERAGE($F$145:$F$168)</x:f>
        <x:v>16.996810930241676</x:v>
      </x:c>
      <x:c r="H12" s="24" t="n">
        <x:f>F12-G12</x:f>
        <x:v>-26.96026975143892</x:v>
      </x:c>
    </x:row>
    <x:row r="13">
      <x:c r="A13" s="2" t="str">
        <x:v>LiDA-1</x:v>
      </x:c>
      <x:c r="B13" s="4" t="str">
        <x:v>LiCl</x:v>
      </x:c>
      <x:c r="C13" s="23" t="n">
        <x:v>0.1830713</x:v>
      </x:c>
      <x:c r="D13" s="23" t="n">
        <x:v>-6.373418</x:v>
      </x:c>
      <x:c r="E13" s="23" t="n">
        <x:f>'Parameters'!$B$2*'Parameters'!$B$3*LN(4*PI()*C13^2)</x:f>
        <x:v>-2.1436407138870086</x:v>
      </x:c>
      <x:c r="F13" s="23" t="n">
        <x:f>D13+E13</x:f>
        <x:v>-8.517058713887009</x:v>
      </x:c>
      <x:c r="G13" s="23" t="n">
        <x:f>AVERAGE($F$145:$F$168)</x:f>
        <x:v>16.996810930241676</x:v>
      </x:c>
      <x:c r="H13" s="24" t="n">
        <x:f>F13-G13</x:f>
        <x:v>-25.513869644128683</x:v>
      </x:c>
    </x:row>
    <x:row r="14">
      <x:c r="A14" s="2" t="str">
        <x:v>LiDA-1</x:v>
      </x:c>
      <x:c r="B14" s="4" t="str">
        <x:v>LiCl</x:v>
      </x:c>
      <x:c r="C14" s="23" t="n">
        <x:v>0.1955317</x:v>
      </x:c>
      <x:c r="D14" s="23" t="n">
        <x:v>-4.617138</x:v>
      </x:c>
      <x:c r="E14" s="23" t="n">
        <x:f>'Parameters'!$B$2*'Parameters'!$B$3*LN(4*PI()*C14^2)</x:f>
        <x:v>-1.8171778384032156</x:v>
      </x:c>
      <x:c r="F14" s="23" t="n">
        <x:f>D14+E14</x:f>
        <x:v>-6.434315838403215</x:v>
      </x:c>
      <x:c r="G14" s="23" t="n">
        <x:f>AVERAGE($F$145:$F$168)</x:f>
        <x:v>16.996810930241676</x:v>
      </x:c>
      <x:c r="H14" s="24" t="n">
        <x:f>F14-G14</x:f>
        <x:v>-23.43112676864489</x:v>
      </x:c>
    </x:row>
    <x:row r="15">
      <x:c r="A15" s="2" t="str">
        <x:v>LiDA-1</x:v>
      </x:c>
      <x:c r="B15" s="4" t="str">
        <x:v>LiCl</x:v>
      </x:c>
      <x:c r="C15" s="23" t="n">
        <x:v>0.2079922</x:v>
      </x:c>
      <x:c r="D15" s="23" t="n">
        <x:v>-2.787308</x:v>
      </x:c>
      <x:c r="E15" s="23" t="n">
        <x:f>'Parameters'!$B$2*'Parameters'!$B$3*LN(4*PI()*C15^2)</x:f>
        <x:v>-1.5108875044642476</x:v>
      </x:c>
      <x:c r="F15" s="23" t="n">
        <x:f>D15+E15</x:f>
        <x:v>-4.298195504464248</x:v>
      </x:c>
      <x:c r="G15" s="23" t="n">
        <x:f>AVERAGE($F$145:$F$168)</x:f>
        <x:v>16.996810930241676</x:v>
      </x:c>
      <x:c r="H15" s="24" t="n">
        <x:f>F15-G15</x:f>
        <x:v>-21.295006434705925</x:v>
      </x:c>
    </x:row>
    <x:row r="16">
      <x:c r="A16" s="2" t="str">
        <x:v>LiDA-1</x:v>
      </x:c>
      <x:c r="B16" s="4" t="str">
        <x:v>LiCl</x:v>
      </x:c>
      <x:c r="C16" s="23" t="n">
        <x:v>0.2204527</x:v>
      </x:c>
      <x:c r="D16" s="23" t="n">
        <x:v>-0.6617332</x:v>
      </x:c>
      <x:c r="E16" s="23" t="n">
        <x:f>'Parameters'!$B$2*'Parameters'!$B$3*LN(4*PI()*C16^2)</x:f>
        <x:v>-1.2224232710686322</x:v>
      </x:c>
      <x:c r="F16" s="23" t="n">
        <x:f>D16+E16</x:f>
        <x:v>-1.8841564710686323</x:v>
      </x:c>
      <x:c r="G16" s="23" t="n">
        <x:f>AVERAGE($F$145:$F$168)</x:f>
        <x:v>16.996810930241676</x:v>
      </x:c>
      <x:c r="H16" s="24" t="n">
        <x:f>F16-G16</x:f>
        <x:v>-18.880967401310308</x:v>
      </x:c>
    </x:row>
    <x:row r="17">
      <x:c r="A17" s="2" t="str">
        <x:v>LiDA-1</x:v>
      </x:c>
      <x:c r="B17" s="4" t="str">
        <x:v>LiCl</x:v>
      </x:c>
      <x:c r="C17" s="23" t="n">
        <x:v>0.2329131</x:v>
      </x:c>
      <x:c r="D17" s="23" t="n">
        <x:v>1.996928</x:v>
      </x:c>
      <x:c r="E17" s="23" t="n">
        <x:f>'Parameters'!$B$2*'Parameters'!$B$3*LN(4*PI()*C17^2)</x:f>
        <x:v>-0.9498259352395039</x:v>
      </x:c>
      <x:c r="F17" s="23" t="n">
        <x:f>D17+E17</x:f>
        <x:v>1.0471020647604963</x:v>
      </x:c>
      <x:c r="G17" s="23" t="n">
        <x:f>AVERAGE($F$145:$F$168)</x:f>
        <x:v>16.996810930241676</x:v>
      </x:c>
      <x:c r="H17" s="24" t="n">
        <x:f>F17-G17</x:f>
        <x:v>-15.94970886548118</x:v>
      </x:c>
    </x:row>
    <x:row r="18">
      <x:c r="A18" s="2" t="str">
        <x:v>LiDA-1</x:v>
      </x:c>
      <x:c r="B18" s="4" t="str">
        <x:v>LiCl</x:v>
      </x:c>
      <x:c r="C18" s="23" t="n">
        <x:v>0.2453736</x:v>
      </x:c>
      <x:c r="D18" s="23" t="n">
        <x:v>3.480746</x:v>
      </x:c>
      <x:c r="E18" s="23" t="n">
        <x:f>'Parameters'!$B$2*'Parameters'!$B$3*LN(4*PI()*C18^2)</x:f>
        <x:v>-0.6914366861864504</x:v>
      </x:c>
      <x:c r="F18" s="23" t="n">
        <x:f>D18+E18</x:f>
        <x:v>2.7893093138135496</x:v>
      </x:c>
      <x:c r="G18" s="23" t="n">
        <x:f>AVERAGE($F$145:$F$168)</x:f>
        <x:v>16.996810930241676</x:v>
      </x:c>
      <x:c r="H18" s="24" t="n">
        <x:f>F18-G18</x:f>
        <x:v>-14.207501616428125</x:v>
      </x:c>
    </x:row>
    <x:row r="19">
      <x:c r="A19" s="2" t="str">
        <x:v>LiDA-1</x:v>
      </x:c>
      <x:c r="B19" s="4" t="str">
        <x:v>LiCl</x:v>
      </x:c>
      <x:c r="C19" s="23" t="n">
        <x:v>0.257834</x:v>
      </x:c>
      <x:c r="D19" s="23" t="n">
        <x:v>2.768034</x:v>
      </x:c>
      <x:c r="E19" s="23" t="n">
        <x:f>'Parameters'!$B$2*'Parameters'!$B$3*LN(4*PI()*C19^2)</x:f>
        <x:v>-0.4458512721995421</x:v>
      </x:c>
      <x:c r="F19" s="23" t="n">
        <x:f>D19+E19</x:f>
        <x:v>2.322182727800458</x:v>
      </x:c>
      <x:c r="G19" s="23" t="n">
        <x:f>AVERAGE($F$145:$F$168)</x:f>
        <x:v>16.996810930241676</x:v>
      </x:c>
      <x:c r="H19" s="24" t="n">
        <x:f>F19-G19</x:f>
        <x:v>-14.674628202441218</x:v>
      </x:c>
    </x:row>
    <x:row r="20">
      <x:c r="A20" s="2" t="str">
        <x:v>LiDA-1</x:v>
      </x:c>
      <x:c r="B20" s="4" t="str">
        <x:v>LiCl</x:v>
      </x:c>
      <x:c r="C20" s="23" t="n">
        <x:v>0.2702945</x:v>
      </x:c>
      <x:c r="D20" s="23" t="n">
        <x:v>2.203009</x:v>
      </x:c>
      <x:c r="E20" s="23" t="n">
        <x:f>'Parameters'!$B$2*'Parameters'!$B$3*LN(4*PI()*C20^2)</x:f>
        <x:v>-0.2118568744711171</x:v>
      </x:c>
      <x:c r="F20" s="23" t="n">
        <x:f>D20+E20</x:f>
        <x:v>1.991152125528883</x:v>
      </x:c>
      <x:c r="G20" s="23" t="n">
        <x:f>AVERAGE($F$145:$F$168)</x:f>
        <x:v>16.996810930241676</x:v>
      </x:c>
      <x:c r="H20" s="24" t="n">
        <x:f>F20-G20</x:f>
        <x:v>-15.005658804712793</x:v>
      </x:c>
    </x:row>
    <x:row r="21">
      <x:c r="A21" s="2" t="str">
        <x:v>LiDA-1</x:v>
      </x:c>
      <x:c r="B21" s="4" t="str">
        <x:v>LiCl</x:v>
      </x:c>
      <x:c r="C21" s="23" t="n">
        <x:v>0.282755</x:v>
      </x:c>
      <x:c r="D21" s="23" t="n">
        <x:v>1.463071</x:v>
      </x:c>
      <x:c r="E21" s="23" t="n">
        <x:f>'Parameters'!$B$2*'Parameters'!$B$3*LN(4*PI()*C21^2)</x:f>
        <x:v>0.01158983214490117</x:v>
      </x:c>
      <x:c r="F21" s="23" t="n">
        <x:f>D21+E21</x:f>
        <x:v>1.4746608321449013</x:v>
      </x:c>
      <x:c r="G21" s="23" t="n">
        <x:f>AVERAGE($F$145:$F$168)</x:f>
        <x:v>16.996810930241676</x:v>
      </x:c>
      <x:c r="H21" s="24" t="n">
        <x:f>F21-G21</x:f>
        <x:v>-15.522150098096775</x:v>
      </x:c>
    </x:row>
    <x:row r="22">
      <x:c r="A22" s="2" t="str">
        <x:v>LiDA-1</x:v>
      </x:c>
      <x:c r="B22" s="4" t="str">
        <x:v>LiCl</x:v>
      </x:c>
      <x:c r="C22" s="23" t="n">
        <x:v>0.2952154</x:v>
      </x:c>
      <x:c r="D22" s="23" t="n">
        <x:v>0.5864614</x:v>
      </x:c>
      <x:c r="E22" s="23" t="n">
        <x:f>'Parameters'!$B$2*'Parameters'!$B$3*LN(4*PI()*C22^2)</x:f>
        <x:v>0.22539720403627772</x:v>
      </x:c>
      <x:c r="F22" s="23" t="n">
        <x:f>D22+E22</x:f>
        <x:v>0.8118586040362777</x:v>
      </x:c>
      <x:c r="G22" s="23" t="n">
        <x:f>AVERAGE($F$145:$F$168)</x:f>
        <x:v>16.996810930241676</x:v>
      </x:c>
      <x:c r="H22" s="24" t="n">
        <x:f>F22-G22</x:f>
        <x:v>-16.184952326205398</x:v>
      </x:c>
    </x:row>
    <x:row r="23">
      <x:c r="A23" s="2" t="str">
        <x:v>LiDA-1</x:v>
      </x:c>
      <x:c r="B23" s="4" t="str">
        <x:v>LiCl</x:v>
      </x:c>
      <x:c r="C23" s="23" t="n">
        <x:v>0.3076759</x:v>
      </x:c>
      <x:c r="D23" s="23" t="n">
        <x:v>-0.2574248</x:v>
      </x:c>
      <x:c r="E23" s="23" t="n">
        <x:f>'Parameters'!$B$2*'Parameters'!$B$3*LN(4*PI()*C23^2)</x:f>
        <x:v>0.4303657839879032</x:v>
      </x:c>
      <x:c r="F23" s="23" t="n">
        <x:f>D23+E23</x:f>
        <x:v>0.1729409839879032</x:v>
      </x:c>
      <x:c r="G23" s="23" t="n">
        <x:f>AVERAGE($F$145:$F$168)</x:f>
        <x:v>16.996810930241676</x:v>
      </x:c>
      <x:c r="H23" s="24" t="n">
        <x:f>F23-G23</x:f>
        <x:v>-16.823869946253772</x:v>
      </x:c>
    </x:row>
    <x:row r="24">
      <x:c r="A24" s="2" t="str">
        <x:v>LiDA-1</x:v>
      </x:c>
      <x:c r="B24" s="4" t="str">
        <x:v>LiCl</x:v>
      </x:c>
      <x:c r="C24" s="23" t="n">
        <x:v>0.3201363</x:v>
      </x:c>
      <x:c r="D24" s="23" t="n">
        <x:v>-1.034227</x:v>
      </x:c>
      <x:c r="E24" s="23" t="n">
        <x:f>'Parameters'!$B$2*'Parameters'!$B$3*LN(4*PI()*C24^2)</x:f>
        <x:v>0.6271944088671516</x:v>
      </x:c>
      <x:c r="F24" s="23" t="n">
        <x:f>D24+E24</x:f>
        <x:v>-0.4070325911328484</x:v>
      </x:c>
      <x:c r="G24" s="23" t="n">
        <x:f>AVERAGE($F$145:$F$168)</x:f>
        <x:v>16.996810930241676</x:v>
      </x:c>
      <x:c r="H24" s="24" t="n">
        <x:f>F24-G24</x:f>
        <x:v>-17.403843521374522</x:v>
      </x:c>
    </x:row>
    <x:row r="25">
      <x:c r="A25" s="2" t="str">
        <x:v>LiDA-1</x:v>
      </x:c>
      <x:c r="B25" s="4" t="str">
        <x:v>LiCl</x:v>
      </x:c>
      <x:c r="C25" s="23" t="n">
        <x:v>0.3325968</x:v>
      </x:c>
      <x:c r="D25" s="23" t="n">
        <x:v>-1.903664</x:v>
      </x:c>
      <x:c r="E25" s="23" t="n">
        <x:f>'Parameters'!$B$2*'Parameters'!$B$3*LN(4*PI()*C25^2)</x:f>
        <x:v>0.816507909660751</x:v>
      </x:c>
      <x:c r="F25" s="23" t="n">
        <x:f>D25+E25</x:f>
        <x:v>-1.087156090339249</x:v>
      </x:c>
      <x:c r="G25" s="23" t="n">
        <x:f>AVERAGE($F$145:$F$168)</x:f>
        <x:v>16.996810930241676</x:v>
      </x:c>
      <x:c r="H25" s="24" t="n">
        <x:f>F25-G25</x:f>
        <x:v>-18.083967020580925</x:v>
      </x:c>
    </x:row>
    <x:row r="26">
      <x:c r="A26" s="2" t="str">
        <x:v>LiDA-1</x:v>
      </x:c>
      <x:c r="B26" s="4" t="str">
        <x:v>LiCl</x:v>
      </x:c>
      <x:c r="C26" s="23" t="n">
        <x:v>0.3450573</x:v>
      </x:c>
      <x:c r="D26" s="23" t="n">
        <x:v>-2.348376</x:v>
      </x:c>
      <x:c r="E26" s="23" t="n">
        <x:f>'Parameters'!$B$2*'Parameters'!$B$3*LN(4*PI()*C26^2)</x:f>
        <x:v>0.9988577311770576</x:v>
      </x:c>
      <x:c r="F26" s="23" t="n">
        <x:f>D26+E26</x:f>
        <x:v>-1.3495182688229423</x:v>
      </x:c>
      <x:c r="G26" s="23" t="n">
        <x:f>AVERAGE($F$145:$F$168)</x:f>
        <x:v>16.996810930241676</x:v>
      </x:c>
      <x:c r="H26" s="24" t="n">
        <x:f>F26-G26</x:f>
        <x:v>-18.34632919906462</x:v>
      </x:c>
    </x:row>
    <x:row r="27">
      <x:c r="A27" s="2" t="str">
        <x:v>LiDA-1</x:v>
      </x:c>
      <x:c r="B27" s="4" t="str">
        <x:v>LiCl</x:v>
      </x:c>
      <x:c r="C27" s="23" t="n">
        <x:v>0.3575177</x:v>
      </x:c>
      <x:c r="D27" s="23" t="n">
        <x:v>-2.744788</x:v>
      </x:c>
      <x:c r="E27" s="23" t="n">
        <x:f>'Parameters'!$B$2*'Parameters'!$B$3*LN(4*PI()*C27^2)</x:f>
        <x:v>1.1747366644750805</x:v>
      </x:c>
      <x:c r="F27" s="23" t="n">
        <x:f>D27+E27</x:f>
        <x:v>-1.5700513355249193</x:v>
      </x:c>
      <x:c r="G27" s="23" t="n">
        <x:f>AVERAGE($F$145:$F$168)</x:f>
        <x:v>16.996810930241676</x:v>
      </x:c>
      <x:c r="H27" s="24" t="n">
        <x:f>F27-G27</x:f>
        <x:v>-18.566862265766595</x:v>
      </x:c>
    </x:row>
    <x:row r="28">
      <x:c r="A28" s="2" t="str">
        <x:v>LiDA-1</x:v>
      </x:c>
      <x:c r="B28" s="4" t="str">
        <x:v>LiCl</x:v>
      </x:c>
      <x:c r="C28" s="23" t="n">
        <x:v>0.3699782</x:v>
      </x:c>
      <x:c r="D28" s="23" t="n">
        <x:v>-2.964904</x:v>
      </x:c>
      <x:c r="E28" s="23" t="n">
        <x:f>'Parameters'!$B$2*'Parameters'!$B$3*LN(4*PI()*C28^2)</x:f>
        <x:v>1.3445909011683985</x:v>
      </x:c>
      <x:c r="F28" s="23" t="n">
        <x:f>D28+E28</x:f>
        <x:v>-1.6203130988316017</x:v>
      </x:c>
      <x:c r="G28" s="23" t="n">
        <x:f>AVERAGE($F$145:$F$168)</x:f>
        <x:v>16.996810930241676</x:v>
      </x:c>
      <x:c r="H28" s="24" t="n">
        <x:f>F28-G28</x:f>
        <x:v>-18.617124029073278</x:v>
      </x:c>
    </x:row>
    <x:row r="29">
      <x:c r="A29" s="2" t="str">
        <x:v>LiDA-1</x:v>
      </x:c>
      <x:c r="B29" s="4" t="str">
        <x:v>LiCl</x:v>
      </x:c>
      <x:c r="C29" s="23" t="n">
        <x:v>0.3824386</x:v>
      </x:c>
      <x:c r="D29" s="23" t="n">
        <x:v>-3.262885</x:v>
      </x:c>
      <x:c r="E29" s="23" t="n">
        <x:f>'Parameters'!$B$2*'Parameters'!$B$3*LN(4*PI()*C29^2)</x:f>
        <x:v>1.5088170077069487</x:v>
      </x:c>
      <x:c r="F29" s="23" t="n">
        <x:f>D29+E29</x:f>
        <x:v>-1.754067992293051</x:v>
      </x:c>
      <x:c r="G29" s="23" t="n">
        <x:f>AVERAGE($F$145:$F$168)</x:f>
        <x:v>16.996810930241676</x:v>
      </x:c>
      <x:c r="H29" s="24" t="n">
        <x:f>F29-G29</x:f>
        <x:v>-18.750878922534728</x:v>
      </x:c>
    </x:row>
    <x:row r="30">
      <x:c r="A30" s="2" t="str">
        <x:v>LiDA-1</x:v>
      </x:c>
      <x:c r="B30" s="4" t="str">
        <x:v>LiCl</x:v>
      </x:c>
      <x:c r="C30" s="23" t="n">
        <x:v>0.3948991</x:v>
      </x:c>
      <x:c r="D30" s="23" t="n">
        <x:v>-3.371889</x:v>
      </x:c>
      <x:c r="E30" s="23" t="n">
        <x:f>'Parameters'!$B$2*'Parameters'!$B$3*LN(4*PI()*C30^2)</x:f>
        <x:v>1.6677784996780025</x:v>
      </x:c>
      <x:c r="F30" s="23" t="n">
        <x:f>D30+E30</x:f>
        <x:v>-1.7041105003219974</x:v>
      </x:c>
      <x:c r="G30" s="23" t="n">
        <x:f>AVERAGE($F$145:$F$168)</x:f>
        <x:v>16.996810930241676</x:v>
      </x:c>
      <x:c r="H30" s="24" t="n">
        <x:f>F30-G30</x:f>
        <x:v>-18.700921430563675</x:v>
      </x:c>
    </x:row>
    <x:row r="31">
      <x:c r="A31" s="2" t="str">
        <x:v>LiDA-1</x:v>
      </x:c>
      <x:c r="B31" s="4" t="str">
        <x:v>LiCl</x:v>
      </x:c>
      <x:c r="C31" s="23" t="n">
        <x:v>0.4073596</x:v>
      </x:c>
      <x:c r="D31" s="23" t="n">
        <x:v>-3.335986</x:v>
      </x:c>
      <x:c r="E31" s="23" t="n">
        <x:f>'Parameters'!$B$2*'Parameters'!$B$3*LN(4*PI()*C31^2)</x:f>
        <x:v>1.8218012770013827</x:v>
      </x:c>
      <x:c r="F31" s="23" t="n">
        <x:f>D31+E31</x:f>
        <x:v>-1.5141847229986174</x:v>
      </x:c>
      <x:c r="G31" s="23" t="n">
        <x:f>AVERAGE($F$145:$F$168)</x:f>
        <x:v>16.996810930241676</x:v>
      </x:c>
      <x:c r="H31" s="24" t="n">
        <x:f>F31-G31</x:f>
        <x:v>-18.510995653240293</x:v>
      </x:c>
    </x:row>
    <x:row r="32">
      <x:c r="A32" s="2" t="str">
        <x:v>LiDA-1</x:v>
      </x:c>
      <x:c r="B32" s="4" t="str">
        <x:v>LiCl</x:v>
      </x:c>
      <x:c r="C32" s="23" t="n">
        <x:v>0.41982</x:v>
      </x:c>
      <x:c r="D32" s="23" t="n">
        <x:v>-3.440759</x:v>
      </x:c>
      <x:c r="E32" s="23" t="n">
        <x:f>'Parameters'!$B$2*'Parameters'!$B$3*LN(4*PI()*C32^2)</x:f>
        <x:v>1.9711818123673848</x:v>
      </x:c>
      <x:c r="F32" s="23" t="n">
        <x:f>D32+E32</x:f>
        <x:v>-1.4695771876326151</x:v>
      </x:c>
      <x:c r="G32" s="23" t="n">
        <x:f>AVERAGE($F$145:$F$168)</x:f>
        <x:v>16.996810930241676</x:v>
      </x:c>
      <x:c r="H32" s="24" t="n">
        <x:f>F32-G32</x:f>
        <x:v>-18.466388117874292</x:v>
      </x:c>
    </x:row>
    <x:row r="33">
      <x:c r="A33" s="2" t="str">
        <x:v>LiDA-1</x:v>
      </x:c>
      <x:c r="B33" s="4" t="str">
        <x:v>LiCl</x:v>
      </x:c>
      <x:c r="C33" s="23" t="n">
        <x:v>0.4322805</x:v>
      </x:c>
      <x:c r="D33" s="23" t="n">
        <x:v>-3.635847</x:v>
      </x:c>
      <x:c r="E33" s="23" t="n">
        <x:f>'Parameters'!$B$2*'Parameters'!$B$3*LN(4*PI()*C33^2)</x:f>
        <x:v>2.116194031572753</x:v>
      </x:c>
      <x:c r="F33" s="23" t="n">
        <x:f>D33+E33</x:f>
        <x:v>-1.519652968427247</x:v>
      </x:c>
      <x:c r="G33" s="23" t="n">
        <x:f>AVERAGE($F$145:$F$168)</x:f>
        <x:v>16.996810930241676</x:v>
      </x:c>
      <x:c r="H33" s="24" t="n">
        <x:f>F33-G33</x:f>
        <x:v>-18.516463898668924</x:v>
      </x:c>
    </x:row>
    <x:row r="34">
      <x:c r="A34" s="2" t="str">
        <x:v>LiDA-1</x:v>
      </x:c>
      <x:c r="B34" s="4" t="str">
        <x:v>LiCl</x:v>
      </x:c>
      <x:c r="C34" s="23" t="n">
        <x:v>0.4447409</x:v>
      </x:c>
      <x:c r="D34" s="23" t="n">
        <x:v>-3.910657</x:v>
      </x:c>
      <x:c r="E34" s="23" t="n">
        <x:f>'Parameters'!$B$2*'Parameters'!$B$3*LN(4*PI()*C34^2)</x:f>
        <x:v>2.2570839792778767</x:v>
      </x:c>
      <x:c r="F34" s="23" t="n">
        <x:f>D34+E34</x:f>
        <x:v>-1.6535730207221233</x:v>
      </x:c>
      <x:c r="G34" s="23" t="n">
        <x:f>AVERAGE($F$145:$F$168)</x:f>
        <x:v>16.996810930241676</x:v>
      </x:c>
      <x:c r="H34" s="24" t="n">
        <x:f>F34-G34</x:f>
        <x:v>-18.6503839509638</x:v>
      </x:c>
    </x:row>
    <x:row r="35">
      <x:c r="A35" s="2" t="str">
        <x:v>LiDA-1</x:v>
      </x:c>
      <x:c r="B35" s="4" t="str">
        <x:v>LiCl</x:v>
      </x:c>
      <x:c r="C35" s="23" t="n">
        <x:v>0.4572014</x:v>
      </x:c>
      <x:c r="D35" s="23" t="n">
        <x:v>-4.125465</x:v>
      </x:c>
      <x:c r="E35" s="23" t="n">
        <x:f>'Parameters'!$B$2*'Parameters'!$B$3*LN(4*PI()*C35^2)</x:f>
        <x:v>2.394081698296793</x:v>
      </x:c>
      <x:c r="F35" s="23" t="n">
        <x:f>D35+E35</x:f>
        <x:v>-1.731383301703207</x:v>
      </x:c>
      <x:c r="G35" s="23" t="n">
        <x:f>AVERAGE($F$145:$F$168)</x:f>
        <x:v>16.996810930241676</x:v>
      </x:c>
      <x:c r="H35" s="24" t="n">
        <x:f>F35-G35</x:f>
        <x:v>-18.728194231944883</x:v>
      </x:c>
    </x:row>
    <x:row r="36">
      <x:c r="A36" s="2" t="str">
        <x:v>LiDA-1</x:v>
      </x:c>
      <x:c r="B36" s="4" t="str">
        <x:v>LiCl</x:v>
      </x:c>
      <x:c r="C36" s="23" t="n">
        <x:v>0.4696619</x:v>
      </x:c>
      <x:c r="D36" s="23" t="n">
        <x:v>-4.061283</x:v>
      </x:c>
      <x:c r="E36" s="23" t="n">
        <x:f>'Parameters'!$B$2*'Parameters'!$B$3*LN(4*PI()*C36^2)</x:f>
        <x:v>2.5273954465834603</x:v>
      </x:c>
      <x:c r="F36" s="23" t="n">
        <x:f>D36+E36</x:f>
        <x:v>-1.5338875534165402</x:v>
      </x:c>
      <x:c r="G36" s="23" t="n">
        <x:f>AVERAGE($F$145:$F$168)</x:f>
        <x:v>16.996810930241676</x:v>
      </x:c>
      <x:c r="H36" s="24" t="n">
        <x:f>F36-G36</x:f>
        <x:v>-18.530698483658217</x:v>
      </x:c>
    </x:row>
    <x:row r="37">
      <x:c r="A37" s="2" t="str">
        <x:v>LiDA-1</x:v>
      </x:c>
      <x:c r="B37" s="4" t="str">
        <x:v>LiCl</x:v>
      </x:c>
      <x:c r="C37" s="23" t="n">
        <x:v>0.4821223</x:v>
      </x:c>
      <x:c r="D37" s="23" t="n">
        <x:v>-3.849803</x:v>
      </x:c>
      <x:c r="E37" s="23" t="n">
        <x:f>'Parameters'!$B$2*'Parameters'!$B$3*LN(4*PI()*C37^2)</x:f>
        <x:v>2.657217147915339</x:v>
      </x:c>
      <x:c r="F37" s="23" t="n">
        <x:f>D37+E37</x:f>
        <x:v>-1.1925858520846613</x:v>
      </x:c>
      <x:c r="G37" s="23" t="n">
        <x:f>AVERAGE($F$145:$F$168)</x:f>
        <x:v>16.996810930241676</x:v>
      </x:c>
      <x:c r="H37" s="24" t="n">
        <x:f>F37-G37</x:f>
        <x:v>-18.189396782326337</x:v>
      </x:c>
    </x:row>
    <x:row r="38">
      <x:c r="A38" s="2" t="str">
        <x:v>LiDA-1</x:v>
      </x:c>
      <x:c r="B38" s="4" t="str">
        <x:v>LiCl</x:v>
      </x:c>
      <x:c r="C38" s="23" t="n">
        <x:v>0.4945828</x:v>
      </x:c>
      <x:c r="D38" s="23" t="n">
        <x:v>-3.615208</x:v>
      </x:c>
      <x:c r="E38" s="23" t="n">
        <x:f>'Parameters'!$B$2*'Parameters'!$B$3*LN(4*PI()*C38^2)</x:f>
        <x:v>2.7837270639607854</x:v>
      </x:c>
      <x:c r="F38" s="23" t="n">
        <x:f>D38+E38</x:f>
        <x:v>-0.8314809360392146</x:v>
      </x:c>
      <x:c r="G38" s="23" t="n">
        <x:f>AVERAGE($F$145:$F$168)</x:f>
        <x:v>16.996810930241676</x:v>
      </x:c>
      <x:c r="H38" s="24" t="n">
        <x:f>F38-G38</x:f>
        <x:v>-17.82829186628089</x:v>
      </x:c>
    </x:row>
    <x:row r="39">
      <x:c r="A39" s="2" t="str">
        <x:v>LiDA-1</x:v>
      </x:c>
      <x:c r="B39" s="4" t="str">
        <x:v>LiCl</x:v>
      </x:c>
      <x:c r="C39" s="23" t="n">
        <x:v>0.5070432</x:v>
      </x:c>
      <x:c r="D39" s="23" t="n">
        <x:v>-3.514024</x:v>
      </x:c>
      <x:c r="E39" s="23" t="n">
        <x:f>'Parameters'!$B$2*'Parameters'!$B$3*LN(4*PI()*C39^2)</x:f>
        <x:v>2.907088038008586</x:v>
      </x:c>
      <x:c r="F39" s="23" t="n">
        <x:f>D39+E39</x:f>
        <x:v>-0.6069359619914141</x:v>
      </x:c>
      <x:c r="G39" s="23" t="n">
        <x:f>AVERAGE($F$145:$F$168)</x:f>
        <x:v>16.996810930241676</x:v>
      </x:c>
      <x:c r="H39" s="24" t="n">
        <x:f>F39-G39</x:f>
        <x:v>-17.60374689223309</x:v>
      </x:c>
    </x:row>
    <x:row r="40">
      <x:c r="A40" s="2" t="str">
        <x:v>LiDA-1</x:v>
      </x:c>
      <x:c r="B40" s="4" t="str">
        <x:v>LiCl</x:v>
      </x:c>
      <x:c r="C40" s="23" t="n">
        <x:v>0.5195037</x:v>
      </x:c>
      <x:c r="D40" s="23" t="n">
        <x:v>-3.28266</x:v>
      </x:c>
      <x:c r="E40" s="23" t="n">
        <x:f>'Parameters'!$B$2*'Parameters'!$B$3*LN(4*PI()*C40^2)</x:f>
        <x:v>3.0274549155076618</x:v>
      </x:c>
      <x:c r="F40" s="23" t="n">
        <x:f>D40+E40</x:f>
        <x:v>-0.25520508449233814</x:v>
      </x:c>
      <x:c r="G40" s="23" t="n">
        <x:f>AVERAGE($F$145:$F$168)</x:f>
        <x:v>16.996810930241676</x:v>
      </x:c>
      <x:c r="H40" s="24" t="n">
        <x:f>F40-G40</x:f>
        <x:v>-17.252016014734014</x:v>
      </x:c>
    </x:row>
    <x:row r="41">
      <x:c r="A41" s="2" t="str">
        <x:v>LiDA-1</x:v>
      </x:c>
      <x:c r="B41" s="4" t="str">
        <x:v>LiCl</x:v>
      </x:c>
      <x:c r="C41" s="23" t="n">
        <x:v>0.5319642</x:v>
      </x:c>
      <x:c r="D41" s="23" t="n">
        <x:v>-3.253758</x:v>
      </x:c>
      <x:c r="E41" s="23" t="n">
        <x:f>'Parameters'!$B$2*'Parameters'!$B$3*LN(4*PI()*C41^2)</x:f>
        <x:v>3.144968689037577</x:v>
      </x:c>
      <x:c r="F41" s="23" t="n">
        <x:f>D41+E41</x:f>
        <x:v>-0.10878931096242273</x:v>
      </x:c>
      <x:c r="G41" s="23" t="n">
        <x:f>AVERAGE($F$145:$F$168)</x:f>
        <x:v>16.996810930241676</x:v>
      </x:c>
      <x:c r="H41" s="24" t="n">
        <x:f>F41-G41</x:f>
        <x:v>-17.105600241204098</x:v>
      </x:c>
    </x:row>
    <x:row r="42">
      <x:c r="A42" s="2" t="str">
        <x:v>LiDA-1</x:v>
      </x:c>
      <x:c r="B42" s="4" t="str">
        <x:v>LiCl</x:v>
      </x:c>
      <x:c r="C42" s="23" t="n">
        <x:v>0.5444246</x:v>
      </x:c>
      <x:c r="D42" s="23" t="n">
        <x:v>-3.153638</x:v>
      </x:c>
      <x:c r="E42" s="23" t="n">
        <x:f>'Parameters'!$B$2*'Parameters'!$B$3*LN(4*PI()*C42^2)</x:f>
        <x:v>3.2597605785419774</x:v>
      </x:c>
      <x:c r="F42" s="23" t="n">
        <x:f>D42+E42</x:f>
        <x:v>0.10612257854197749</x:v>
      </x:c>
      <x:c r="G42" s="23" t="n">
        <x:f>AVERAGE($F$145:$F$168)</x:f>
        <x:v>16.996810930241676</x:v>
      </x:c>
      <x:c r="H42" s="24" t="n">
        <x:f>F42-G42</x:f>
        <x:v>-16.890688351699698</x:v>
      </x:c>
    </x:row>
    <x:row r="43">
      <x:c r="A43" s="2" t="str">
        <x:v>LiDA-1</x:v>
      </x:c>
      <x:c r="B43" s="4" t="str">
        <x:v>LiCl</x:v>
      </x:c>
      <x:c r="C43" s="23" t="n">
        <x:v>0.5568851</x:v>
      </x:c>
      <x:c r="D43" s="23" t="n">
        <x:v>-2.952733</x:v>
      </x:c>
      <x:c r="E43" s="23" t="n">
        <x:f>'Parameters'!$B$2*'Parameters'!$B$3*LN(4*PI()*C43^2)</x:f>
        <x:v>3.371955585010143</x:v>
      </x:c>
      <x:c r="F43" s="23" t="n">
        <x:f>D43+E43</x:f>
        <x:v>0.419222585010143</x:v>
      </x:c>
      <x:c r="G43" s="23" t="n">
        <x:f>AVERAGE($F$145:$F$168)</x:f>
        <x:v>16.996810930241676</x:v>
      </x:c>
      <x:c r="H43" s="24" t="n">
        <x:f>F43-G43</x:f>
        <x:v>-16.577588345231533</x:v>
      </x:c>
    </x:row>
    <x:row r="44">
      <x:c r="A44" s="2" t="str">
        <x:v>LiDA-1</x:v>
      </x:c>
      <x:c r="B44" s="4" t="str">
        <x:v>LiCl</x:v>
      </x:c>
      <x:c r="C44" s="23" t="n">
        <x:v>0.5693455</x:v>
      </x:c>
      <x:c r="D44" s="23" t="n">
        <x:v>-2.575486</x:v>
      </x:c>
      <x:c r="E44" s="23" t="n">
        <x:f>'Parameters'!$B$2*'Parameters'!$B$3*LN(4*PI()*C44^2)</x:f>
        <x:v>3.481666887857329</x:v>
      </x:c>
      <x:c r="F44" s="23" t="n">
        <x:f>D44+E44</x:f>
        <x:v>0.906180887857329</x:v>
      </x:c>
      <x:c r="G44" s="23" t="n">
        <x:f>AVERAGE($F$145:$F$168)</x:f>
        <x:v>16.996810930241676</x:v>
      </x:c>
      <x:c r="H44" s="24" t="n">
        <x:f>F44-G44</x:f>
        <x:v>-16.090630042384348</x:v>
      </x:c>
    </x:row>
    <x:row r="45">
      <x:c r="A45" s="2" t="str">
        <x:v>LiDA-1</x:v>
      </x:c>
      <x:c r="B45" s="4" t="str">
        <x:v>LiCl</x:v>
      </x:c>
      <x:c r="C45" s="23" t="n">
        <x:v>0.581806</x:v>
      </x:c>
      <x:c r="D45" s="23" t="n">
        <x:v>-2.190944</x:v>
      </x:c>
      <x:c r="E45" s="23" t="n">
        <x:f>'Parameters'!$B$2*'Parameters'!$B$3*LN(4*PI()*C45^2)</x:f>
        <x:v>3.58900376070586</x:v>
      </x:c>
      <x:c r="F45" s="23" t="n">
        <x:f>D45+E45</x:f>
        <x:v>1.39805976070586</x:v>
      </x:c>
      <x:c r="G45" s="23" t="n">
        <x:f>AVERAGE($F$145:$F$168)</x:f>
        <x:v>16.996810930241676</x:v>
      </x:c>
      <x:c r="H45" s="24" t="n">
        <x:f>F45-G45</x:f>
        <x:v>-15.598751169535817</x:v>
      </x:c>
    </x:row>
    <x:row r="46">
      <x:c r="A46" s="2" t="str">
        <x:v>LiDA-1</x:v>
      </x:c>
      <x:c r="B46" s="4" t="str">
        <x:v>LiCl</x:v>
      </x:c>
      <x:c r="C46" s="23" t="n">
        <x:v>0.5942665</x:v>
      </x:c>
      <x:c r="D46" s="23" t="n">
        <x:v>-1.971275</x:v>
      </x:c>
      <x:c r="E46" s="23" t="n">
        <x:f>'Parameters'!$B$2*'Parameters'!$B$3*LN(4*PI()*C46^2)</x:f>
        <x:v>3.694065990981365</x:v>
      </x:c>
      <x:c r="F46" s="23" t="n">
        <x:f>D46+E46</x:f>
        <x:v>1.722790990981365</x:v>
      </x:c>
      <x:c r="G46" s="23" t="n">
        <x:f>AVERAGE($F$145:$F$168)</x:f>
        <x:v>16.996810930241676</x:v>
      </x:c>
      <x:c r="H46" s="24" t="n">
        <x:f>F46-G46</x:f>
        <x:v>-15.274019939260311</x:v>
      </x:c>
    </x:row>
    <x:row r="47">
      <x:c r="A47" s="2" t="str">
        <x:v>LiDA-1</x:v>
      </x:c>
      <x:c r="B47" s="4" t="str">
        <x:v>LiCl</x:v>
      </x:c>
      <x:c r="C47" s="23" t="n">
        <x:v>0.6067269</x:v>
      </x:c>
      <x:c r="D47" s="23" t="n">
        <x:v>-1.652329</x:v>
      </x:c>
      <x:c r="E47" s="23" t="n">
        <x:f>'Parameters'!$B$2*'Parameters'!$B$3*LN(4*PI()*C47^2)</x:f>
        <x:v>3.796947171032193</x:v>
      </x:c>
      <x:c r="F47" s="23" t="n">
        <x:f>D47+E47</x:f>
        <x:v>2.144618171032193</x:v>
      </x:c>
      <x:c r="G47" s="23" t="n">
        <x:f>AVERAGE($F$145:$F$168)</x:f>
        <x:v>16.996810930241676</x:v>
      </x:c>
      <x:c r="H47" s="24" t="n">
        <x:f>F47-G47</x:f>
        <x:v>-14.852192759209483</x:v>
      </x:c>
    </x:row>
    <x:row r="48">
      <x:c r="A48" s="2" t="str">
        <x:v>LiDA-1</x:v>
      </x:c>
      <x:c r="B48" s="4" t="str">
        <x:v>LiCl</x:v>
      </x:c>
      <x:c r="C48" s="23" t="n">
        <x:v>0.6191874</x:v>
      </x:c>
      <x:c r="D48" s="23" t="n">
        <x:v>-1.345195</x:v>
      </x:c>
      <x:c r="E48" s="23" t="n">
        <x:f>'Parameters'!$B$2*'Parameters'!$B$3*LN(4*PI()*C48^2)</x:f>
        <x:v>3.8977376026944492</x:v>
      </x:c>
      <x:c r="F48" s="23" t="n">
        <x:f>D48+E48</x:f>
        <x:v>2.5525426026944493</x:v>
      </x:c>
      <x:c r="G48" s="23" t="n">
        <x:f>AVERAGE($F$145:$F$168)</x:f>
        <x:v>16.996810930241676</x:v>
      </x:c>
      <x:c r="H48" s="24" t="n">
        <x:f>F48-G48</x:f>
        <x:v>-14.444268327547226</x:v>
      </x:c>
    </x:row>
    <x:row r="49">
      <x:c r="A49" s="2" t="str">
        <x:v>LiDA-1</x:v>
      </x:c>
      <x:c r="B49" s="4" t="str">
        <x:v>LiCl</x:v>
      </x:c>
      <x:c r="C49" s="23" t="n">
        <x:v>0.6316478</x:v>
      </x:c>
      <x:c r="D49" s="23" t="n">
        <x:v>-1.198239</x:v>
      </x:c>
      <x:c r="E49" s="23" t="n">
        <x:f>'Parameters'!$B$2*'Parameters'!$B$3*LN(4*PI()*C49^2)</x:f>
        <x:v>3.996519018439125</x:v>
      </x:c>
      <x:c r="F49" s="23" t="n">
        <x:f>D49+E49</x:f>
        <x:v>2.798280018439125</x:v>
      </x:c>
      <x:c r="G49" s="23" t="n">
        <x:f>AVERAGE($F$145:$F$168)</x:f>
        <x:v>16.996810930241676</x:v>
      </x:c>
      <x:c r="H49" s="24" t="n">
        <x:f>F49-G49</x:f>
        <x:v>-14.19853091180255</x:v>
      </x:c>
    </x:row>
    <x:row r="50">
      <x:c r="A50" s="2" t="str">
        <x:v>LiDA-1</x:v>
      </x:c>
      <x:c r="B50" s="4" t="str">
        <x:v>LiCl</x:v>
      </x:c>
      <x:c r="C50" s="23" t="n">
        <x:v>0.6441083</x:v>
      </x:c>
      <x:c r="D50" s="23" t="n">
        <x:v>-0.7050197</x:v>
      </x:c>
      <x:c r="E50" s="23" t="n">
        <x:f>'Parameters'!$B$2*'Parameters'!$B$3*LN(4*PI()*C50^2)</x:f>
        <x:v>4.093371469676057</x:v>
      </x:c>
      <x:c r="F50" s="23" t="n">
        <x:f>D50+E50</x:f>
        <x:v>3.3883517696760563</x:v>
      </x:c>
      <x:c r="G50" s="23" t="n">
        <x:f>AVERAGE($F$145:$F$168)</x:f>
        <x:v>16.996810930241676</x:v>
      </x:c>
      <x:c r="H50" s="24" t="n">
        <x:f>F50-G50</x:f>
        <x:v>-13.60845916056562</x:v>
      </x:c>
    </x:row>
    <x:row r="51">
      <x:c r="A51" s="2" t="str">
        <x:v>LiDA-1</x:v>
      </x:c>
      <x:c r="B51" s="4" t="str">
        <x:v>LiCl</x:v>
      </x:c>
      <x:c r="C51" s="23" t="n">
        <x:v>0.6565687</x:v>
      </x:c>
      <x:c r="D51" s="23" t="n">
        <x:v>-0.6357177</x:v>
      </x:c>
      <x:c r="E51" s="23" t="n">
        <x:f>'Parameters'!$B$2*'Parameters'!$B$3*LN(4*PI()*C51^2)</x:f>
        <x:v>4.188367356171699</x:v>
      </x:c>
      <x:c r="F51" s="23" t="n">
        <x:f>D51+E51</x:f>
        <x:v>3.552649656171699</x:v>
      </x:c>
      <x:c r="G51" s="23" t="n">
        <x:f>AVERAGE($F$145:$F$168)</x:f>
        <x:v>16.996810930241676</x:v>
      </x:c>
      <x:c r="H51" s="24" t="n">
        <x:f>F51-G51</x:f>
        <x:v>-13.444161274069977</x:v>
      </x:c>
    </x:row>
    <x:row r="52">
      <x:c r="A52" s="2" t="str">
        <x:v>LiDA-1</x:v>
      </x:c>
      <x:c r="B52" s="4" t="str">
        <x:v>LiCl</x:v>
      </x:c>
      <x:c r="C52" s="23" t="n">
        <x:v>0.6690292</x:v>
      </x:c>
      <x:c r="D52" s="23" t="n">
        <x:v>-0.2095832</x:v>
      </x:c>
      <x:c r="E52" s="23" t="n">
        <x:f>'Parameters'!$B$2*'Parameters'!$B$3*LN(4*PI()*C52^2)</x:f>
        <x:v>4.281577986283123</x:v>
      </x:c>
      <x:c r="F52" s="23" t="n">
        <x:f>D52+E52</x:f>
        <x:v>4.071994786283123</x:v>
      </x:c>
      <x:c r="G52" s="23" t="n">
        <x:f>AVERAGE($F$145:$F$168)</x:f>
        <x:v>16.996810930241676</x:v>
      </x:c>
      <x:c r="H52" s="24" t="n">
        <x:f>F52-G52</x:f>
        <x:v>-12.924816143958552</x:v>
      </x:c>
    </x:row>
    <x:row r="53">
      <x:c r="A53" s="2" t="str">
        <x:v>LiDA-1</x:v>
      </x:c>
      <x:c r="B53" s="4" t="str">
        <x:v>LiCl</x:v>
      </x:c>
      <x:c r="C53" s="23" t="n">
        <x:v>0.6814897</x:v>
      </x:c>
      <x:c r="D53" s="23" t="n">
        <x:v>0.2985068</x:v>
      </x:c>
      <x:c r="E53" s="23" t="n">
        <x:f>'Parameters'!$B$2*'Parameters'!$B$3*LN(4*PI()*C53^2)</x:f>
        <x:v>4.373068510744342</x:v>
      </x:c>
      <x:c r="F53" s="23" t="n">
        <x:f>D53+E53</x:f>
        <x:v>4.671575310744342</x:v>
      </x:c>
      <x:c r="G53" s="23" t="n">
        <x:f>AVERAGE($F$145:$F$168)</x:f>
        <x:v>16.996810930241676</x:v>
      </x:c>
      <x:c r="H53" s="24" t="n">
        <x:f>F53-G53</x:f>
        <x:v>-12.325235619497334</x:v>
      </x:c>
    </x:row>
    <x:row r="54">
      <x:c r="A54" s="2" t="str">
        <x:v>LiDA-1</x:v>
      </x:c>
      <x:c r="B54" s="4" t="str">
        <x:v>LiCl</x:v>
      </x:c>
      <x:c r="C54" s="23" t="n">
        <x:v>0.6939501</x:v>
      </x:c>
      <x:c r="D54" s="23" t="n">
        <x:v>0.9442944</x:v>
      </x:c>
      <x:c r="E54" s="23" t="n">
        <x:f>'Parameters'!$B$2*'Parameters'!$B$3*LN(4*PI()*C54^2)</x:f>
        <x:v>4.462900552017801</x:v>
      </x:c>
      <x:c r="F54" s="23" t="n">
        <x:f>D54+E54</x:f>
        <x:v>5.4071949520178</x:v>
      </x:c>
      <x:c r="G54" s="23" t="n">
        <x:f>AVERAGE($F$145:$F$168)</x:f>
        <x:v>16.996810930241676</x:v>
      </x:c>
      <x:c r="H54" s="24" t="n">
        <x:f>F54-G54</x:f>
        <x:v>-11.589615978223875</x:v>
      </x:c>
    </x:row>
    <x:row r="55">
      <x:c r="A55" s="2" t="str">
        <x:v>LiDA-1</x:v>
      </x:c>
      <x:c r="B55" s="4" t="str">
        <x:v>LiCl</x:v>
      </x:c>
      <x:c r="C55" s="23" t="n">
        <x:v>0.7064106</x:v>
      </x:c>
      <x:c r="D55" s="23" t="n">
        <x:v>1.364553</x:v>
      </x:c>
      <x:c r="E55" s="23" t="n">
        <x:f>'Parameters'!$B$2*'Parameters'!$B$3*LN(4*PI()*C55^2)</x:f>
        <x:v>4.551134560084861</x:v>
      </x:c>
      <x:c r="F55" s="23" t="n">
        <x:f>D55+E55</x:f>
        <x:v>5.915687560084861</x:v>
      </x:c>
      <x:c r="G55" s="23" t="n">
        <x:f>AVERAGE($F$145:$F$168)</x:f>
        <x:v>16.996810930241676</x:v>
      </x:c>
      <x:c r="H55" s="24" t="n">
        <x:f>F55-G55</x:f>
        <x:v>-11.081123370156813</x:v>
      </x:c>
    </x:row>
    <x:row r="56">
      <x:c r="A56" s="2" t="str">
        <x:v>LiDA-1</x:v>
      </x:c>
      <x:c r="B56" s="4" t="str">
        <x:v>LiCl</x:v>
      </x:c>
      <x:c r="C56" s="23" t="n">
        <x:v>0.718871</x:v>
      </x:c>
      <x:c r="D56" s="23" t="n">
        <x:v>1.415811</x:v>
      </x:c>
      <x:c r="E56" s="23" t="n">
        <x:f>'Parameters'!$B$2*'Parameters'!$B$3*LN(4*PI()*C56^2)</x:f>
        <x:v>4.637825030653059</x:v>
      </x:c>
      <x:c r="F56" s="23" t="n">
        <x:f>D56+E56</x:f>
        <x:v>6.053636030653059</x:v>
      </x:c>
      <x:c r="G56" s="23" t="n">
        <x:f>AVERAGE($F$145:$F$168)</x:f>
        <x:v>16.996810930241676</x:v>
      </x:c>
      <x:c r="H56" s="24" t="n">
        <x:f>F56-G56</x:f>
        <x:v>-10.943174899588616</x:v>
      </x:c>
    </x:row>
    <x:row r="57">
      <x:c r="A57" s="2" t="str">
        <x:v>LiDA-1</x:v>
      </x:c>
      <x:c r="B57" s="4" t="str">
        <x:v>LiCl</x:v>
      </x:c>
      <x:c r="C57" s="23" t="n">
        <x:v>0.7313315</x:v>
      </x:c>
      <x:c r="D57" s="23" t="n">
        <x:v>1.3596</x:v>
      </x:c>
      <x:c r="E57" s="23" t="n">
        <x:f>'Parameters'!$B$2*'Parameters'!$B$3*LN(4*PI()*C57^2)</x:f>
        <x:v>4.723026384937726</x:v>
      </x:c>
      <x:c r="F57" s="23" t="n">
        <x:f>D57+E57</x:f>
        <x:v>6.082626384937726</x:v>
      </x:c>
      <x:c r="G57" s="23" t="n">
        <x:f>AVERAGE($F$145:$F$168)</x:f>
        <x:v>16.996810930241676</x:v>
      </x:c>
      <x:c r="H57" s="24" t="n">
        <x:f>F57-G57</x:f>
        <x:v>-10.91418454530395</x:v>
      </x:c>
    </x:row>
    <x:row r="58">
      <x:c r="A58" s="2" t="str">
        <x:v>LiDA-1</x:v>
      </x:c>
      <x:c r="B58" s="4" t="str">
        <x:v>LiCl</x:v>
      </x:c>
      <x:c r="C58" s="23" t="n">
        <x:v>0.743792</x:v>
      </x:c>
      <x:c r="D58" s="23" t="n">
        <x:v>1.357771</x:v>
      </x:c>
      <x:c r="E58" s="23" t="n">
        <x:f>'Parameters'!$B$2*'Parameters'!$B$3*LN(4*PI()*C58^2)</x:f>
        <x:v>4.8067882632548</x:v>
      </x:c>
      <x:c r="F58" s="23" t="n">
        <x:f>D58+E58</x:f>
        <x:v>6.1645592632548</x:v>
      </x:c>
      <x:c r="G58" s="23" t="n">
        <x:f>AVERAGE($F$145:$F$168)</x:f>
        <x:v>16.996810930241676</x:v>
      </x:c>
      <x:c r="H58" s="24" t="n">
        <x:f>F58-G58</x:f>
        <x:v>-10.832251666986876</x:v>
      </x:c>
    </x:row>
    <x:row r="59">
      <x:c r="A59" s="2" t="str">
        <x:v>LiDA-1</x:v>
      </x:c>
      <x:c r="B59" s="4" t="str">
        <x:v>LiCl</x:v>
      </x:c>
      <x:c r="C59" s="23" t="n">
        <x:v>0.7562524</x:v>
      </x:c>
      <x:c r="D59" s="23" t="n">
        <x:v>1.444531</x:v>
      </x:c>
      <x:c r="E59" s="23" t="n">
        <x:f>'Parameters'!$B$2*'Parameters'!$B$3*LN(4*PI()*C59^2)</x:f>
        <x:v>4.889157842859943</x:v>
      </x:c>
      <x:c r="F59" s="23" t="n">
        <x:f>D59+E59</x:f>
        <x:v>6.333688842859942</x:v>
      </x:c>
      <x:c r="G59" s="23" t="n">
        <x:f>AVERAGE($F$145:$F$168)</x:f>
        <x:v>16.996810930241676</x:v>
      </x:c>
      <x:c r="H59" s="24" t="n">
        <x:f>F59-G59</x:f>
        <x:v>-10.663122087381733</x:v>
      </x:c>
    </x:row>
    <x:row r="60">
      <x:c r="A60" s="2" t="str">
        <x:v>LiDA-1</x:v>
      </x:c>
      <x:c r="B60" s="4" t="str">
        <x:v>LiCl</x:v>
      </x:c>
      <x:c r="C60" s="23" t="n">
        <x:v>0.7687129</x:v>
      </x:c>
      <x:c r="D60" s="23" t="n">
        <x:v>1.679074</x:v>
      </x:c>
      <x:c r="E60" s="23" t="n">
        <x:f>'Parameters'!$B$2*'Parameters'!$B$3*LN(4*PI()*C60^2)</x:f>
        <x:v>4.970181933136617</x:v>
      </x:c>
      <x:c r="F60" s="23" t="n">
        <x:f>D60+E60</x:f>
        <x:v>6.649255933136617</x:v>
      </x:c>
      <x:c r="G60" s="23" t="n">
        <x:f>AVERAGE($F$145:$F$168)</x:f>
        <x:v>16.996810930241676</x:v>
      </x:c>
      <x:c r="H60" s="24" t="n">
        <x:f>F60-G60</x:f>
        <x:v>-10.347554997105059</x:v>
      </x:c>
    </x:row>
    <x:row r="61">
      <x:c r="A61" s="2" t="str">
        <x:v>LiDA-1</x:v>
      </x:c>
      <x:c r="B61" s="4" t="str">
        <x:v>LiCl</x:v>
      </x:c>
      <x:c r="C61" s="23" t="n">
        <x:v>0.7811733</x:v>
      </x:c>
      <x:c r="D61" s="23" t="n">
        <x:v>2.212816</x:v>
      </x:c>
      <x:c r="E61" s="23" t="n">
        <x:f>'Parameters'!$B$2*'Parameters'!$B$3*LN(4*PI()*C61^2)</x:f>
        <x:v>5.049902526019781</x:v>
      </x:c>
      <x:c r="F61" s="23" t="n">
        <x:f>D61+E61</x:f>
        <x:v>7.262718526019781</x:v>
      </x:c>
      <x:c r="G61" s="23" t="n">
        <x:f>AVERAGE($F$145:$F$168)</x:f>
        <x:v>16.996810930241676</x:v>
      </x:c>
      <x:c r="H61" s="24" t="n">
        <x:f>F61-G61</x:f>
        <x:v>-9.734092404221894</x:v>
      </x:c>
    </x:row>
    <x:row r="62">
      <x:c r="A62" s="2" t="str">
        <x:v>LiDA-1</x:v>
      </x:c>
      <x:c r="B62" s="4" t="str">
        <x:v>LiCl</x:v>
      </x:c>
      <x:c r="C62" s="23" t="n">
        <x:v>0.7936338</x:v>
      </x:c>
      <x:c r="D62" s="23" t="n">
        <x:v>3.064452</x:v>
      </x:c>
      <x:c r="E62" s="23" t="n">
        <x:f>'Parameters'!$B$2*'Parameters'!$B$3*LN(4*PI()*C62^2)</x:f>
        <x:v>5.12836213851484</x:v>
      </x:c>
      <x:c r="F62" s="23" t="n">
        <x:f>D62+E62</x:f>
        <x:v>8.19281413851484</x:v>
      </x:c>
      <x:c r="G62" s="23" t="n">
        <x:f>AVERAGE($F$145:$F$168)</x:f>
        <x:v>16.996810930241676</x:v>
      </x:c>
      <x:c r="H62" s="24" t="n">
        <x:f>F62-G62</x:f>
        <x:v>-8.803996791726835</x:v>
      </x:c>
    </x:row>
    <x:row r="63">
      <x:c r="A63" s="2" t="str">
        <x:v>LiDA-1</x:v>
      </x:c>
      <x:c r="B63" s="4" t="str">
        <x:v>LiCl</x:v>
      </x:c>
      <x:c r="C63" s="23" t="n">
        <x:v>0.8060943</x:v>
      </x:c>
      <x:c r="D63" s="23" t="n">
        <x:v>4.473952</x:v>
      </x:c>
      <x:c r="E63" s="23" t="n">
        <x:f>'Parameters'!$B$2*'Parameters'!$B$3*LN(4*PI()*C63^2)</x:f>
        <x:v>5.205599435968448</x:v>
      </x:c>
      <x:c r="F63" s="23" t="n">
        <x:f>D63+E63</x:f>
        <x:v>9.679551435968449</x:v>
      </x:c>
      <x:c r="G63" s="23" t="n">
        <x:f>AVERAGE($F$145:$F$168)</x:f>
        <x:v>16.996810930241676</x:v>
      </x:c>
      <x:c r="H63" s="24" t="n">
        <x:f>F63-G63</x:f>
        <x:v>-7.317259494273227</x:v>
      </x:c>
    </x:row>
    <x:row r="64">
      <x:c r="A64" s="2" t="str">
        <x:v>LiDA-1</x:v>
      </x:c>
      <x:c r="B64" s="4" t="str">
        <x:v>LiCl</x:v>
      </x:c>
      <x:c r="C64" s="23" t="n">
        <x:v>0.8185547</x:v>
      </x:c>
      <x:c r="D64" s="23" t="n">
        <x:v>6.470144</x:v>
      </x:c>
      <x:c r="E64" s="23" t="n">
        <x:f>'Parameters'!$B$2*'Parameters'!$B$3*LN(4*PI()*C64^2)</x:f>
        <x:v>5.281651313874506</x:v>
      </x:c>
      <x:c r="F64" s="23" t="n">
        <x:f>D64+E64</x:f>
        <x:v>11.751795313874506</x:v>
      </x:c>
      <x:c r="G64" s="23" t="n">
        <x:f>AVERAGE($F$145:$F$168)</x:f>
        <x:v>16.996810930241676</x:v>
      </x:c>
      <x:c r="H64" s="24" t="n">
        <x:f>F64-G64</x:f>
        <x:v>-5.245015616367169</x:v>
      </x:c>
    </x:row>
    <x:row r="65">
      <x:c r="A65" s="2" t="str">
        <x:v>LiDA-1</x:v>
      </x:c>
      <x:c r="B65" s="4" t="str">
        <x:v>LiCl</x:v>
      </x:c>
      <x:c r="C65" s="23" t="n">
        <x:v>0.8310152</x:v>
      </x:c>
      <x:c r="D65" s="23" t="n">
        <x:v>9.292546</x:v>
      </x:c>
      <x:c r="E65" s="23" t="n">
        <x:f>'Parameters'!$B$2*'Parameters'!$B$3*LN(4*PI()*C65^2)</x:f>
        <x:v>5.35655479409445</x:v>
      </x:c>
      <x:c r="F65" s="23" t="n">
        <x:f>D65+E65</x:f>
        <x:v>14.64910079409445</x:v>
      </x:c>
      <x:c r="G65" s="23" t="n">
        <x:f>AVERAGE($F$145:$F$168)</x:f>
        <x:v>16.996810930241676</x:v>
      </x:c>
      <x:c r="H65" s="24" t="n">
        <x:f>F65-G65</x:f>
        <x:v>-2.347710136147226</x:v>
      </x:c>
    </x:row>
    <x:row r="66">
      <x:c r="A66" s="2" t="str">
        <x:v>LiDA-1</x:v>
      </x:c>
      <x:c r="B66" s="4" t="str">
        <x:v>LiCl</x:v>
      </x:c>
      <x:c r="C66" s="23" t="n">
        <x:v>0.8434756</x:v>
      </x:c>
      <x:c r="D66" s="23" t="n">
        <x:v>11.45124</x:v>
      </x:c>
      <x:c r="E66" s="23" t="n">
        <x:f>'Parameters'!$B$2*'Parameters'!$B$3*LN(4*PI()*C66^2)</x:f>
        <x:v>5.430342876599787</x:v>
      </x:c>
      <x:c r="F66" s="23" t="n">
        <x:f>D66+E66</x:f>
        <x:v>16.881582876599786</x:v>
      </x:c>
      <x:c r="G66" s="23" t="n">
        <x:f>AVERAGE($F$145:$F$168)</x:f>
        <x:v>16.996810930241676</x:v>
      </x:c>
      <x:c r="H66" s="24" t="n">
        <x:f>F66-G66</x:f>
        <x:v>-0.11522805364188926</x:v>
      </x:c>
    </x:row>
    <x:row r="67">
      <x:c r="A67" s="2" t="str">
        <x:v>LiDA-1</x:v>
      </x:c>
      <x:c r="B67" s="4" t="str">
        <x:v>LiCl</x:v>
      </x:c>
      <x:c r="C67" s="23" t="n">
        <x:v>0.8559361</x:v>
      </x:c>
      <x:c r="D67" s="23" t="n">
        <x:v>11.59088</x:v>
      </x:c>
      <x:c r="E67" s="23" t="n">
        <x:f>'Parameters'!$B$2*'Parameters'!$B$3*LN(4*PI()*C67^2)</x:f>
        <x:v>5.503049443549588</x:v>
      </x:c>
      <x:c r="F67" s="23" t="n">
        <x:f>D67+E67</x:f>
        <x:v>17.093929443549587</x:v>
      </x:c>
      <x:c r="G67" s="23" t="n">
        <x:f>AVERAGE($F$145:$F$168)</x:f>
        <x:v>16.996810930241676</x:v>
      </x:c>
      <x:c r="H67" s="24" t="n">
        <x:f>F67-G67</x:f>
        <x:v>0.09711851330791177</x:v>
      </x:c>
    </x:row>
    <x:row r="68">
      <x:c r="A68" s="2" t="str">
        <x:v>LiDA-1</x:v>
      </x:c>
      <x:c r="B68" s="4" t="str">
        <x:v>LiCl</x:v>
      </x:c>
      <x:c r="C68" s="23" t="n">
        <x:v>0.8683966</x:v>
      </x:c>
      <x:c r="D68" s="23" t="n">
        <x:v>11.16952</x:v>
      </x:c>
      <x:c r="E68" s="23" t="n">
        <x:f>'Parameters'!$B$2*'Parameters'!$B$3*LN(4*PI()*C68^2)</x:f>
        <x:v>5.574705178546729</x:v>
      </x:c>
      <x:c r="F68" s="23" t="n">
        <x:f>D68+E68</x:f>
        <x:v>16.744225178546728</x:v>
      </x:c>
      <x:c r="G68" s="23" t="n">
        <x:f>AVERAGE($F$145:$F$168)</x:f>
        <x:v>16.996810930241676</x:v>
      </x:c>
      <x:c r="H68" s="24" t="n">
        <x:f>F68-G68</x:f>
        <x:v>-0.2525857516949479</x:v>
      </x:c>
    </x:row>
    <x:row r="69">
      <x:c r="A69" s="2" t="str">
        <x:v>LiDA-1</x:v>
      </x:c>
      <x:c r="B69" s="4" t="str">
        <x:v>LiCl</x:v>
      </x:c>
      <x:c r="C69" s="23" t="n">
        <x:v>0.880857</x:v>
      </x:c>
      <x:c r="D69" s="23" t="n">
        <x:v>10.72582</x:v>
      </x:c>
      <x:c r="E69" s="23" t="n">
        <x:f>'Parameters'!$B$2*'Parameters'!$B$3*LN(4*PI()*C69^2)</x:f>
        <x:v>5.6453394619454</x:v>
      </x:c>
      <x:c r="F69" s="23" t="n">
        <x:f>D69+E69</x:f>
        <x:v>16.3711594619454</x:v>
      </x:c>
      <x:c r="G69" s="23" t="n">
        <x:f>AVERAGE($F$145:$F$168)</x:f>
        <x:v>16.996810930241676</x:v>
      </x:c>
      <x:c r="H69" s="24" t="n">
        <x:f>F69-G69</x:f>
        <x:v>-0.6256514682962759</x:v>
      </x:c>
    </x:row>
    <x:row r="70">
      <x:c r="A70" s="2" t="str">
        <x:v>LiDA-1</x:v>
      </x:c>
      <x:c r="B70" s="4" t="str">
        <x:v>LiCl</x:v>
      </x:c>
      <x:c r="C70" s="23" t="n">
        <x:v>0.8933175</x:v>
      </x:c>
      <x:c r="D70" s="23" t="n">
        <x:v>10.29295</x:v>
      </x:c>
      <x:c r="E70" s="23" t="n">
        <x:f>'Parameters'!$B$2*'Parameters'!$B$3*LN(4*PI()*C70^2)</x:f>
        <x:v>5.714982108624928</x:v>
      </x:c>
      <x:c r="F70" s="23" t="n">
        <x:f>D70+E70</x:f>
        <x:v>16.007932108624928</x:v>
      </x:c>
      <x:c r="G70" s="23" t="n">
        <x:f>AVERAGE($F$145:$F$168)</x:f>
        <x:v>16.996810930241676</x:v>
      </x:c>
      <x:c r="H70" s="24" t="n">
        <x:f>F70-G70</x:f>
        <x:v>-0.9888788216167477</x:v>
      </x:c>
    </x:row>
    <x:row r="71">
      <x:c r="A71" s="2" t="str">
        <x:v>LiDA-1</x:v>
      </x:c>
      <x:c r="B71" s="4" t="str">
        <x:v>LiCl</x:v>
      </x:c>
      <x:c r="C71" s="23" t="n">
        <x:v>0.9057779</x:v>
      </x:c>
      <x:c r="D71" s="23" t="n">
        <x:v>10.41997</x:v>
      </x:c>
      <x:c r="E71" s="23" t="n">
        <x:f>'Parameters'!$B$2*'Parameters'!$B$3*LN(4*PI()*C71^2)</x:f>
        <x:v>5.783659489672418</x:v>
      </x:c>
      <x:c r="F71" s="23" t="n">
        <x:f>D71+E71</x:f>
        <x:v>16.203629489672416</x:v>
      </x:c>
      <x:c r="G71" s="23" t="n">
        <x:f>AVERAGE($F$145:$F$168)</x:f>
        <x:v>16.996810930241676</x:v>
      </x:c>
      <x:c r="H71" s="24" t="n">
        <x:f>F71-G71</x:f>
        <x:v>-0.7931814405692599</x:v>
      </x:c>
    </x:row>
    <x:row r="72">
      <x:c r="A72" s="2" t="str">
        <x:v>LiDA-1</x:v>
      </x:c>
      <x:c r="B72" s="4" t="str">
        <x:v>LiCl</x:v>
      </x:c>
      <x:c r="C72" s="23" t="n">
        <x:v>0.9182384</x:v>
      </x:c>
      <x:c r="D72" s="23" t="n">
        <x:v>10.03156</x:v>
      </x:c>
      <x:c r="E72" s="23" t="n">
        <x:f>'Parameters'!$B$2*'Parameters'!$B$3*LN(4*PI()*C72^2)</x:f>
        <x:v>5.851399069816522</x:v>
      </x:c>
      <x:c r="F72" s="23" t="n">
        <x:f>D72+E72</x:f>
        <x:v>15.882959069816522</x:v>
      </x:c>
      <x:c r="G72" s="23" t="n">
        <x:f>AVERAGE($F$145:$F$168)</x:f>
        <x:v>16.996810930241676</x:v>
      </x:c>
      <x:c r="H72" s="24" t="n">
        <x:f>F72-G72</x:f>
        <x:v>-1.1138518604251537</x:v>
      </x:c>
    </x:row>
    <x:row r="73">
      <x:c r="A73" s="2" t="str">
        <x:v>LiDA-1</x:v>
      </x:c>
      <x:c r="B73" s="4" t="str">
        <x:v>LiCl</x:v>
      </x:c>
      <x:c r="C73" s="23" t="n">
        <x:v>0.9306989</x:v>
      </x:c>
      <x:c r="D73" s="23" t="n">
        <x:v>9.863964</x:v>
      </x:c>
      <x:c r="E73" s="23" t="n">
        <x:f>'Parameters'!$B$2*'Parameters'!$B$3*LN(4*PI()*C73^2)</x:f>
        <x:v>5.918225590581923</x:v>
      </x:c>
      <x:c r="F73" s="23" t="n">
        <x:f>D73+E73</x:f>
        <x:v>15.782189590581922</x:v>
      </x:c>
      <x:c r="G73" s="23" t="n">
        <x:f>AVERAGE($F$145:$F$168)</x:f>
        <x:v>16.996810930241676</x:v>
      </x:c>
      <x:c r="H73" s="24" t="n">
        <x:f>F73-G73</x:f>
        <x:v>-1.2146213396597538</x:v>
      </x:c>
    </x:row>
    <x:row r="74">
      <x:c r="A74" s="2" t="str">
        <x:v>LiDA-1</x:v>
      </x:c>
      <x:c r="B74" s="4" t="str">
        <x:v>LiCl</x:v>
      </x:c>
      <x:c r="C74" s="23" t="n">
        <x:v>0.9431593</x:v>
      </x:c>
      <x:c r="D74" s="23" t="n">
        <x:v>9.68399</x:v>
      </x:c>
      <x:c r="E74" s="23" t="n">
        <x:f>'Parameters'!$B$2*'Parameters'!$B$3*LN(4*PI()*C74^2)</x:f>
        <x:v>5.984162813483873</x:v>
      </x:c>
      <x:c r="F74" s="23" t="n">
        <x:f>D74+E74</x:f>
        <x:v>15.668152813483871</x:v>
      </x:c>
      <x:c r="G74" s="23" t="n">
        <x:f>AVERAGE($F$145:$F$168)</x:f>
        <x:v>16.996810930241676</x:v>
      </x:c>
      <x:c r="H74" s="24" t="n">
        <x:f>F74-G74</x:f>
        <x:v>-1.3286581167578042</x:v>
      </x:c>
    </x:row>
    <x:row r="75">
      <x:c r="A75" s="2" t="str">
        <x:v>LiDA-1</x:v>
      </x:c>
      <x:c r="B75" s="4" t="str">
        <x:v>LiCl</x:v>
      </x:c>
      <x:c r="C75" s="23" t="n">
        <x:v>0.9556198</x:v>
      </x:c>
      <x:c r="D75" s="23" t="n">
        <x:v>9.749948</x:v>
      </x:c>
      <x:c r="E75" s="23" t="n">
        <x:f>'Parameters'!$B$2*'Parameters'!$B$3*LN(4*PI()*C75^2)</x:f>
        <x:v>6.049235127558949</x:v>
      </x:c>
      <x:c r="F75" s="23" t="n">
        <x:f>D75+E75</x:f>
        <x:v>15.799183127558948</x:v>
      </x:c>
      <x:c r="G75" s="23" t="n">
        <x:f>AVERAGE($F$145:$F$168)</x:f>
        <x:v>16.996810930241676</x:v>
      </x:c>
      <x:c r="H75" s="24" t="n">
        <x:f>F75-G75</x:f>
        <x:v>-1.197627802682728</x:v>
      </x:c>
    </x:row>
    <x:row r="76">
      <x:c r="A76" s="2" t="str">
        <x:v>LiDA-1</x:v>
      </x:c>
      <x:c r="B76" s="4" t="str">
        <x:v>LiCl</x:v>
      </x:c>
      <x:c r="C76" s="23" t="n">
        <x:v>0.9680802</x:v>
      </x:c>
      <x:c r="D76" s="23" t="n">
        <x:v>9.553149</x:v>
      </x:c>
      <x:c r="E76" s="23" t="n">
        <x:f>'Parameters'!$B$2*'Parameters'!$B$3*LN(4*PI()*C76^2)</x:f>
        <x:v>6.113463912021952</x:v>
      </x:c>
      <x:c r="F76" s="23" t="n">
        <x:f>D76+E76</x:f>
        <x:v>15.66661291202195</x:v>
      </x:c>
      <x:c r="G76" s="23" t="n">
        <x:f>AVERAGE($F$145:$F$168)</x:f>
        <x:v>16.996810930241676</x:v>
      </x:c>
      <x:c r="H76" s="24" t="n">
        <x:f>F76-G76</x:f>
        <x:v>-1.3301980182197255</x:v>
      </x:c>
    </x:row>
    <x:row r="77">
      <x:c r="A77" s="2" t="str">
        <x:v>LiDA-1</x:v>
      </x:c>
      <x:c r="B77" s="4" t="str">
        <x:v>LiCl</x:v>
      </x:c>
      <x:c r="C77" s="23" t="n">
        <x:v>0.9805407</x:v>
      </x:c>
      <x:c r="D77" s="23" t="n">
        <x:v>9.593981</x:v>
      </x:c>
      <x:c r="E77" s="23" t="n">
        <x:f>'Parameters'!$B$2*'Parameters'!$B$3*LN(4*PI()*C77^2)</x:f>
        <x:v>6.1768717613260495</x:v>
      </x:c>
      <x:c r="F77" s="23" t="n">
        <x:f>D77+E77</x:f>
        <x:v>15.770852761326049</x:v>
      </x:c>
      <x:c r="G77" s="23" t="n">
        <x:f>AVERAGE($F$145:$F$168)</x:f>
        <x:v>16.996810930241676</x:v>
      </x:c>
      <x:c r="H77" s="24" t="n">
        <x:f>F77-G77</x:f>
        <x:v>-1.2259581689156267</x:v>
      </x:c>
    </x:row>
    <x:row r="78">
      <x:c r="A78" s="2" t="str">
        <x:v>LiDA-1</x:v>
      </x:c>
      <x:c r="B78" s="4" t="str">
        <x:v>LiCl</x:v>
      </x:c>
      <x:c r="C78" s="23" t="n">
        <x:v>0.9930012</x:v>
      </x:c>
      <x:c r="D78" s="23" t="n">
        <x:v>9.643214</x:v>
      </x:c>
      <x:c r="E78" s="23" t="n">
        <x:f>'Parameters'!$B$2*'Parameters'!$B$3*LN(4*PI()*C78^2)</x:f>
        <x:v>6.239478903395448</x:v>
      </x:c>
      <x:c r="F78" s="23" t="n">
        <x:f>D78+E78</x:f>
        <x:v>15.882692903395448</x:v>
      </x:c>
      <x:c r="G78" s="23" t="n">
        <x:f>AVERAGE($F$145:$F$168)</x:f>
        <x:v>16.996810930241676</x:v>
      </x:c>
      <x:c r="H78" s="24" t="n">
        <x:f>F78-G78</x:f>
        <x:v>-1.1141180268462278</x:v>
      </x:c>
    </x:row>
    <x:row r="79">
      <x:c r="A79" s="2" t="str">
        <x:v>LiDA-1</x:v>
      </x:c>
      <x:c r="B79" s="4" t="str">
        <x:v>LiCl</x:v>
      </x:c>
      <x:c r="C79" s="23" t="n">
        <x:v>1.005462</x:v>
      </x:c>
      <x:c r="D79" s="23" t="n">
        <x:v>9.539382</x:v>
      </x:c>
      <x:c r="E79" s="23" t="n">
        <x:f>'Parameters'!$B$2*'Parameters'!$B$3*LN(4*PI()*C79^2)</x:f>
        <x:v>6.3013067880837035</x:v>
      </x:c>
      <x:c r="F79" s="23" t="n">
        <x:f>D79+E79</x:f>
        <x:v>15.840688788083703</x:v>
      </x:c>
      <x:c r="G79" s="23" t="n">
        <x:f>AVERAGE($F$145:$F$168)</x:f>
        <x:v>16.996810930241676</x:v>
      </x:c>
      <x:c r="H79" s="24" t="n">
        <x:f>F79-G79</x:f>
        <x:v>-1.1561221421579724</x:v>
      </x:c>
    </x:row>
    <x:row r="80">
      <x:c r="A80" s="2" t="str">
        <x:v>LiDA-1</x:v>
      </x:c>
      <x:c r="B80" s="4" t="str">
        <x:v>LiCl</x:v>
      </x:c>
      <x:c r="C80" s="23" t="n">
        <x:v>1.017922</x:v>
      </x:c>
      <x:c r="D80" s="23" t="n">
        <x:v>9.576625</x:v>
      </x:c>
      <x:c r="E80" s="23" t="n">
        <x:f>'Parameters'!$B$2*'Parameters'!$B$3*LN(4*PI()*C80^2)</x:f>
        <x:v>6.362369236001821</x:v>
      </x:c>
      <x:c r="F80" s="23" t="n">
        <x:f>D80+E80</x:f>
        <x:v>15.938994236001822</x:v>
      </x:c>
      <x:c r="G80" s="23" t="n">
        <x:f>AVERAGE($F$145:$F$168)</x:f>
        <x:v>16.996810930241676</x:v>
      </x:c>
      <x:c r="H80" s="24" t="n">
        <x:f>F80-G80</x:f>
        <x:v>-1.057816694239854</x:v>
      </x:c>
    </x:row>
    <x:row r="81">
      <x:c r="A81" s="2" t="str">
        <x:v>LiDA-1</x:v>
      </x:c>
      <x:c r="B81" s="4" t="str">
        <x:v>LiCl</x:v>
      </x:c>
      <x:c r="C81" s="23" t="n">
        <x:v>1.030383</x:v>
      </x:c>
      <x:c r="D81" s="23" t="n">
        <x:v>9.635897</x:v>
      </x:c>
      <x:c r="E81" s="23" t="n">
        <x:f>'Parameters'!$B$2*'Parameters'!$B$3*LN(4*PI()*C81^2)</x:f>
        <x:v>6.422693581517235</x:v>
      </x:c>
      <x:c r="F81" s="23" t="n">
        <x:f>D81+E81</x:f>
        <x:v>16.058590581517237</x:v>
      </x:c>
      <x:c r="G81" s="23" t="n">
        <x:f>AVERAGE($F$145:$F$168)</x:f>
        <x:v>16.996810930241676</x:v>
      </x:c>
      <x:c r="H81" s="24" t="n">
        <x:f>F81-G81</x:f>
        <x:v>-0.9382203487244389</x:v>
      </x:c>
    </x:row>
    <x:row r="82">
      <x:c r="A82" s="2" t="str">
        <x:v>LiDA-1</x:v>
      </x:c>
      <x:c r="B82" s="4" t="str">
        <x:v>LiCl</x:v>
      </x:c>
      <x:c r="C82" s="23" t="n">
        <x:v>1.042843</x:v>
      </x:c>
      <x:c r="D82" s="23" t="n">
        <x:v>9.59079</x:v>
      </x:c>
      <x:c r="E82" s="23" t="n">
        <x:f>'Parameters'!$B$2*'Parameters'!$B$3*LN(4*PI()*C82^2)</x:f>
        <x:v>6.482288003894406</x:v>
      </x:c>
      <x:c r="F82" s="23" t="n">
        <x:f>D82+E82</x:f>
        <x:v>16.073078003894405</x:v>
      </x:c>
      <x:c r="G82" s="23" t="n">
        <x:f>AVERAGE($F$145:$F$168)</x:f>
        <x:v>16.996810930241676</x:v>
      </x:c>
      <x:c r="H82" s="24" t="n">
        <x:f>F82-G82</x:f>
        <x:v>-0.9237329263472702</x:v>
      </x:c>
    </x:row>
    <x:row r="83">
      <x:c r="A83" s="2" t="str">
        <x:v>LiDA-1</x:v>
      </x:c>
      <x:c r="B83" s="4" t="str">
        <x:v>LiCl</x:v>
      </x:c>
      <x:c r="C83" s="23" t="n">
        <x:v>1.055303</x:v>
      </x:c>
      <x:c r="D83" s="23" t="n">
        <x:v>9.4384</x:v>
      </x:c>
      <x:c r="E83" s="23" t="n">
        <x:f>'Parameters'!$B$2*'Parameters'!$B$3*LN(4*PI()*C83^2)</x:f>
        <x:v>6.5411745974871325</x:v>
      </x:c>
      <x:c r="F83" s="23" t="n">
        <x:f>D83+E83</x:f>
        <x:v>15.979574597487133</x:v>
      </x:c>
      <x:c r="G83" s="23" t="n">
        <x:f>AVERAGE($F$145:$F$168)</x:f>
        <x:v>16.996810930241676</x:v>
      </x:c>
      <x:c r="H83" s="24" t="n">
        <x:f>F83-G83</x:f>
        <x:v>-1.0172363327545426</x:v>
      </x:c>
    </x:row>
    <x:row r="84">
      <x:c r="A84" s="2" t="str">
        <x:v>LiDA-1</x:v>
      </x:c>
      <x:c r="B84" s="4" t="str">
        <x:v>LiCl</x:v>
      </x:c>
      <x:c r="C84" s="23" t="n">
        <x:v>1.067764</x:v>
      </x:c>
      <x:c r="D84" s="23" t="n">
        <x:v>9.330439</x:v>
      </x:c>
      <x:c r="E84" s="23" t="n">
        <x:f>'Parameters'!$B$2*'Parameters'!$B$3*LN(4*PI()*C84^2)</x:f>
        <x:v>6.599374622767127</x:v>
      </x:c>
      <x:c r="F84" s="23" t="n">
        <x:f>D84+E84</x:f>
        <x:v>15.929813622767128</x:v>
      </x:c>
      <x:c r="G84" s="23" t="n">
        <x:f>AVERAGE($F$145:$F$168)</x:f>
        <x:v>16.996810930241676</x:v>
      </x:c>
      <x:c r="H84" s="24" t="n">
        <x:f>F84-G84</x:f>
        <x:v>-1.0669973074745478</x:v>
      </x:c>
    </x:row>
    <x:row r="85">
      <x:c r="A85" s="2" t="str">
        <x:v>LiDA-1</x:v>
      </x:c>
      <x:c r="B85" s="4" t="str">
        <x:v>LiCl</x:v>
      </x:c>
      <x:c r="C85" s="23" t="n">
        <x:v>1.080224</x:v>
      </x:c>
      <x:c r="D85" s="23" t="n">
        <x:v>9.328895</x:v>
      </x:c>
      <x:c r="E85" s="23" t="n">
        <x:f>'Parameters'!$B$2*'Parameters'!$B$3*LN(4*PI()*C85^2)</x:f>
        <x:v>6.656894778455015</x:v>
      </x:c>
      <x:c r="F85" s="23" t="n">
        <x:f>D85+E85</x:f>
        <x:v>15.985789778455015</x:v>
      </x:c>
      <x:c r="G85" s="23" t="n">
        <x:f>AVERAGE($F$145:$F$168)</x:f>
        <x:v>16.996810930241676</x:v>
      </x:c>
      <x:c r="H85" s="24" t="n">
        <x:f>F85-G85</x:f>
        <x:v>-1.011021151786661</x:v>
      </x:c>
    </x:row>
    <x:row r="86">
      <x:c r="A86" s="2" t="str">
        <x:v>LiDA-1</x:v>
      </x:c>
      <x:c r="B86" s="4" t="str">
        <x:v>LiCl</x:v>
      </x:c>
      <x:c r="C86" s="23" t="n">
        <x:v>1.092685</x:v>
      </x:c>
      <x:c r="D86" s="23" t="n">
        <x:v>9.316337</x:v>
      </x:c>
      <x:c r="E86" s="23" t="n">
        <x:f>'Parameters'!$B$2*'Parameters'!$B$3*LN(4*PI()*C86^2)</x:f>
        <x:v>6.713759786940761</x:v>
      </x:c>
      <x:c r="F86" s="23" t="n">
        <x:f>D86+E86</x:f>
        <x:v>16.03009678694076</x:v>
      </x:c>
      <x:c r="G86" s="23" t="n">
        <x:f>AVERAGE($F$145:$F$168)</x:f>
        <x:v>16.996810930241676</x:v>
      </x:c>
      <x:c r="H86" s="24" t="n">
        <x:f>F86-G86</x:f>
        <x:v>-0.9667141433009157</x:v>
      </x:c>
    </x:row>
    <x:row r="87">
      <x:c r="A87" s="2" t="str">
        <x:v>LiDA-1</x:v>
      </x:c>
      <x:c r="B87" s="4" t="str">
        <x:v>LiCl</x:v>
      </x:c>
      <x:c r="C87" s="23" t="n">
        <x:v>1.105145</x:v>
      </x:c>
      <x:c r="D87" s="23" t="n">
        <x:v>9.360785</x:v>
      </x:c>
      <x:c r="E87" s="23" t="n">
        <x:f>'Parameters'!$B$2*'Parameters'!$B$3*LN(4*PI()*C87^2)</x:f>
        <x:v>6.769975482436977</x:v>
      </x:c>
      <x:c r="F87" s="23" t="n">
        <x:f>D87+E87</x:f>
        <x:v>16.130760482436976</x:v>
      </x:c>
      <x:c r="G87" s="23" t="n">
        <x:f>AVERAGE($F$145:$F$168)</x:f>
        <x:v>16.996810930241676</x:v>
      </x:c>
      <x:c r="H87" s="24" t="n">
        <x:f>F87-G87</x:f>
        <x:v>-0.8660504478046995</x:v>
      </x:c>
    </x:row>
    <x:row r="88">
      <x:c r="A88" s="2" t="str">
        <x:v>LiDA-1</x:v>
      </x:c>
      <x:c r="B88" s="4" t="str">
        <x:v>LiCl</x:v>
      </x:c>
      <x:c r="C88" s="23" t="n">
        <x:v>1.117606</x:v>
      </x:c>
      <x:c r="D88" s="23" t="n">
        <x:v>9.144461</x:v>
      </x:c>
      <x:c r="E88" s="23" t="n">
        <x:f>'Parameters'!$B$2*'Parameters'!$B$3*LN(4*PI()*C88^2)</x:f>
        <x:v>6.825565347723941</x:v>
      </x:c>
      <x:c r="F88" s="23" t="n">
        <x:f>D88+E88</x:f>
        <x:v>15.970026347723941</x:v>
      </x:c>
      <x:c r="G88" s="23" t="n">
        <x:f>AVERAGE($F$145:$F$168)</x:f>
        <x:v>16.996810930241676</x:v>
      </x:c>
      <x:c r="H88" s="24" t="n">
        <x:f>F88-G88</x:f>
        <x:v>-1.0267845825177346</x:v>
      </x:c>
    </x:row>
    <x:row r="89">
      <x:c r="A89" s="2" t="str">
        <x:v>LiDA-1</x:v>
      </x:c>
      <x:c r="B89" s="4" t="str">
        <x:v>LiCl</x:v>
      </x:c>
      <x:c r="C89" s="23" t="n">
        <x:v>1.130066</x:v>
      </x:c>
      <x:c r="D89" s="23" t="n">
        <x:v>9.210481</x:v>
      </x:c>
      <x:c r="E89" s="23" t="n">
        <x:f>'Parameters'!$B$2*'Parameters'!$B$3*LN(4*PI()*C89^2)</x:f>
        <x:v>6.880534437509877</x:v>
      </x:c>
      <x:c r="F89" s="23" t="n">
        <x:f>D89+E89</x:f>
        <x:v>16.091015437509878</x:v>
      </x:c>
      <x:c r="G89" s="23" t="n">
        <x:f>AVERAGE($F$145:$F$168)</x:f>
        <x:v>16.996810930241676</x:v>
      </x:c>
      <x:c r="H89" s="24" t="n">
        <x:f>F89-G89</x:f>
        <x:v>-0.9057954927317979</x:v>
      </x:c>
    </x:row>
    <x:row r="90">
      <x:c r="A90" s="2" t="str">
        <x:v>LiDA-1</x:v>
      </x:c>
      <x:c r="B90" s="4" t="str">
        <x:v>LiCl</x:v>
      </x:c>
      <x:c r="C90" s="23" t="n">
        <x:v>1.142527</x:v>
      </x:c>
      <x:c r="D90" s="23" t="n">
        <x:v>9.071738</x:v>
      </x:c>
      <x:c r="E90" s="23" t="n">
        <x:f>'Parameters'!$B$2*'Parameters'!$B$3*LN(4*PI()*C90^2)</x:f>
        <x:v>6.934905093627324</x:v>
      </x:c>
      <x:c r="F90" s="23" t="n">
        <x:f>D90+E90</x:f>
        <x:v>16.006643093627325</x:v>
      </x:c>
      <x:c r="G90" s="23" t="n">
        <x:f>AVERAGE($F$145:$F$168)</x:f>
        <x:v>16.996810930241676</x:v>
      </x:c>
      <x:c r="H90" s="24" t="n">
        <x:f>F90-G90</x:f>
        <x:v>-0.9901678366143507</x:v>
      </x:c>
    </x:row>
    <x:row r="91">
      <x:c r="A91" s="2" t="str">
        <x:v>LiDA-1</x:v>
      </x:c>
      <x:c r="B91" s="4" t="str">
        <x:v>LiCl</x:v>
      </x:c>
      <x:c r="C91" s="23" t="n">
        <x:v>1.154987</x:v>
      </x:c>
      <x:c r="D91" s="23" t="n">
        <x:v>9.016405</x:v>
      </x:c>
      <x:c r="E91" s="23" t="n">
        <x:f>'Parameters'!$B$2*'Parameters'!$B$3*LN(4*PI()*C91^2)</x:f>
        <x:v>6.988681666766595</x:v>
      </x:c>
      <x:c r="F91" s="23" t="n">
        <x:f>D91+E91</x:f>
        <x:v>16.005086666766594</x:v>
      </x:c>
      <x:c r="G91" s="23" t="n">
        <x:f>AVERAGE($F$145:$F$168)</x:f>
        <x:v>16.996810930241676</x:v>
      </x:c>
      <x:c r="H91" s="24" t="n">
        <x:f>F91-G91</x:f>
        <x:v>-0.9917242634750814</x:v>
      </x:c>
    </x:row>
    <x:row r="92">
      <x:c r="A92" s="2" t="str">
        <x:v>LiDA-1</x:v>
      </x:c>
      <x:c r="B92" s="4" t="str">
        <x:v>LiCl</x:v>
      </x:c>
      <x:c r="C92" s="23" t="n">
        <x:v>1.167448</x:v>
      </x:c>
      <x:c r="D92" s="23" t="n">
        <x:v>8.981474</x:v>
      </x:c>
      <x:c r="E92" s="23" t="n">
        <x:f>'Parameters'!$B$2*'Parameters'!$B$3*LN(4*PI()*C92^2)</x:f>
        <x:v>7.041885446384187</x:v>
      </x:c>
      <x:c r="F92" s="23" t="n">
        <x:f>D92+E92</x:f>
        <x:v>16.023359446384188</x:v>
      </x:c>
      <x:c r="G92" s="23" t="n">
        <x:f>AVERAGE($F$145:$F$168)</x:f>
        <x:v>16.996810930241676</x:v>
      </x:c>
      <x:c r="H92" s="24" t="n">
        <x:f>F92-G92</x:f>
        <x:v>-0.9734514838574881</x:v>
      </x:c>
    </x:row>
    <x:row r="93">
      <x:c r="A93" s="2" t="str">
        <x:v>LiDA-1</x:v>
      </x:c>
      <x:c r="B93" s="4" t="str">
        <x:v>LiCl</x:v>
      </x:c>
      <x:c r="C93" s="23" t="n">
        <x:v>1.179908</x:v>
      </x:c>
      <x:c r="D93" s="23" t="n">
        <x:v>8.888077</x:v>
      </x:c>
      <x:c r="E93" s="23" t="n">
        <x:f>'Parameters'!$B$2*'Parameters'!$B$3*LN(4*PI()*C93^2)</x:f>
        <x:v>7.094520146346573</x:v>
      </x:c>
      <x:c r="F93" s="23" t="n">
        <x:f>D93+E93</x:f>
        <x:v>15.982597146346572</x:v>
      </x:c>
      <x:c r="G93" s="23" t="n">
        <x:f>AVERAGE($F$145:$F$168)</x:f>
        <x:v>16.996810930241676</x:v>
      </x:c>
      <x:c r="H93" s="24" t="n">
        <x:f>F93-G93</x:f>
        <x:v>-1.0142137838951033</x:v>
      </x:c>
    </x:row>
    <x:row r="94">
      <x:c r="A94" s="2" t="str">
        <x:v>LiDA-1</x:v>
      </x:c>
      <x:c r="B94" s="4" t="str">
        <x:v>LiCl</x:v>
      </x:c>
      <x:c r="C94" s="23" t="n">
        <x:v>1.192369</x:v>
      </x:c>
      <x:c r="D94" s="23" t="n">
        <x:v>8.690848</x:v>
      </x:c>
      <x:c r="E94" s="23" t="n">
        <x:f>'Parameters'!$B$2*'Parameters'!$B$3*LN(4*PI()*C94^2)</x:f>
        <x:v>7.14660608344997</x:v>
      </x:c>
      <x:c r="F94" s="23" t="n">
        <x:f>D94+E94</x:f>
        <x:v>15.83745408344997</x:v>
      </x:c>
      <x:c r="G94" s="23" t="n">
        <x:f>AVERAGE($F$145:$F$168)</x:f>
        <x:v>16.996810930241676</x:v>
      </x:c>
      <x:c r="H94" s="24" t="n">
        <x:f>F94-G94</x:f>
        <x:v>-1.159356846791706</x:v>
      </x:c>
    </x:row>
    <x:row r="95">
      <x:c r="A95" s="2" t="str">
        <x:v>LiDA-1</x:v>
      </x:c>
      <x:c r="B95" s="4" t="str">
        <x:v>LiCl</x:v>
      </x:c>
      <x:c r="C95" s="23" t="n">
        <x:v>1.204829</x:v>
      </x:c>
      <x:c r="D95" s="23" t="n">
        <x:v>8.694316</x:v>
      </x:c>
      <x:c r="E95" s="23" t="n">
        <x:f>'Parameters'!$B$2*'Parameters'!$B$3*LN(4*PI()*C95^2)</x:f>
        <x:v>7.198146394684933</x:v>
      </x:c>
      <x:c r="F95" s="23" t="n">
        <x:f>D95+E95</x:f>
        <x:v>15.892462394684934</x:v>
      </x:c>
      <x:c r="G95" s="23" t="n">
        <x:f>AVERAGE($F$145:$F$168)</x:f>
        <x:v>16.996810930241676</x:v>
      </x:c>
      <x:c r="H95" s="24" t="n">
        <x:f>F95-G95</x:f>
        <x:v>-1.104348535556742</x:v>
      </x:c>
    </x:row>
    <x:row r="96">
      <x:c r="A96" s="2" t="str">
        <x:v>LiDA-1</x:v>
      </x:c>
      <x:c r="B96" s="4" t="str">
        <x:v>LiCl</x:v>
      </x:c>
      <x:c r="C96" s="23" t="n">
        <x:v>1.217289</x:v>
      </x:c>
      <x:c r="D96" s="23" t="n">
        <x:v>8.678346</x:v>
      </x:c>
      <x:c r="E96" s="23" t="n">
        <x:f>'Parameters'!$B$2*'Parameters'!$B$3*LN(4*PI()*C96^2)</x:f>
        <x:v>7.249156423194726</x:v>
      </x:c>
      <x:c r="F96" s="23" t="n">
        <x:f>D96+E96</x:f>
        <x:v>15.927502423194724</x:v>
      </x:c>
      <x:c r="G96" s="23" t="n">
        <x:f>AVERAGE($F$145:$F$168)</x:f>
        <x:v>16.996810930241676</x:v>
      </x:c>
      <x:c r="H96" s="24" t="n">
        <x:f>F96-G96</x:f>
        <x:v>-1.0693085070469515</x:v>
      </x:c>
    </x:row>
    <x:row r="97">
      <x:c r="A97" s="2" t="str">
        <x:v>LiDA-1</x:v>
      </x:c>
      <x:c r="B97" s="4" t="str">
        <x:v>LiCl</x:v>
      </x:c>
      <x:c r="C97" s="23" t="n">
        <x:v>1.22975</x:v>
      </x:c>
      <x:c r="D97" s="23" t="n">
        <x:v>8.628767</x:v>
      </x:c>
      <x:c r="E97" s="23" t="n">
        <x:f>'Parameters'!$B$2*'Parameters'!$B$3*LN(4*PI()*C97^2)</x:f>
        <x:v>7.299651001431133</x:v>
      </x:c>
      <x:c r="F97" s="23" t="n">
        <x:f>D97+E97</x:f>
        <x:v>15.928418001431133</x:v>
      </x:c>
      <x:c r="G97" s="23" t="n">
        <x:f>AVERAGE($F$145:$F$168)</x:f>
        <x:v>16.996810930241676</x:v>
      </x:c>
      <x:c r="H97" s="24" t="n">
        <x:f>F97-G97</x:f>
        <x:v>-1.0683929288105425</x:v>
      </x:c>
    </x:row>
    <x:row r="98">
      <x:c r="A98" s="2" t="str">
        <x:v>LiDA-1</x:v>
      </x:c>
      <x:c r="B98" s="4" t="str">
        <x:v>LiCl</x:v>
      </x:c>
      <x:c r="C98" s="23" t="n">
        <x:v>1.24221</x:v>
      </x:c>
      <x:c r="D98" s="23" t="n">
        <x:v>8.404528</x:v>
      </x:c>
      <x:c r="E98" s="23" t="n">
        <x:f>'Parameters'!$B$2*'Parameters'!$B$3*LN(4*PI()*C98^2)</x:f>
        <x:v>7.349632499807389</x:v>
      </x:c>
      <x:c r="F98" s="23" t="n">
        <x:f>D98+E98</x:f>
        <x:v>15.75416049980739</x:v>
      </x:c>
      <x:c r="G98" s="23" t="n">
        <x:f>AVERAGE($F$145:$F$168)</x:f>
        <x:v>16.996810930241676</x:v>
      </x:c>
      <x:c r="H98" s="24" t="n">
        <x:f>F98-G98</x:f>
        <x:v>-1.242650430434285</x:v>
      </x:c>
    </x:row>
    <x:row r="99">
      <x:c r="A99" s="2" t="str">
        <x:v>LiDA-1</x:v>
      </x:c>
      <x:c r="B99" s="4" t="str">
        <x:v>LiCl</x:v>
      </x:c>
      <x:c r="C99" s="23" t="n">
        <x:v>1.254671</x:v>
      </x:c>
      <x:c r="D99" s="23" t="n">
        <x:v>8.505287</x:v>
      </x:c>
      <x:c r="E99" s="23" t="n">
        <x:f>'Parameters'!$B$2*'Parameters'!$B$3*LN(4*PI()*C99^2)</x:f>
        <x:v>7.399119103301036</x:v>
      </x:c>
      <x:c r="F99" s="23" t="n">
        <x:f>D99+E99</x:f>
        <x:v>15.904406103301035</x:v>
      </x:c>
      <x:c r="G99" s="23" t="n">
        <x:f>AVERAGE($F$145:$F$168)</x:f>
        <x:v>16.996810930241676</x:v>
      </x:c>
      <x:c r="H99" s="24" t="n">
        <x:f>F99-G99</x:f>
        <x:v>-1.0924048269406406</x:v>
      </x:c>
    </x:row>
    <x:row r="100">
      <x:c r="A100" s="2" t="str">
        <x:v>LiDA-1</x:v>
      </x:c>
      <x:c r="B100" s="4" t="str">
        <x:v>LiCl</x:v>
      </x:c>
      <x:c r="C100" s="23" t="n">
        <x:v>1.267131</x:v>
      </x:c>
      <x:c r="D100" s="23" t="n">
        <x:v>8.384007</x:v>
      </x:c>
      <x:c r="E100" s="23" t="n">
        <x:f>'Parameters'!$B$2*'Parameters'!$B$3*LN(4*PI()*C100^2)</x:f>
        <x:v>7.448112729197301</x:v>
      </x:c>
      <x:c r="F100" s="23" t="n">
        <x:f>D100+E100</x:f>
        <x:v>15.832119729197302</x:v>
      </x:c>
      <x:c r="G100" s="23" t="n">
        <x:f>AVERAGE($F$145:$F$168)</x:f>
        <x:v>16.996810930241676</x:v>
      </x:c>
      <x:c r="H100" s="24" t="n">
        <x:f>F100-G100</x:f>
        <x:v>-1.1646912010443735</x:v>
      </x:c>
    </x:row>
    <x:row r="101">
      <x:c r="A101" s="2" t="str">
        <x:v>LiDA-1</x:v>
      </x:c>
      <x:c r="B101" s="4" t="str">
        <x:v>LiCl</x:v>
      </x:c>
      <x:c r="C101" s="23" t="n">
        <x:v>1.279592</x:v>
      </x:c>
      <x:c r="D101" s="23" t="n">
        <x:v>8.362107</x:v>
      </x:c>
      <x:c r="E101" s="23" t="n">
        <x:f>'Parameters'!$B$2*'Parameters'!$B$3*LN(4*PI()*C101^2)</x:f>
        <x:v>7.4966308131259005</x:v>
      </x:c>
      <x:c r="F101" s="23" t="n">
        <x:f>D101+E101</x:f>
        <x:v>15.8587378131259</x:v>
      </x:c>
      <x:c r="G101" s="23" t="n">
        <x:f>AVERAGE($F$145:$F$168)</x:f>
        <x:v>16.996810930241676</x:v>
      </x:c>
      <x:c r="H101" s="24" t="n">
        <x:f>F101-G101</x:f>
        <x:v>-1.1380731171157752</x:v>
      </x:c>
    </x:row>
    <x:row r="102">
      <x:c r="A102" s="2" t="str">
        <x:v>LiDA-1</x:v>
      </x:c>
      <x:c r="B102" s="4" t="str">
        <x:v>LiCl</x:v>
      </x:c>
      <x:c r="C102" s="23" t="n">
        <x:v>1.292052</x:v>
      </x:c>
      <x:c r="D102" s="23" t="n">
        <x:v>8.488613</x:v>
      </x:c>
      <x:c r="E102" s="23" t="n">
        <x:f>'Parameters'!$B$2*'Parameters'!$B$3*LN(4*PI()*C102^2)</x:f>
        <x:v>7.544674860115626</x:v>
      </x:c>
      <x:c r="F102" s="23" t="n">
        <x:f>D102+E102</x:f>
        <x:v>16.033287860115628</x:v>
      </x:c>
      <x:c r="G102" s="23" t="n">
        <x:f>AVERAGE($F$145:$F$168)</x:f>
        <x:v>16.996810930241676</x:v>
      </x:c>
      <x:c r="H102" s="24" t="n">
        <x:f>F102-G102</x:f>
        <x:v>-0.9635230701260475</x:v>
      </x:c>
    </x:row>
    <x:row r="103">
      <x:c r="A103" s="2" t="str">
        <x:v>LiDA-1</x:v>
      </x:c>
      <x:c r="B103" s="4" t="str">
        <x:v>LiCl</x:v>
      </x:c>
      <x:c r="C103" s="23" t="n">
        <x:v>1.304513</x:v>
      </x:c>
      <x:c r="D103" s="23" t="n">
        <x:v>8.464006</x:v>
      </x:c>
      <x:c r="E103" s="23" t="n">
        <x:f>'Parameters'!$B$2*'Parameters'!$B$3*LN(4*PI()*C103^2)</x:f>
        <x:v>7.592261607515995</x:v>
      </x:c>
      <x:c r="F103" s="23" t="n">
        <x:f>D103+E103</x:f>
        <x:v>16.056267607515995</x:v>
      </x:c>
      <x:c r="G103" s="23" t="n">
        <x:f>AVERAGE($F$145:$F$168)</x:f>
        <x:v>16.996810930241676</x:v>
      </x:c>
      <x:c r="H103" s="24" t="n">
        <x:f>F103-G103</x:f>
        <x:v>-0.9405433227256808</x:v>
      </x:c>
    </x:row>
    <x:row r="104">
      <x:c r="A104" s="2" t="str">
        <x:v>LiDA-1</x:v>
      </x:c>
      <x:c r="B104" s="4" t="str">
        <x:v>LiCl</x:v>
      </x:c>
      <x:c r="C104" s="23" t="n">
        <x:v>1.316973</x:v>
      </x:c>
      <x:c r="D104" s="23" t="n">
        <x:v>8.575324</x:v>
      </x:c>
      <x:c r="E104" s="23" t="n">
        <x:f>'Parameters'!$B$2*'Parameters'!$B$3*LN(4*PI()*C104^2)</x:f>
        <x:v>7.639392184891472</x:v>
      </x:c>
      <x:c r="F104" s="23" t="n">
        <x:f>D104+E104</x:f>
        <x:v>16.214716184891472</x:v>
      </x:c>
      <x:c r="G104" s="23" t="n">
        <x:f>AVERAGE($F$145:$F$168)</x:f>
        <x:v>16.996810930241676</x:v>
      </x:c>
      <x:c r="H104" s="24" t="n">
        <x:f>F104-G104</x:f>
        <x:v>-0.7820947453502036</x:v>
      </x:c>
    </x:row>
    <x:row r="105">
      <x:c r="A105" s="2" t="str">
        <x:v>LiDA-1</x:v>
      </x:c>
      <x:c r="B105" s="4" t="str">
        <x:v>LiCl</x:v>
      </x:c>
      <x:c r="C105" s="23" t="n">
        <x:v>1.329434</x:v>
      </x:c>
      <x:c r="D105" s="23" t="n">
        <x:v>8.545814</x:v>
      </x:c>
      <x:c r="E105" s="23" t="n">
        <x:f>'Parameters'!$B$2*'Parameters'!$B$3*LN(4*PI()*C105^2)</x:f>
        <x:v>7.686082677838641</x:v>
      </x:c>
      <x:c r="F105" s="23" t="n">
        <x:f>D105+E105</x:f>
        <x:v>16.23189667783864</x:v>
      </x:c>
      <x:c r="G105" s="23" t="n">
        <x:f>AVERAGE($F$145:$F$168)</x:f>
        <x:v>16.996810930241676</x:v>
      </x:c>
      <x:c r="H105" s="24" t="n">
        <x:f>F105-G105</x:f>
        <x:v>-0.7649142524030346</x:v>
      </x:c>
    </x:row>
    <x:row r="106">
      <x:c r="A106" s="2" t="str">
        <x:v>LiDA-1</x:v>
      </x:c>
      <x:c r="B106" s="4" t="str">
        <x:v>LiCl</x:v>
      </x:c>
      <x:c r="C106" s="23" t="n">
        <x:v>1.341894</x:v>
      </x:c>
      <x:c r="D106" s="23" t="n">
        <x:v>8.556852</x:v>
      </x:c>
      <x:c r="E106" s="23" t="n">
        <x:f>'Parameters'!$B$2*'Parameters'!$B$3*LN(4*PI()*C106^2)</x:f>
        <x:v>7.732333873635592</x:v>
      </x:c>
      <x:c r="F106" s="23" t="n">
        <x:f>D106+E106</x:f>
        <x:v>16.289185873635592</x:v>
      </x:c>
      <x:c r="G106" s="23" t="n">
        <x:f>AVERAGE($F$145:$F$168)</x:f>
        <x:v>16.996810930241676</x:v>
      </x:c>
      <x:c r="H106" s="24" t="n">
        <x:f>F106-G106</x:f>
        <x:v>-0.7076250566060835</x:v>
      </x:c>
    </x:row>
    <x:row r="107">
      <x:c r="A107" s="2" t="str">
        <x:v>LiDA-1</x:v>
      </x:c>
      <x:c r="B107" s="4" t="str">
        <x:v>LiCl</x:v>
      </x:c>
      <x:c r="C107" s="23" t="n">
        <x:v>1.354354</x:v>
      </x:c>
      <x:c r="D107" s="23" t="n">
        <x:v>8.554192</x:v>
      </x:c>
      <x:c r="E107" s="23" t="n">
        <x:f>'Parameters'!$B$2*'Parameters'!$B$3*LN(4*PI()*C107^2)</x:f>
        <x:v>7.778157587878313</x:v>
      </x:c>
      <x:c r="F107" s="23" t="n">
        <x:f>D107+E107</x:f>
        <x:v>16.332349587878312</x:v>
      </x:c>
      <x:c r="G107" s="23" t="n">
        <x:f>AVERAGE($F$145:$F$168)</x:f>
        <x:v>16.996810930241676</x:v>
      </x:c>
      <x:c r="H107" s="24" t="n">
        <x:f>F107-G107</x:f>
        <x:v>-0.6644613423633636</x:v>
      </x:c>
    </x:row>
    <x:row r="108">
      <x:c r="A108" s="2" t="str">
        <x:v>LiDA-1</x:v>
      </x:c>
      <x:c r="B108" s="4" t="str">
        <x:v>LiCl</x:v>
      </x:c>
      <x:c r="C108" s="23" t="n">
        <x:v>1.366815</x:v>
      </x:c>
      <x:c r="D108" s="23" t="n">
        <x:v>8.505004</x:v>
      </x:c>
      <x:c r="E108" s="23" t="n">
        <x:f>'Parameters'!$B$2*'Parameters'!$B$3*LN(4*PI()*C108^2)</x:f>
        <x:v>7.823565277690816</x:v>
      </x:c>
      <x:c r="F108" s="23" t="n">
        <x:f>D108+E108</x:f>
        <x:v>16.328569277690818</x:v>
      </x:c>
      <x:c r="G108" s="23" t="n">
        <x:f>AVERAGE($F$145:$F$168)</x:f>
        <x:v>16.996810930241676</x:v>
      </x:c>
      <x:c r="H108" s="24" t="n">
        <x:f>F108-G108</x:f>
        <x:v>-0.6682416525508579</x:v>
      </x:c>
    </x:row>
    <x:row r="109">
      <x:c r="A109" s="2" t="str">
        <x:v>LiDA-1</x:v>
      </x:c>
      <x:c r="B109" s="4" t="str">
        <x:v>LiCl</x:v>
      </x:c>
      <x:c r="C109" s="23" t="n">
        <x:v>1.379275</x:v>
      </x:c>
      <x:c r="D109" s="23" t="n">
        <x:v>8.433216</x:v>
      </x:c>
      <x:c r="E109" s="23" t="n">
        <x:f>'Parameters'!$B$2*'Parameters'!$B$3*LN(4*PI()*C109^2)</x:f>
        <x:v>7.8685572722146055</x:v>
      </x:c>
      <x:c r="F109" s="23" t="n">
        <x:f>D109+E109</x:f>
        <x:v>16.301773272214604</x:v>
      </x:c>
      <x:c r="G109" s="23" t="n">
        <x:f>AVERAGE($F$145:$F$168)</x:f>
        <x:v>16.996810930241676</x:v>
      </x:c>
      <x:c r="H109" s="24" t="n">
        <x:f>F109-G109</x:f>
        <x:v>-0.6950376580270721</x:v>
      </x:c>
    </x:row>
    <x:row r="110">
      <x:c r="A110" s="2" t="str">
        <x:v>LiDA-1</x:v>
      </x:c>
      <x:c r="B110" s="4" t="str">
        <x:v>LiCl</x:v>
      </x:c>
      <x:c r="C110" s="23" t="n">
        <x:v>1.391736</x:v>
      </x:c>
      <x:c r="D110" s="23" t="n">
        <x:v>8.542141</x:v>
      </x:c>
      <x:c r="E110" s="23" t="n">
        <x:f>'Parameters'!$B$2*'Parameters'!$B$3*LN(4*PI()*C110^2)</x:f>
        <x:v>7.913148205663795</x:v>
      </x:c>
      <x:c r="F110" s="23" t="n">
        <x:f>D110+E110</x:f>
        <x:v>16.455289205663796</x:v>
      </x:c>
      <x:c r="G110" s="23" t="n">
        <x:f>AVERAGE($F$145:$F$168)</x:f>
        <x:v>16.996810930241676</x:v>
      </x:c>
      <x:c r="H110" s="24" t="n">
        <x:f>F110-G110</x:f>
        <x:v>-0.5415217245778798</x:v>
      </x:c>
    </x:row>
    <x:row r="111">
      <x:c r="A111" s="2" t="str">
        <x:v>LiDA-1</x:v>
      </x:c>
      <x:c r="B111" s="4" t="str">
        <x:v>LiCl</x:v>
      </x:c>
      <x:c r="C111" s="23" t="n">
        <x:v>1.404196</x:v>
      </x:c>
      <x:c r="D111" s="23" t="n">
        <x:v>8.648862</x:v>
      </x:c>
      <x:c r="E111" s="23" t="n">
        <x:f>'Parameters'!$B$2*'Parameters'!$B$3*LN(4*PI()*C111^2)</x:f>
        <x:v>7.957338134560862</x:v>
      </x:c>
      <x:c r="F111" s="23" t="n">
        <x:f>D111+E111</x:f>
        <x:v>16.60620013456086</x:v>
      </x:c>
      <x:c r="G111" s="23" t="n">
        <x:f>AVERAGE($F$145:$F$168)</x:f>
        <x:v>16.996810930241676</x:v>
      </x:c>
      <x:c r="H111" s="24" t="n">
        <x:f>F111-G111</x:f>
        <x:v>-0.39061079568081425</x:v>
      </x:c>
    </x:row>
    <x:row r="112">
      <x:c r="A112" s="2" t="str">
        <x:v>LiDA-1</x:v>
      </x:c>
      <x:c r="B112" s="4" t="str">
        <x:v>LiCl</x:v>
      </x:c>
      <x:c r="C112" s="23" t="n">
        <x:v>1.416657</x:v>
      </x:c>
      <x:c r="D112" s="23" t="n">
        <x:v>8.605885</x:v>
      </x:c>
      <x:c r="E112" s="23" t="n">
        <x:f>'Parameters'!$B$2*'Parameters'!$B$3*LN(4*PI()*C112^2)</x:f>
        <x:v>8.001141174958315</x:v>
      </x:c>
      <x:c r="F112" s="23" t="n">
        <x:f>D112+E112</x:f>
        <x:v>16.607026174958314</x:v>
      </x:c>
      <x:c r="G112" s="23" t="n">
        <x:f>AVERAGE($F$145:$F$168)</x:f>
        <x:v>16.996810930241676</x:v>
      </x:c>
      <x:c r="H112" s="24" t="n">
        <x:f>F112-G112</x:f>
        <x:v>-0.38978475528336176</x:v>
      </x:c>
    </x:row>
    <x:row r="113">
      <x:c r="A113" s="2" t="str">
        <x:v>LiDA-1</x:v>
      </x:c>
      <x:c r="B113" s="4" t="str">
        <x:v>LiCl</x:v>
      </x:c>
      <x:c r="C113" s="23" t="n">
        <x:v>1.429117</x:v>
      </x:c>
      <x:c r="D113" s="23" t="n">
        <x:v>8.464017</x:v>
      </x:c>
      <x:c r="E113" s="23" t="n">
        <x:f>'Parameters'!$B$2*'Parameters'!$B$3*LN(4*PI()*C113^2)</x:f>
        <x:v>8.044557134159808</x:v>
      </x:c>
      <x:c r="F113" s="23" t="n">
        <x:f>D113+E113</x:f>
        <x:v>16.508574134159808</x:v>
      </x:c>
      <x:c r="G113" s="23" t="n">
        <x:f>AVERAGE($F$145:$F$168)</x:f>
        <x:v>16.996810930241676</x:v>
      </x:c>
      <x:c r="H113" s="24" t="n">
        <x:f>F113-G113</x:f>
        <x:v>-0.48823679608186765</x:v>
      </x:c>
    </x:row>
    <x:row r="114">
      <x:c r="A114" s="2" t="str">
        <x:v>LiDA-1</x:v>
      </x:c>
      <x:c r="B114" s="4" t="str">
        <x:v>LiCl</x:v>
      </x:c>
      <x:c r="C114" s="23" t="n">
        <x:v>1.441578</x:v>
      </x:c>
      <x:c r="D114" s="23" t="n">
        <x:v>8.501475</x:v>
      </x:c>
      <x:c r="E114" s="23" t="n">
        <x:f>'Parameters'!$B$2*'Parameters'!$B$3*LN(4*PI()*C114^2)</x:f>
        <x:v>8.087599641373897</x:v>
      </x:c>
      <x:c r="F114" s="23" t="n">
        <x:f>D114+E114</x:f>
        <x:v>16.589074641373898</x:v>
      </x:c>
      <x:c r="G114" s="23" t="n">
        <x:f>AVERAGE($F$145:$F$168)</x:f>
        <x:v>16.996810930241676</x:v>
      </x:c>
      <x:c r="H114" s="24" t="n">
        <x:f>F114-G114</x:f>
        <x:v>-0.4077362888677776</x:v>
      </x:c>
    </x:row>
    <x:row r="115">
      <x:c r="A115" s="2" t="str">
        <x:v>LiDA-1</x:v>
      </x:c>
      <x:c r="B115" s="4" t="str">
        <x:v>LiCl</x:v>
      </x:c>
      <x:c r="C115" s="23" t="n">
        <x:v>1.454038</x:v>
      </x:c>
      <x:c r="D115" s="23" t="n">
        <x:v>8.305823</x:v>
      </x:c>
      <x:c r="E115" s="23" t="n">
        <x:f>'Parameters'!$B$2*'Parameters'!$B$3*LN(4*PI()*C115^2)</x:f>
        <x:v>8.130268275935325</x:v>
      </x:c>
      <x:c r="F115" s="23" t="n">
        <x:f>D115+E115</x:f>
        <x:v>16.436091275935325</x:v>
      </x:c>
      <x:c r="G115" s="23" t="n">
        <x:f>AVERAGE($F$145:$F$168)</x:f>
        <x:v>16.996810930241676</x:v>
      </x:c>
      <x:c r="H115" s="24" t="n">
        <x:f>F115-G115</x:f>
        <x:v>-0.5607196543063502</x:v>
      </x:c>
    </x:row>
    <x:row r="116">
      <x:c r="A116" s="2" t="str">
        <x:v>LiDA-1</x:v>
      </x:c>
      <x:c r="B116" s="4" t="str">
        <x:v>LiCl</x:v>
      </x:c>
      <x:c r="C116" s="23" t="n">
        <x:v>1.466499</x:v>
      </x:c>
      <x:c r="D116" s="23" t="n">
        <x:v>8.328066</x:v>
      </x:c>
      <x:c r="E116" s="23" t="n">
        <x:f>'Parameters'!$B$2*'Parameters'!$B$3*LN(4*PI()*C116^2)</x:f>
        <x:v>8.172576209025722</x:v>
      </x:c>
      <x:c r="F116" s="23" t="n">
        <x:f>D116+E116</x:f>
        <x:v>16.50064220902572</x:v>
      </x:c>
      <x:c r="G116" s="23" t="n">
        <x:f>AVERAGE($F$145:$F$168)</x:f>
        <x:v>16.996810930241676</x:v>
      </x:c>
      <x:c r="H116" s="24" t="n">
        <x:f>F116-G116</x:f>
        <x:v>-0.49616872121595534</x:v>
      </x:c>
    </x:row>
    <x:row r="117">
      <x:c r="A117" s="2" t="str">
        <x:v>LiDA-1</x:v>
      </x:c>
      <x:c r="B117" s="4" t="str">
        <x:v>LiCl</x:v>
      </x:c>
      <x:c r="C117" s="23" t="n">
        <x:v>1.478959</x:v>
      </x:c>
      <x:c r="D117" s="23" t="n">
        <x:v>8.134308</x:v>
      </x:c>
      <x:c r="E117" s="23" t="n">
        <x:f>'Parameters'!$B$2*'Parameters'!$B$3*LN(4*PI()*C117^2)</x:f>
        <x:v>8.214522811334811</x:v>
      </x:c>
      <x:c r="F117" s="23" t="n">
        <x:f>D117+E117</x:f>
        <x:v>16.348830811334814</x:v>
      </x:c>
      <x:c r="G117" s="23" t="n">
        <x:f>AVERAGE($F$145:$F$168)</x:f>
        <x:v>16.996810930241676</x:v>
      </x:c>
      <x:c r="H117" s="24" t="n">
        <x:f>F117-G117</x:f>
        <x:v>-0.6479801189068617</x:v>
      </x:c>
    </x:row>
    <x:row r="118">
      <x:c r="A118" s="2" t="str">
        <x:v>LiDA-1</x:v>
      </x:c>
      <x:c r="B118" s="4" t="str">
        <x:v>LiCl</x:v>
      </x:c>
      <x:c r="C118" s="23" t="n">
        <x:v>1.49142</x:v>
      </x:c>
      <x:c r="D118" s="23" t="n">
        <x:v>8.305931</x:v>
      </x:c>
      <x:c r="E118" s="23" t="n">
        <x:f>'Parameters'!$B$2*'Parameters'!$B$3*LN(4*PI()*C118^2)</x:f>
        <x:v>8.256120822575822</x:v>
      </x:c>
      <x:c r="F118" s="23" t="n">
        <x:f>D118+E118</x:f>
        <x:v>16.56205182257582</x:v>
      </x:c>
      <x:c r="G118" s="23" t="n">
        <x:f>AVERAGE($F$145:$F$168)</x:f>
        <x:v>16.996810930241676</x:v>
      </x:c>
      <x:c r="H118" s="24" t="n">
        <x:f>F118-G118</x:f>
        <x:v>-0.43475910766585457</x:v>
      </x:c>
    </x:row>
    <x:row r="119">
      <x:c r="A119" s="2" t="str">
        <x:v>LiDA-1</x:v>
      </x:c>
      <x:c r="B119" s="4" t="str">
        <x:v>LiCl</x:v>
      </x:c>
      <x:c r="C119" s="23" t="n">
        <x:v>1.50388</x:v>
      </x:c>
      <x:c r="D119" s="23" t="n">
        <x:v>8.115706</x:v>
      </x:c>
      <x:c r="E119" s="23" t="n">
        <x:f>'Parameters'!$B$2*'Parameters'!$B$3*LN(4*PI()*C119^2)</x:f>
        <x:v>8.29736942238915</x:v>
      </x:c>
      <x:c r="F119" s="23" t="n">
        <x:f>D119+E119</x:f>
        <x:v>16.41307542238915</x:v>
      </x:c>
      <x:c r="G119" s="23" t="n">
        <x:f>AVERAGE($F$145:$F$168)</x:f>
        <x:v>16.996810930241676</x:v>
      </x:c>
      <x:c r="H119" s="24" t="n">
        <x:f>F119-G119</x:f>
        <x:v>-0.583735507852527</x:v>
      </x:c>
    </x:row>
    <x:row r="120">
      <x:c r="A120" s="2" t="str">
        <x:v>LiDA-1</x:v>
      </x:c>
      <x:c r="B120" s="4" t="str">
        <x:v>LiCl</x:v>
      </x:c>
      <x:c r="C120" s="23" t="n">
        <x:v>1.51634</x:v>
      </x:c>
      <x:c r="D120" s="23" t="n">
        <x:v>8.026128</x:v>
      </x:c>
      <x:c r="E120" s="23" t="n">
        <x:f>'Parameters'!$B$2*'Parameters'!$B$3*LN(4*PI()*C120^2)</x:f>
        <x:v>8.338277673877043</x:v>
      </x:c>
      <x:c r="F120" s="23" t="n">
        <x:f>D120+E120</x:f>
        <x:v>16.364405673877044</x:v>
      </x:c>
      <x:c r="G120" s="23" t="n">
        <x:f>AVERAGE($F$145:$F$168)</x:f>
        <x:v>16.996810930241676</x:v>
      </x:c>
      <x:c r="H120" s="24" t="n">
        <x:f>F120-G120</x:f>
        <x:v>-0.6324052563646312</x:v>
      </x:c>
    </x:row>
    <x:row r="121">
      <x:c r="A121" s="2" t="str">
        <x:v>LiDA-1</x:v>
      </x:c>
      <x:c r="B121" s="4" t="str">
        <x:v>LiCl</x:v>
      </x:c>
      <x:c r="C121" s="23" t="n">
        <x:v>1.528801</x:v>
      </x:c>
      <x:c r="D121" s="23" t="n">
        <x:v>8.191559</x:v>
      </x:c>
      <x:c r="E121" s="23" t="n">
        <x:f>'Parameters'!$B$2*'Parameters'!$B$3*LN(4*PI()*C121^2)</x:f>
        <x:v>8.378854390645412</x:v>
      </x:c>
      <x:c r="F121" s="23" t="n">
        <x:f>D121+E121</x:f>
        <x:v>16.570413390645413</x:v>
      </x:c>
      <x:c r="G121" s="23" t="n">
        <x:f>AVERAGE($F$145:$F$168)</x:f>
        <x:v>16.996810930241676</x:v>
      </x:c>
      <x:c r="H121" s="24" t="n">
        <x:f>F121-G121</x:f>
        <x:v>-0.4263975395962625</x:v>
      </x:c>
    </x:row>
    <x:row r="122">
      <x:c r="A122" s="2" t="str">
        <x:v>LiDA-1</x:v>
      </x:c>
      <x:c r="B122" s="4" t="str">
        <x:v>LiCl</x:v>
      </x:c>
      <x:c r="C122" s="23" t="n">
        <x:v>1.541261</x:v>
      </x:c>
      <x:c r="D122" s="23" t="n">
        <x:v>8.103167</x:v>
      </x:c>
      <x:c r="E122" s="23" t="n">
        <x:f>'Parameters'!$B$2*'Parameters'!$B$3*LN(4*PI()*C122^2)</x:f>
        <x:v>8.419098495400805</x:v>
      </x:c>
      <x:c r="F122" s="23" t="n">
        <x:f>D122+E122</x:f>
        <x:v>16.522265495400802</x:v>
      </x:c>
      <x:c r="G122" s="23" t="n">
        <x:f>AVERAGE($F$145:$F$168)</x:f>
        <x:v>16.996810930241676</x:v>
      </x:c>
      <x:c r="H122" s="24" t="n">
        <x:f>F122-G122</x:f>
        <x:v>-0.4745454348408735</x:v>
      </x:c>
    </x:row>
    <x:row r="123">
      <x:c r="A123" s="2" t="str">
        <x:v>LiDA-1</x:v>
      </x:c>
      <x:c r="B123" s="4" t="str">
        <x:v>LiCl</x:v>
      </x:c>
      <x:c r="C123" s="23" t="n">
        <x:v>1.553722</x:v>
      </x:c>
      <x:c r="D123" s="23" t="n">
        <x:v>8.027929</x:v>
      </x:c>
      <x:c r="E123" s="23" t="n">
        <x:f>'Parameters'!$B$2*'Parameters'!$B$3*LN(4*PI()*C123^2)</x:f>
        <x:v>8.45902175244021</x:v>
      </x:c>
      <x:c r="F123" s="23" t="n">
        <x:f>D123+E123</x:f>
        <x:v>16.486950752440208</x:v>
      </x:c>
      <x:c r="G123" s="23" t="n">
        <x:f>AVERAGE($F$145:$F$168)</x:f>
        <x:v>16.996810930241676</x:v>
      </x:c>
      <x:c r="H123" s="24" t="n">
        <x:f>F123-G123</x:f>
        <x:v>-0.5098601778014675</x:v>
      </x:c>
    </x:row>
    <x:row r="124">
      <x:c r="A124" s="2" t="str">
        <x:v>LiDA-1</x:v>
      </x:c>
      <x:c r="B124" s="4" t="str">
        <x:v>LiCl</x:v>
      </x:c>
      <x:c r="C124" s="23" t="n">
        <x:v>1.566182</x:v>
      </x:c>
      <x:c r="D124" s="23" t="n">
        <x:v>8.028079</x:v>
      </x:c>
      <x:c r="E124" s="23" t="n">
        <x:f>'Parameters'!$B$2*'Parameters'!$B$3*LN(4*PI()*C124^2)</x:f>
        <x:v>8.498622930948146</x:v>
      </x:c>
      <x:c r="F124" s="23" t="n">
        <x:f>D124+E124</x:f>
        <x:v>16.526701930948146</x:v>
      </x:c>
      <x:c r="G124" s="23" t="n">
        <x:f>AVERAGE($F$145:$F$168)</x:f>
        <x:v>16.996810930241676</x:v>
      </x:c>
      <x:c r="H124" s="24" t="n">
        <x:f>F124-G124</x:f>
        <x:v>-0.47010899929352945</x:v>
      </x:c>
    </x:row>
    <x:row r="125">
      <x:c r="A125" s="2" t="str">
        <x:v>LiDA-1</x:v>
      </x:c>
      <x:c r="B125" s="4" t="str">
        <x:v>LiCl</x:v>
      </x:c>
      <x:c r="C125" s="23" t="n">
        <x:v>1.578643</x:v>
      </x:c>
      <x:c r="D125" s="23" t="n">
        <x:v>7.995923</x:v>
      </x:c>
      <x:c r="E125" s="23" t="n">
        <x:f>'Parameters'!$B$2*'Parameters'!$B$3*LN(4*PI()*C125^2)</x:f>
        <x:v>8.537913441817848</x:v>
      </x:c>
      <x:c r="F125" s="23" t="n">
        <x:f>D125+E125</x:f>
        <x:v>16.533836441817847</x:v>
      </x:c>
      <x:c r="G125" s="23" t="n">
        <x:f>AVERAGE($F$145:$F$168)</x:f>
        <x:v>16.996810930241676</x:v>
      </x:c>
      <x:c r="H125" s="24" t="n">
        <x:f>F125-G125</x:f>
        <x:v>-0.4629744884238285</x:v>
      </x:c>
    </x:row>
    <x:row r="126">
      <x:c r="A126" s="2" t="str">
        <x:v>LiDA-1</x:v>
      </x:c>
      <x:c r="B126" s="4" t="str">
        <x:v>LiCl</x:v>
      </x:c>
      <x:c r="C126" s="23" t="n">
        <x:v>1.591103</x:v>
      </x:c>
      <x:c r="D126" s="23" t="n">
        <x:v>7.930804</x:v>
      </x:c>
      <x:c r="E126" s="23" t="n">
        <x:f>'Parameters'!$B$2*'Parameters'!$B$3*LN(4*PI()*C126^2)</x:f>
        <x:v>8.576891913511172</x:v>
      </x:c>
      <x:c r="F126" s="23" t="n">
        <x:f>D126+E126</x:f>
        <x:v>16.50769591351117</x:v>
      </x:c>
      <x:c r="G126" s="23" t="n">
        <x:f>AVERAGE($F$145:$F$168)</x:f>
        <x:v>16.996810930241676</x:v>
      </x:c>
      <x:c r="H126" s="24" t="n">
        <x:f>F126-G126</x:f>
        <x:v>-0.48911501673050495</x:v>
      </x:c>
    </x:row>
    <x:row r="127">
      <x:c r="A127" s="2" t="str">
        <x:v>LiDA-1</x:v>
      </x:c>
      <x:c r="B127" s="4" t="str">
        <x:v>LiCl</x:v>
      </x:c>
      <x:c r="C127" s="23" t="n">
        <x:v>1.603564</x:v>
      </x:c>
      <x:c r="D127" s="23" t="n">
        <x:v>7.961048</x:v>
      </x:c>
      <x:c r="E127" s="23" t="n">
        <x:f>'Parameters'!$B$2*'Parameters'!$B$3*LN(4*PI()*C127^2)</x:f>
        <x:v>8.615569422254671</x:v>
      </x:c>
      <x:c r="F127" s="23" t="n">
        <x:f>D127+E127</x:f>
        <x:v>16.57661742225467</x:v>
      </x:c>
      <x:c r="G127" s="23" t="n">
        <x:f>AVERAGE($F$145:$F$168)</x:f>
        <x:v>16.996810930241676</x:v>
      </x:c>
      <x:c r="H127" s="24" t="n">
        <x:f>F127-G127</x:f>
        <x:v>-0.4201935079870047</x:v>
      </x:c>
    </x:row>
    <x:row r="128">
      <x:c r="A128" s="2" t="str">
        <x:v>LiDA-1</x:v>
      </x:c>
      <x:c r="B128" s="4" t="str">
        <x:v>LiCl</x:v>
      </x:c>
      <x:c r="C128" s="23" t="n">
        <x:v>1.616024</x:v>
      </x:c>
      <x:c r="D128" s="23" t="n">
        <x:v>7.883885</x:v>
      </x:c>
      <x:c r="E128" s="23" t="n">
        <x:f>'Parameters'!$B$2*'Parameters'!$B$3*LN(4*PI()*C128^2)</x:f>
        <x:v>8.653944467504227</x:v>
      </x:c>
      <x:c r="F128" s="23" t="n">
        <x:f>D128+E128</x:f>
        <x:v>16.537829467504228</x:v>
      </x:c>
      <x:c r="G128" s="23" t="n">
        <x:f>AVERAGE($F$145:$F$168)</x:f>
        <x:v>16.996810930241676</x:v>
      </x:c>
      <x:c r="H128" s="24" t="n">
        <x:f>F128-G128</x:f>
        <x:v>-0.458981462737448</x:v>
      </x:c>
    </x:row>
    <x:row r="129">
      <x:c r="A129" s="2" t="str">
        <x:v>LiDA-1</x:v>
      </x:c>
      <x:c r="B129" s="4" t="str">
        <x:v>LiCl</x:v>
      </x:c>
      <x:c r="C129" s="23" t="n">
        <x:v>1.628485</x:v>
      </x:c>
      <x:c r="D129" s="23" t="n">
        <x:v>7.936281</x:v>
      </x:c>
      <x:c r="E129" s="23" t="n">
        <x:f>'Parameters'!$B$2*'Parameters'!$B$3*LN(4*PI()*C129^2)</x:f>
        <x:v>8.692027808225394</x:v>
      </x:c>
      <x:c r="F129" s="23" t="n">
        <x:f>D129+E129</x:f>
        <x:v>16.628308808225395</x:v>
      </x:c>
      <x:c r="G129" s="23" t="n">
        <x:f>AVERAGE($F$145:$F$168)</x:f>
        <x:v>16.996810930241676</x:v>
      </x:c>
      <x:c r="H129" s="24" t="n">
        <x:f>F129-G129</x:f>
        <x:v>-0.36850212201628096</x:v>
      </x:c>
    </x:row>
    <x:row r="130">
      <x:c r="A130" s="2" t="str">
        <x:v>LiDA-1</x:v>
      </x:c>
      <x:c r="B130" s="4" t="str">
        <x:v>LiCl</x:v>
      </x:c>
      <x:c r="C130" s="23" t="n">
        <x:v>1.640945</x:v>
      </x:c>
      <x:c r="D130" s="23" t="n">
        <x:v>8.031035</x:v>
      </x:c>
      <x:c r="E130" s="23" t="n">
        <x:f>'Parameters'!$B$2*'Parameters'!$B$3*LN(4*PI()*C130^2)</x:f>
        <x:v>8.729817825604925</x:v>
      </x:c>
      <x:c r="F130" s="23" t="n">
        <x:f>D130+E130</x:f>
        <x:v>16.760852825604925</x:v>
      </x:c>
      <x:c r="G130" s="23" t="n">
        <x:f>AVERAGE($F$145:$F$168)</x:f>
        <x:v>16.996810930241676</x:v>
      </x:c>
      <x:c r="H130" s="24" t="n">
        <x:f>F130-G130</x:f>
        <x:v>-0.23595810463675093</x:v>
      </x:c>
    </x:row>
    <x:row r="131">
      <x:c r="A131" s="2" t="str">
        <x:v>LiDA-1</x:v>
      </x:c>
      <x:c r="B131" s="4" t="str">
        <x:v>LiCl</x:v>
      </x:c>
      <x:c r="C131" s="23" t="n">
        <x:v>1.653406</x:v>
      </x:c>
      <x:c r="D131" s="23" t="n">
        <x:v>7.840274</x:v>
      </x:c>
      <x:c r="E131" s="23" t="n">
        <x:f>'Parameters'!$B$2*'Parameters'!$B$3*LN(4*PI()*C131^2)</x:f>
        <x:v>8.767324977537223</x:v>
      </x:c>
      <x:c r="F131" s="23" t="n">
        <x:f>D131+E131</x:f>
        <x:v>16.607598977537222</x:v>
      </x:c>
      <x:c r="G131" s="23" t="n">
        <x:f>AVERAGE($F$145:$F$168)</x:f>
        <x:v>16.996810930241676</x:v>
      </x:c>
      <x:c r="H131" s="24" t="n">
        <x:f>F131-G131</x:f>
        <x:v>-0.3892119527044535</x:v>
      </x:c>
    </x:row>
    <x:row r="132">
      <x:c r="A132" s="2" t="str">
        <x:v>LiDA-1</x:v>
      </x:c>
      <x:c r="B132" s="4" t="str">
        <x:v>LiCl</x:v>
      </x:c>
      <x:c r="C132" s="23" t="n">
        <x:v>1.665866</x:v>
      </x:c>
      <x:c r="D132" s="23" t="n">
        <x:v>7.943015</x:v>
      </x:c>
      <x:c r="E132" s="23" t="n">
        <x:f>'Parameters'!$B$2*'Parameters'!$B$3*LN(4*PI()*C132^2)</x:f>
        <x:v>8.804547536788721</x:v>
      </x:c>
      <x:c r="F132" s="23" t="n">
        <x:f>D132+E132</x:f>
        <x:v>16.74756253678872</x:v>
      </x:c>
      <x:c r="G132" s="23" t="n">
        <x:f>AVERAGE($F$145:$F$168)</x:f>
        <x:v>16.996810930241676</x:v>
      </x:c>
      <x:c r="H132" s="24" t="n">
        <x:f>F132-G132</x:f>
        <x:v>-0.24924839345295524</x:v>
      </x:c>
    </x:row>
    <x:row r="133">
      <x:c r="A133" s="2" t="str">
        <x:v>LiDA-1</x:v>
      </x:c>
      <x:c r="B133" s="4" t="str">
        <x:v>LiCl</x:v>
      </x:c>
      <x:c r="C133" s="23" t="n">
        <x:v>1.678326</x:v>
      </x:c>
      <x:c r="D133" s="23" t="n">
        <x:v>7.874155</x:v>
      </x:c>
      <x:c r="E133" s="23" t="n">
        <x:f>'Parameters'!$B$2*'Parameters'!$B$3*LN(4*PI()*C133^2)</x:f>
        <x:v>8.841492721178543</x:v>
      </x:c>
      <x:c r="F133" s="23" t="n">
        <x:f>D133+E133</x:f>
        <x:v>16.71564772117854</x:v>
      </x:c>
      <x:c r="G133" s="23" t="n">
        <x:f>AVERAGE($F$145:$F$168)</x:f>
        <x:v>16.996810930241676</x:v>
      </x:c>
      <x:c r="H133" s="24" t="n">
        <x:f>F133-G133</x:f>
        <x:v>-0.2811632090631342</x:v>
      </x:c>
    </x:row>
    <x:row r="134">
      <x:c r="A134" s="2" t="str">
        <x:v>LiDA-1</x:v>
      </x:c>
      <x:c r="B134" s="4" t="str">
        <x:v>LiCl</x:v>
      </x:c>
      <x:c r="C134" s="23" t="n">
        <x:v>1.690787</x:v>
      </x:c>
      <x:c r="D134" s="23" t="n">
        <x:v>7.80058</x:v>
      </x:c>
      <x:c r="E134" s="23" t="n">
        <x:f>'Parameters'!$B$2*'Parameters'!$B$3*LN(4*PI()*C134^2)</x:f>
        <x:v>8.878167566341656</x:v>
      </x:c>
      <x:c r="F134" s="23" t="n">
        <x:f>D134+E134</x:f>
        <x:v>16.678747566341656</x:v>
      </x:c>
      <x:c r="G134" s="23" t="n">
        <x:f>AVERAGE($F$145:$F$168)</x:f>
        <x:v>16.996810930241676</x:v>
      </x:c>
      <x:c r="H134" s="24" t="n">
        <x:f>F134-G134</x:f>
        <x:v>-0.3180633639000199</x:v>
      </x:c>
    </x:row>
    <x:row r="135">
      <x:c r="A135" s="2" t="str">
        <x:v>LiDA-1</x:v>
      </x:c>
      <x:c r="B135" s="4" t="str">
        <x:v>LiCl</x:v>
      </x:c>
      <x:c r="C135" s="23" t="n">
        <x:v>1.703247</x:v>
      </x:c>
      <x:c r="D135" s="23" t="n">
        <x:v>7.694283</x:v>
      </x:c>
      <x:c r="E135" s="23" t="n">
        <x:f>'Parameters'!$B$2*'Parameters'!$B$3*LN(4*PI()*C135^2)</x:f>
        <x:v>8.914570199139831</x:v>
      </x:c>
      <x:c r="F135" s="23" t="n">
        <x:f>D135+E135</x:f>
        <x:v>16.60885319913983</x:v>
      </x:c>
      <x:c r="G135" s="23" t="n">
        <x:f>AVERAGE($F$145:$F$168)</x:f>
        <x:v>16.996810930241676</x:v>
      </x:c>
      <x:c r="H135" s="24" t="n">
        <x:f>F135-G135</x:f>
        <x:v>-0.38795773110184584</x:v>
      </x:c>
    </x:row>
    <x:row r="136">
      <x:c r="A136" s="2" t="str">
        <x:v>LiDA-1</x:v>
      </x:c>
      <x:c r="B136" s="4" t="str">
        <x:v>LiCl</x:v>
      </x:c>
      <x:c r="C136" s="23" t="n">
        <x:v>1.715708</x:v>
      </x:c>
      <x:c r="D136" s="23" t="n">
        <x:v>7.743965</x:v>
      </x:c>
      <x:c r="E136" s="23" t="n">
        <x:f>'Parameters'!$B$2*'Parameters'!$B$3*LN(4*PI()*C136^2)</x:f>
        <x:v>8.95071038855565</x:v>
      </x:c>
      <x:c r="F136" s="23" t="n">
        <x:f>D136+E136</x:f>
        <x:v>16.694675388555652</x:v>
      </x:c>
      <x:c r="G136" s="23" t="n">
        <x:f>AVERAGE($F$145:$F$168)</x:f>
        <x:v>16.996810930241676</x:v>
      </x:c>
      <x:c r="H136" s="24" t="n">
        <x:f>F136-G136</x:f>
        <x:v>-0.30213554168602386</x:v>
      </x:c>
    </x:row>
    <x:row r="137">
      <x:c r="A137" s="2" t="str">
        <x:v>LiDA-1</x:v>
      </x:c>
      <x:c r="B137" s="4" t="str">
        <x:v>LiCl</x:v>
      </x:c>
      <x:c r="C137" s="23" t="n">
        <x:v>1.728168</x:v>
      </x:c>
      <x:c r="D137" s="23" t="n">
        <x:v>7.741426</x:v>
      </x:c>
      <x:c r="E137" s="23" t="n">
        <x:f>'Parameters'!$B$2*'Parameters'!$B$3*LN(4*PI()*C137^2)</x:f>
        <x:v>8.986586174285605</x:v>
      </x:c>
      <x:c r="F137" s="23" t="n">
        <x:f>D137+E137</x:f>
        <x:v>16.728012174285606</x:v>
      </x:c>
      <x:c r="G137" s="23" t="n">
        <x:f>AVERAGE($F$145:$F$168)</x:f>
        <x:v>16.996810930241676</x:v>
      </x:c>
      <x:c r="H137" s="24" t="n">
        <x:f>F137-G137</x:f>
        <x:v>-0.2687987559560696</x:v>
      </x:c>
    </x:row>
    <x:row r="138">
      <x:c r="A138" s="2" t="str">
        <x:v>LiDA-1</x:v>
      </x:c>
      <x:c r="B138" s="4" t="str">
        <x:v>LiCl</x:v>
      </x:c>
      <x:c r="C138" s="23" t="n">
        <x:v>1.740629</x:v>
      </x:c>
      <x:c r="D138" s="23" t="n">
        <x:v>7.700138</x:v>
      </x:c>
      <x:c r="E138" s="23" t="n">
        <x:f>'Parameters'!$B$2*'Parameters'!$B$3*LN(4*PI()*C138^2)</x:f>
        <x:v>9.02220707273951</x:v>
      </x:c>
      <x:c r="F138" s="23" t="n">
        <x:f>D138+E138</x:f>
        <x:v>16.72234507273951</x:v>
      </x:c>
      <x:c r="G138" s="23" t="n">
        <x:f>AVERAGE($F$145:$F$168)</x:f>
        <x:v>16.996810930241676</x:v>
      </x:c>
      <x:c r="H138" s="24" t="n">
        <x:f>F138-G138</x:f>
        <x:v>-0.27446585750216457</x:v>
      </x:c>
    </x:row>
    <x:row r="139">
      <x:c r="A139" s="2" t="str">
        <x:v>LiDA-1</x:v>
      </x:c>
      <x:c r="B139" s="4" t="str">
        <x:v>LiCl</x:v>
      </x:c>
      <x:c r="C139" s="23" t="n">
        <x:v>1.753089</x:v>
      </x:c>
      <x:c r="D139" s="23" t="n">
        <x:v>7.681267</x:v>
      </x:c>
      <x:c r="E139" s="23" t="n">
        <x:f>'Parameters'!$B$2*'Parameters'!$B$3*LN(4*PI()*C139^2)</x:f>
        <x:v>9.057571043782485</x:v>
      </x:c>
      <x:c r="F139" s="23" t="n">
        <x:f>D139+E139</x:f>
        <x:v>16.738838043782486</x:v>
      </x:c>
      <x:c r="G139" s="23" t="n">
        <x:f>AVERAGE($F$145:$F$168)</x:f>
        <x:v>16.996810930241676</x:v>
      </x:c>
      <x:c r="H139" s="24" t="n">
        <x:f>F139-G139</x:f>
        <x:v>-0.25797288645918925</x:v>
      </x:c>
    </x:row>
    <x:row r="140">
      <x:c r="A140" s="2" t="str">
        <x:v>LiDA-1</x:v>
      </x:c>
      <x:c r="B140" s="4" t="str">
        <x:v>LiCl</x:v>
      </x:c>
      <x:c r="C140" s="23" t="n">
        <x:v>1.76555</x:v>
      </x:c>
      <x:c r="D140" s="23" t="n">
        <x:v>7.811055</x:v>
      </x:c>
      <x:c r="E140" s="23" t="n">
        <x:f>'Parameters'!$B$2*'Parameters'!$B$3*LN(4*PI()*C140^2)</x:f>
        <x:v>9.092687363115868</x:v>
      </x:c>
      <x:c r="F140" s="23" t="n">
        <x:f>D140+E140</x:f>
        <x:v>16.903742363115867</x:v>
      </x:c>
      <x:c r="G140" s="23" t="n">
        <x:f>AVERAGE($F$145:$F$168)</x:f>
        <x:v>16.996810930241676</x:v>
      </x:c>
      <x:c r="H140" s="24" t="n">
        <x:f>F140-G140</x:f>
        <x:v>-0.09306856712580824</x:v>
      </x:c>
    </x:row>
    <x:row r="141">
      <x:c r="A141" s="2" t="str">
        <x:v>LiDA-1</x:v>
      </x:c>
      <x:c r="B141" s="4" t="str">
        <x:v>LiCl</x:v>
      </x:c>
      <x:c r="C141" s="23" t="n">
        <x:v>1.77801</x:v>
      </x:c>
      <x:c r="D141" s="23" t="n">
        <x:v>7.625296</x:v>
      </x:c>
      <x:c r="E141" s="23" t="n">
        <x:f>'Parameters'!$B$2*'Parameters'!$B$3*LN(4*PI()*C141^2)</x:f>
        <x:v>9.127553917527814</x:v>
      </x:c>
      <x:c r="F141" s="23" t="n">
        <x:f>D141+E141</x:f>
        <x:v>16.752849917527815</x:v>
      </x:c>
      <x:c r="G141" s="23" t="n">
        <x:f>AVERAGE($F$145:$F$168)</x:f>
        <x:v>16.996810930241676</x:v>
      </x:c>
      <x:c r="H141" s="24" t="n">
        <x:f>F141-G141</x:f>
        <x:v>-0.24396101271386073</x:v>
      </x:c>
    </x:row>
    <x:row r="142">
      <x:c r="A142" s="2" t="str">
        <x:v>LiDA-1</x:v>
      </x:c>
      <x:c r="B142" s="4" t="str">
        <x:v>LiCl</x:v>
      </x:c>
      <x:c r="C142" s="23" t="n">
        <x:v>1.790471</x:v>
      </x:c>
      <x:c r="D142" s="23" t="n">
        <x:v>7.526535</x:v>
      </x:c>
      <x:c r="E142" s="23" t="n">
        <x:f>'Parameters'!$B$2*'Parameters'!$B$3*LN(4*PI()*C142^2)</x:f>
        <x:v>9.162179753118279</x:v>
      </x:c>
      <x:c r="F142" s="23" t="n">
        <x:f>D142+E142</x:f>
        <x:v>16.68871475311828</x:v>
      </x:c>
      <x:c r="G142" s="23" t="n">
        <x:f>AVERAGE($F$145:$F$168)</x:f>
        <x:v>16.996810930241676</x:v>
      </x:c>
      <x:c r="H142" s="24" t="n">
        <x:f>F142-G142</x:f>
        <x:v>-0.3080961771233959</x:v>
      </x:c>
    </x:row>
    <x:row r="143">
      <x:c r="A143" s="2" t="str">
        <x:v>LiDA-1</x:v>
      </x:c>
      <x:c r="B143" s="4" t="str">
        <x:v>LiCl</x:v>
      </x:c>
      <x:c r="C143" s="23" t="n">
        <x:v>1.802931</x:v>
      </x:c>
      <x:c r="D143" s="23" t="n">
        <x:v>7.562079</x:v>
      </x:c>
      <x:c r="E143" s="23" t="n">
        <x:f>'Parameters'!$B$2*'Parameters'!$B$3*LN(4*PI()*C143^2)</x:f>
        <x:v>9.196562689824027</x:v>
      </x:c>
      <x:c r="F143" s="23" t="n">
        <x:f>D143+E143</x:f>
        <x:v>16.758641689824028</x:v>
      </x:c>
      <x:c r="G143" s="23" t="n">
        <x:f>AVERAGE($F$145:$F$168)</x:f>
        <x:v>16.996810930241676</x:v>
      </x:c>
      <x:c r="H143" s="24" t="n">
        <x:f>F143-G143</x:f>
        <x:v>-0.23816924041764764</x:v>
      </x:c>
    </x:row>
    <x:row r="144">
      <x:c r="A144" s="2" t="str">
        <x:v>LiDA-1</x:v>
      </x:c>
      <x:c r="B144" s="4" t="str">
        <x:v>LiCl</x:v>
      </x:c>
      <x:c r="C144" s="23" t="n">
        <x:v>1.815391</x:v>
      </x:c>
      <x:c r="D144" s="23" t="n">
        <x:v>7.560202</x:v>
      </x:c>
      <x:c r="E144" s="23" t="n">
        <x:f>'Parameters'!$B$2*'Parameters'!$B$3*LN(4*PI()*C144^2)</x:f>
        <x:v>9.230708823508959</x:v>
      </x:c>
      <x:c r="F144" s="23" t="n">
        <x:f>D144+E144</x:f>
        <x:v>16.79091082350896</x:v>
      </x:c>
      <x:c r="G144" s="23" t="n">
        <x:f>AVERAGE($F$145:$F$168)</x:f>
        <x:v>16.996810930241676</x:v>
      </x:c>
      <x:c r="H144" s="24" t="n">
        <x:f>F144-G144</x:f>
        <x:v>-0.20590010673271664</x:v>
      </x:c>
    </x:row>
    <x:row r="145">
      <x:c r="A145" s="2" t="str">
        <x:v>LiDA-1</x:v>
      </x:c>
      <x:c r="B145" s="4" t="str">
        <x:v>LiCl</x:v>
      </x:c>
      <x:c r="C145" s="23" t="n">
        <x:v>1.827852</x:v>
      </x:c>
      <x:c r="D145" s="23" t="n">
        <x:v>7.592952</x:v>
      </x:c>
      <x:c r="E145" s="23" t="n">
        <x:f>'Parameters'!$B$2*'Parameters'!$B$3*LN(4*PI()*C145^2)</x:f>
        <x:v>9.264624106132924</x:v>
      </x:c>
      <x:c r="F145" s="23" t="n">
        <x:f>D145+E145</x:f>
        <x:v>16.857576106132925</x:v>
      </x:c>
      <x:c r="G145" s="23" t="n">
        <x:f>AVERAGE($F$145:$F$168)</x:f>
        <x:v>16.996810930241676</x:v>
      </x:c>
      <x:c r="H145" s="24" t="n">
        <x:f>F145-G145</x:f>
        <x:v>-0.1392348241087511</x:v>
      </x:c>
    </x:row>
    <x:row r="146">
      <x:c r="A146" s="2" t="str">
        <x:v>LiDA-1</x:v>
      </x:c>
      <x:c r="B146" s="4" t="str">
        <x:v>LiCl</x:v>
      </x:c>
      <x:c r="C146" s="23" t="n">
        <x:v>1.840312</x:v>
      </x:c>
      <x:c r="D146" s="23" t="n">
        <x:v>7.617365</x:v>
      </x:c>
      <x:c r="E146" s="23" t="n">
        <x:f>'Parameters'!$B$2*'Parameters'!$B$3*LN(4*PI()*C146^2)</x:f>
        <x:v>9.298306267984325</x:v>
      </x:c>
      <x:c r="F146" s="23" t="n">
        <x:f>D146+E146</x:f>
        <x:v>16.915671267984326</x:v>
      </x:c>
      <x:c r="G146" s="23" t="n">
        <x:f>AVERAGE($F$145:$F$168)</x:f>
        <x:v>16.996810930241676</x:v>
      </x:c>
      <x:c r="H146" s="24" t="n">
        <x:f>F146-G146</x:f>
        <x:v>-0.0811396622573497</x:v>
      </x:c>
    </x:row>
    <x:row r="147">
      <x:c r="A147" s="2" t="str">
        <x:v>LiDA-1</x:v>
      </x:c>
      <x:c r="B147" s="4" t="str">
        <x:v>LiCl</x:v>
      </x:c>
      <x:c r="C147" s="23" t="n">
        <x:v>1.852773</x:v>
      </x:c>
      <x:c r="D147" s="23" t="n">
        <x:v>7.697054</x:v>
      </x:c>
      <x:c r="E147" s="23" t="n">
        <x:f>'Parameters'!$B$2*'Parameters'!$B$3*LN(4*PI()*C147^2)</x:f>
        <x:v>9.331763825309675</x:v>
      </x:c>
      <x:c r="F147" s="23" t="n">
        <x:f>D147+E147</x:f>
        <x:v>17.028817825309673</x:v>
      </x:c>
      <x:c r="G147" s="23" t="n">
        <x:f>AVERAGE($F$145:$F$168)</x:f>
        <x:v>16.996810930241676</x:v>
      </x:c>
      <x:c r="H147" s="24" t="n">
        <x:f>F147-G147</x:f>
        <x:v>0.032006895067997476</x:v>
      </x:c>
    </x:row>
    <x:row r="148">
      <x:c r="A148" s="2" t="str">
        <x:v>LiDA-1</x:v>
      </x:c>
      <x:c r="B148" s="4" t="str">
        <x:v>LiCl</x:v>
      </x:c>
      <x:c r="C148" s="23" t="n">
        <x:v>1.865233</x:v>
      </x:c>
      <x:c r="D148" s="23" t="n">
        <x:v>7.555911</x:v>
      </x:c>
      <x:c r="E148" s="23" t="n">
        <x:f>'Parameters'!$B$2*'Parameters'!$B$3*LN(4*PI()*C148^2)</x:f>
        <x:v>9.364994455085528</x:v>
      </x:c>
      <x:c r="F148" s="23" t="n">
        <x:f>D148+E148</x:f>
        <x:v>16.920905455085528</x:v>
      </x:c>
      <x:c r="G148" s="23" t="n">
        <x:f>AVERAGE($F$145:$F$168)</x:f>
        <x:v>16.996810930241676</x:v>
      </x:c>
      <x:c r="H148" s="24" t="n">
        <x:f>F148-G148</x:f>
        <x:v>-0.07590547515614787</x:v>
      </x:c>
    </x:row>
    <x:row r="149">
      <x:c r="A149" s="2" t="str">
        <x:v>LiDA-1</x:v>
      </x:c>
      <x:c r="B149" s="4" t="str">
        <x:v>LiCl</x:v>
      </x:c>
      <x:c r="C149" s="23" t="n">
        <x:v>1.877694</x:v>
      </x:c>
      <x:c r="D149" s="23" t="n">
        <x:v>7.584647</x:v>
      </x:c>
      <x:c r="E149" s="23" t="n">
        <x:f>'Parameters'!$B$2*'Parameters'!$B$3*LN(4*PI()*C149^2)</x:f>
        <x:v>9.398006477678972</x:v>
      </x:c>
      <x:c r="F149" s="23" t="n">
        <x:f>D149+E149</x:f>
        <x:v>16.982653477678973</x:v>
      </x:c>
      <x:c r="G149" s="23" t="n">
        <x:f>AVERAGE($F$145:$F$168)</x:f>
        <x:v>16.996810930241676</x:v>
      </x:c>
      <x:c r="H149" s="24" t="n">
        <x:f>F149-G149</x:f>
        <x:v>-0.014157452562702844</x:v>
      </x:c>
    </x:row>
    <x:row r="150">
      <x:c r="A150" s="2" t="str">
        <x:v>LiDA-1</x:v>
      </x:c>
      <x:c r="B150" s="4" t="str">
        <x:v>LiCl</x:v>
      </x:c>
      <x:c r="C150" s="23" t="n">
        <x:v>1.890154</x:v>
      </x:c>
      <x:c r="D150" s="23" t="n">
        <x:v>7.412699</x:v>
      </x:c>
      <x:c r="E150" s="23" t="n">
        <x:f>'Parameters'!$B$2*'Parameters'!$B$3*LN(4*PI()*C150^2)</x:f>
        <x:v>9.43079752146158</x:v>
      </x:c>
      <x:c r="F150" s="23" t="n">
        <x:f>D150+E150</x:f>
        <x:v>16.84349652146158</x:v>
      </x:c>
      <x:c r="G150" s="23" t="n">
        <x:f>AVERAGE($F$145:$F$168)</x:f>
        <x:v>16.996810930241676</x:v>
      </x:c>
      <x:c r="H150" s="24" t="n">
        <x:f>F150-G150</x:f>
        <x:v>-0.15331440878009417</x:v>
      </x:c>
    </x:row>
    <x:row r="151">
      <x:c r="A151" s="2" t="str">
        <x:v>LiDA-1</x:v>
      </x:c>
      <x:c r="B151" s="4" t="str">
        <x:v>LiCl</x:v>
      </x:c>
      <x:c r="C151" s="23" t="n">
        <x:v>1.902615</x:v>
      </x:c>
      <x:c r="D151" s="23" t="n">
        <x:v>7.55193</x:v>
      </x:c>
      <x:c r="E151" s="23" t="n">
        <x:f>'Parameters'!$B$2*'Parameters'!$B$3*LN(4*PI()*C151^2)</x:f>
        <x:v>9.46337571928227</x:v>
      </x:c>
      <x:c r="F151" s="23" t="n">
        <x:f>D151+E151</x:f>
        <x:v>17.01530571928227</x:v>
      </x:c>
      <x:c r="G151" s="23" t="n">
        <x:f>AVERAGE($F$145:$F$168)</x:f>
        <x:v>16.996810930241676</x:v>
      </x:c>
      <x:c r="H151" s="24" t="n">
        <x:f>F151-G151</x:f>
        <x:v>0.018494789040595094</x:v>
      </x:c>
    </x:row>
    <x:row r="152">
      <x:c r="A152" s="2" t="str">
        <x:v>LiDA-1</x:v>
      </x:c>
      <x:c r="B152" s="4" t="str">
        <x:v>LiCl</x:v>
      </x:c>
      <x:c r="C152" s="23" t="n">
        <x:v>1.915075</x:v>
      </x:c>
      <x:c r="D152" s="23" t="n">
        <x:v>7.483416</x:v>
      </x:c>
      <x:c r="E152" s="23" t="n">
        <x:f>'Parameters'!$B$2*'Parameters'!$B$3*LN(4*PI()*C152^2)</x:f>
        <x:v>9.49573865525953</x:v>
      </x:c>
      <x:c r="F152" s="23" t="n">
        <x:f>D152+E152</x:f>
        <x:v>16.979154655259528</x:v>
      </x:c>
      <x:c r="G152" s="23" t="n">
        <x:f>AVERAGE($F$145:$F$168)</x:f>
        <x:v>16.996810930241676</x:v>
      </x:c>
      <x:c r="H152" s="24" t="n">
        <x:f>F152-G152</x:f>
        <x:v>-0.017656274982147835</x:v>
      </x:c>
    </x:row>
    <x:row r="153">
      <x:c r="A153" s="2" t="str">
        <x:v>LiDA-1</x:v>
      </x:c>
      <x:c r="B153" s="4" t="str">
        <x:v>LiCl</x:v>
      </x:c>
      <x:c r="C153" s="23" t="n">
        <x:v>1.927536</x:v>
      </x:c>
      <x:c r="D153" s="23" t="n">
        <x:v>7.461357</x:v>
      </x:c>
      <x:c r="E153" s="23" t="n">
        <x:f>'Parameters'!$B$2*'Parameters'!$B$3*LN(4*PI()*C153^2)</x:f>
        <x:v>9.5278942825951</x:v>
      </x:c>
      <x:c r="F153" s="23" t="n">
        <x:f>D153+E153</x:f>
        <x:v>16.9892512825951</x:v>
      </x:c>
      <x:c r="G153" s="23" t="n">
        <x:f>AVERAGE($F$145:$F$168)</x:f>
        <x:v>16.996810930241676</x:v>
      </x:c>
      <x:c r="H153" s="24" t="n">
        <x:f>F153-G153</x:f>
        <x:v>-0.007559647646576906</x:v>
      </x:c>
    </x:row>
    <x:row r="154">
      <x:c r="A154" s="2" t="str">
        <x:v>LiDA-1</x:v>
      </x:c>
      <x:c r="B154" s="4" t="str">
        <x:v>LiCl</x:v>
      </x:c>
      <x:c r="C154" s="23" t="n">
        <x:v>1.939996</x:v>
      </x:c>
      <x:c r="D154" s="23" t="n">
        <x:v>7.453373</x:v>
      </x:c>
      <x:c r="E154" s="23" t="n">
        <x:f>'Parameters'!$B$2*'Parameters'!$B$3*LN(4*PI()*C154^2)</x:f>
        <x:v>9.559840145180495</x:v>
      </x:c>
      <x:c r="F154" s="23" t="n">
        <x:f>D154+E154</x:f>
        <x:v>17.013213145180494</x:v>
      </x:c>
      <x:c r="G154" s="23" t="n">
        <x:f>AVERAGE($F$145:$F$168)</x:f>
        <x:v>16.996810930241676</x:v>
      </x:c>
      <x:c r="H154" s="24" t="n">
        <x:f>F154-G154</x:f>
        <x:v>0.016402214938818105</x:v>
      </x:c>
    </x:row>
    <x:row r="155">
      <x:c r="A155" s="2" t="str">
        <x:v>LiDA-1</x:v>
      </x:c>
      <x:c r="B155" s="4" t="str">
        <x:v>LiCl</x:v>
      </x:c>
      <x:c r="C155" s="23" t="n">
        <x:v>1.952457</x:v>
      </x:c>
      <x:c r="D155" s="23" t="n">
        <x:v>7.576993</x:v>
      </x:c>
      <x:c r="E155" s="23" t="n">
        <x:f>'Parameters'!$B$2*'Parameters'!$B$3*LN(4*PI()*C155^2)</x:f>
        <x:v>9.591584023986556</x:v>
      </x:c>
      <x:c r="F155" s="23" t="n">
        <x:f>D155+E155</x:f>
        <x:v>17.168577023986558</x:v>
      </x:c>
      <x:c r="G155" s="23" t="n">
        <x:f>AVERAGE($F$145:$F$168)</x:f>
        <x:v>16.996810930241676</x:v>
      </x:c>
      <x:c r="H155" s="24" t="n">
        <x:f>F155-G155</x:f>
        <x:v>0.17176609374488194</x:v>
      </x:c>
    </x:row>
    <x:row r="156">
      <x:c r="A156" s="2" t="str">
        <x:v>LiDA-1</x:v>
      </x:c>
      <x:c r="B156" s="4" t="str">
        <x:v>LiCl</x:v>
      </x:c>
      <x:c r="C156" s="23" t="n">
        <x:v>1.964917</x:v>
      </x:c>
      <x:c r="D156" s="23" t="n">
        <x:v>7.396367</x:v>
      </x:c>
      <x:c r="E156" s="23" t="n">
        <x:f>'Parameters'!$B$2*'Parameters'!$B$3*LN(4*PI()*C156^2)</x:f>
        <x:v>9.623123426404682</x:v>
      </x:c>
      <x:c r="F156" s="23" t="n">
        <x:f>D156+E156</x:f>
        <x:v>17.01949042640468</x:v>
      </x:c>
      <x:c r="G156" s="23" t="n">
        <x:f>AVERAGE($F$145:$F$168)</x:f>
        <x:v>16.996810930241676</x:v>
      </x:c>
      <x:c r="H156" s="24" t="n">
        <x:f>F156-G156</x:f>
        <x:v>0.02267949616300413</x:v>
      </x:c>
    </x:row>
    <x:row r="157">
      <x:c r="A157" s="2" t="str">
        <x:v>LiDA-1</x:v>
      </x:c>
      <x:c r="B157" s="4" t="str">
        <x:v>LiCl</x:v>
      </x:c>
      <x:c r="C157" s="23" t="n">
        <x:v>1.977377</x:v>
      </x:c>
      <x:c r="D157" s="23" t="n">
        <x:v>7.382723</x:v>
      </x:c>
      <x:c r="E157" s="23" t="n">
        <x:f>'Parameters'!$B$2*'Parameters'!$B$3*LN(4*PI()*C157^2)</x:f>
        <x:v>9.654463460850977</x:v>
      </x:c>
      <x:c r="F157" s="23" t="n">
        <x:f>D157+E157</x:f>
        <x:v>17.037186460850975</x:v>
      </x:c>
      <x:c r="G157" s="23" t="n">
        <x:f>AVERAGE($F$145:$F$168)</x:f>
        <x:v>16.996810930241676</x:v>
      </x:c>
      <x:c r="H157" s="24" t="n">
        <x:f>F157-G157</x:f>
        <x:v>0.04037553060929966</x:v>
      </x:c>
    </x:row>
    <x:row r="158">
      <x:c r="A158" s="2" t="str">
        <x:v>LiDA-1</x:v>
      </x:c>
      <x:c r="B158" s="4" t="str">
        <x:v>LiCl</x:v>
      </x:c>
      <x:c r="C158" s="23" t="n">
        <x:v>1.989838</x:v>
      </x:c>
      <x:c r="D158" s="23" t="n">
        <x:v>7.483587</x:v>
      </x:c>
      <x:c r="E158" s="23" t="n">
        <x:f>'Parameters'!$B$2*'Parameters'!$B$3*LN(4*PI()*C158^2)</x:f>
        <x:v>9.6856091236222</x:v>
      </x:c>
      <x:c r="F158" s="23" t="n">
        <x:f>D158+E158</x:f>
        <x:v>17.1691961236222</x:v>
      </x:c>
      <x:c r="G158" s="23" t="n">
        <x:f>AVERAGE($F$145:$F$168)</x:f>
        <x:v>16.996810930241676</x:v>
      </x:c>
      <x:c r="H158" s="24" t="n">
        <x:f>F158-G158</x:f>
        <x:v>0.17238519338052427</x:v>
      </x:c>
    </x:row>
    <x:row r="159">
      <x:c r="A159" s="2" t="str">
        <x:v>LiDA-1</x:v>
      </x:c>
      <x:c r="B159" s="4" t="str">
        <x:v>LiCl</x:v>
      </x:c>
      <x:c r="C159" s="23" t="n">
        <x:v>2.002298</x:v>
      </x:c>
      <x:c r="D159" s="23" t="n">
        <x:v>7.470174</x:v>
      </x:c>
      <x:c r="E159" s="23" t="n">
        <x:f>'Parameters'!$B$2*'Parameters'!$B$3*LN(4*PI()*C159^2)</x:f>
        <x:v>9.716557873752144</x:v>
      </x:c>
      <x:c r="F159" s="23" t="n">
        <x:f>D159+E159</x:f>
        <x:v>17.186731873752144</x:v>
      </x:c>
      <x:c r="G159" s="23" t="n">
        <x:f>AVERAGE($F$145:$F$168)</x:f>
        <x:v>16.996810930241676</x:v>
      </x:c>
      <x:c r="H159" s="24" t="n">
        <x:f>F159-G159</x:f>
        <x:v>0.18992094351046873</x:v>
      </x:c>
    </x:row>
    <x:row r="160">
      <x:c r="A160" s="2" t="str">
        <x:v>LiDA-1</x:v>
      </x:c>
      <x:c r="B160" s="4" t="str">
        <x:v>LiCl</x:v>
      </x:c>
      <x:c r="C160" s="23" t="n">
        <x:v>2.014759</x:v>
      </x:c>
      <x:c r="D160" s="23" t="n">
        <x:v>7.246481</x:v>
      </x:c>
      <x:c r="E160" s="23" t="n">
        <x:f>'Parameters'!$B$2*'Parameters'!$B$3*LN(4*PI()*C160^2)</x:f>
        <x:v>9.747317091385812</x:v>
      </x:c>
      <x:c r="F160" s="23" t="n">
        <x:f>D160+E160</x:f>
        <x:v>16.993798091385813</x:v>
      </x:c>
      <x:c r="G160" s="23" t="n">
        <x:f>AVERAGE($F$145:$F$168)</x:f>
        <x:v>16.996810930241676</x:v>
      </x:c>
      <x:c r="H160" s="24" t="n">
        <x:f>F160-G160</x:f>
        <x:v>-0.0030128388558630093</x:v>
      </x:c>
    </x:row>
    <x:row r="161">
      <x:c r="A161" s="2" t="str">
        <x:v>LiDA-1</x:v>
      </x:c>
      <x:c r="B161" s="4" t="str">
        <x:v>LiCl</x:v>
      </x:c>
      <x:c r="C161" s="23" t="n">
        <x:v>2.027219</x:v>
      </x:c>
      <x:c r="D161" s="23" t="n">
        <x:v>7.215819</x:v>
      </x:c>
      <x:c r="E161" s="23" t="n">
        <x:f>'Parameters'!$B$2*'Parameters'!$B$3*LN(4*PI()*C161^2)</x:f>
        <x:v>9.777884207217562</x:v>
      </x:c>
      <x:c r="F161" s="23" t="n">
        <x:f>D161+E161</x:f>
        <x:v>16.993703207217564</x:v>
      </x:c>
      <x:c r="G161" s="23" t="n">
        <x:f>AVERAGE($F$145:$F$168)</x:f>
        <x:v>16.996810930241676</x:v>
      </x:c>
      <x:c r="H161" s="24" t="n">
        <x:f>F161-G161</x:f>
        <x:v>-0.003107723024111664</x:v>
      </x:c>
    </x:row>
    <x:row r="162">
      <x:c r="A162" s="2" t="str">
        <x:v>LiDA-1</x:v>
      </x:c>
      <x:c r="B162" s="4" t="str">
        <x:v>LiCl</x:v>
      </x:c>
      <x:c r="C162" s="23" t="n">
        <x:v>2.03968</x:v>
      </x:c>
      <x:c r="D162" s="23" t="n">
        <x:v>7.192347</x:v>
      </x:c>
      <x:c r="E162" s="23" t="n">
        <x:f>'Parameters'!$B$2*'Parameters'!$B$3*LN(4*PI()*C162^2)</x:f>
        <x:v>9.808266451983155</x:v>
      </x:c>
      <x:c r="F162" s="23" t="n">
        <x:f>D162+E162</x:f>
        <x:v>17.000613451983156</x:v>
      </x:c>
      <x:c r="G162" s="23" t="n">
        <x:f>AVERAGE($F$145:$F$168)</x:f>
        <x:v>16.996810930241676</x:v>
      </x:c>
      <x:c r="H162" s="24" t="n">
        <x:f>F162-G162</x:f>
        <x:v>0.0038025217414805468</x:v>
      </x:c>
    </x:row>
    <x:row r="163">
      <x:c r="A163" s="2" t="str">
        <x:v>LiDA-1</x:v>
      </x:c>
      <x:c r="B163" s="4" t="str">
        <x:v>LiCl</x:v>
      </x:c>
      <x:c r="C163" s="23" t="n">
        <x:v>2.05214</x:v>
      </x:c>
      <x:c r="D163" s="23" t="n">
        <x:v>7.135472</x:v>
      </x:c>
      <x:c r="E163" s="23" t="n">
        <x:f>'Parameters'!$B$2*'Parameters'!$B$3*LN(4*PI()*C163^2)</x:f>
        <x:v>9.838461230893074</x:v>
      </x:c>
      <x:c r="F163" s="23" t="n">
        <x:f>D163+E163</x:f>
        <x:v>16.973933230893074</x:v>
      </x:c>
      <x:c r="G163" s="23" t="n">
        <x:f>AVERAGE($F$145:$F$168)</x:f>
        <x:v>16.996810930241676</x:v>
      </x:c>
      <x:c r="H163" s="24" t="n">
        <x:f>F163-G163</x:f>
        <x:v>-0.02287769934860151</x:v>
      </x:c>
    </x:row>
    <x:row r="164">
      <x:c r="A164" s="2" t="str">
        <x:v>LiDA-1</x:v>
      </x:c>
      <x:c r="B164" s="4" t="str">
        <x:v>LiCl</x:v>
      </x:c>
      <x:c r="C164" s="23" t="n">
        <x:v>2.064601</x:v>
      </x:c>
      <x:c r="D164" s="23" t="n">
        <x:v>7.289973</x:v>
      </x:c>
      <x:c r="E164" s="23" t="n">
        <x:f>'Parameters'!$B$2*'Parameters'!$B$3*LN(4*PI()*C164^2)</x:f>
        <x:v>9.868475631009233</x:v>
      </x:c>
      <x:c r="F164" s="23" t="n">
        <x:f>D164+E164</x:f>
        <x:v>17.158448631009232</x:v>
      </x:c>
      <x:c r="G164" s="23" t="n">
        <x:f>AVERAGE($F$145:$F$168)</x:f>
        <x:v>16.996810930241676</x:v>
      </x:c>
      <x:c r="H164" s="24" t="n">
        <x:f>F164-G164</x:f>
        <x:v>0.16163770076755668</x:v>
      </x:c>
    </x:row>
    <x:row r="165">
      <x:c r="A165" s="2" t="str">
        <x:v>LiDA-1</x:v>
      </x:c>
      <x:c r="B165" s="4" t="str">
        <x:v>LiCl</x:v>
      </x:c>
      <x:c r="C165" s="23" t="n">
        <x:v>2.077061</x:v>
      </x:c>
      <x:c r="D165" s="23" t="n">
        <x:v>7.057616</x:v>
      </x:c>
      <x:c r="E165" s="23" t="n">
        <x:f>'Parameters'!$B$2*'Parameters'!$B$3*LN(4*PI()*C165^2)</x:f>
        <x:v>9.89830703470732</x:v>
      </x:c>
      <x:c r="F165" s="23" t="n">
        <x:f>D165+E165</x:f>
        <x:v>16.95592303470732</x:v>
      </x:c>
      <x:c r="G165" s="23" t="n">
        <x:f>AVERAGE($F$145:$F$168)</x:f>
        <x:v>16.996810930241676</x:v>
      </x:c>
      <x:c r="H165" s="24" t="n">
        <x:f>F165-G165</x:f>
        <x:v>-0.0408878955343539</x:v>
      </x:c>
    </x:row>
    <x:row r="166">
      <x:c r="A166" s="2" t="str">
        <x:v>LiDA-1</x:v>
      </x:c>
      <x:c r="B166" s="4" t="str">
        <x:v>LiCl</x:v>
      </x:c>
      <x:c r="C166" s="23" t="n">
        <x:v>2.089522</x:v>
      </x:c>
      <x:c r="D166" s="23" t="n">
        <x:v>6.897354</x:v>
      </x:c>
      <x:c r="E166" s="23" t="n">
        <x:f>'Parameters'!$B$2*'Parameters'!$B$3*LN(4*PI()*C166^2)</x:f>
        <x:v>9.927962390804684</x:v>
      </x:c>
      <x:c r="F166" s="23" t="n">
        <x:f>D166+E166</x:f>
        <x:v>16.825316390804684</x:v>
      </x:c>
      <x:c r="G166" s="23" t="n">
        <x:f>AVERAGE($F$145:$F$168)</x:f>
        <x:v>16.996810930241676</x:v>
      </x:c>
      <x:c r="H166" s="24" t="n">
        <x:f>F166-G166</x:f>
        <x:v>-0.171494539436992</x:v>
      </x:c>
    </x:row>
    <x:row r="167">
      <x:c r="A167" s="2" t="str">
        <x:v>LiDA-1</x:v>
      </x:c>
      <x:c r="B167" s="4" t="str">
        <x:v>LiCl</x:v>
      </x:c>
      <x:c r="C167" s="23" t="n">
        <x:v>2.101982</x:v>
      </x:c>
      <x:c r="D167" s="23" t="n">
        <x:v>7.046528</x:v>
      </x:c>
      <x:c r="E167" s="23" t="n">
        <x:f>'Parameters'!$B$2*'Parameters'!$B$3*LN(4*PI()*C167^2)</x:f>
        <x:v>9.957439061300729</x:v>
      </x:c>
      <x:c r="F167" s="23" t="n">
        <x:f>D167+E167</x:f>
        <x:v>17.003967061300727</x:v>
      </x:c>
      <x:c r="G167" s="23" t="n">
        <x:f>AVERAGE($F$145:$F$168)</x:f>
        <x:v>16.996810930241676</x:v>
      </x:c>
      <x:c r="H167" s="24" t="n">
        <x:f>F167-G167</x:f>
        <x:v>0.0071561310590517735</x:v>
      </x:c>
    </x:row>
    <x:row r="168">
      <x:c r="A168" s="2" t="str">
        <x:v>LiDA-1</x:v>
      </x:c>
      <x:c r="B168" s="4" t="str">
        <x:v>LiCl</x:v>
      </x:c>
      <x:c r="C168" s="23" t="n">
        <x:v>2.114443</x:v>
      </x:c>
      <x:c r="D168" s="23" t="n">
        <x:v>6.903788</x:v>
      </x:c>
      <x:c r="E168" s="23" t="n">
        <x:f>'Parameters'!$B$2*'Parameters'!$B$3*LN(4*PI()*C168^2)</x:f>
        <x:v>9.986743861911727</x:v>
      </x:c>
      <x:c r="F168" s="23" t="n">
        <x:f>D168+E168</x:f>
        <x:v>16.890531861911725</x:v>
      </x:c>
      <x:c r="G168" s="23" t="n">
        <x:f>AVERAGE($F$145:$F$168)</x:f>
        <x:v>16.996810930241676</x:v>
      </x:c>
      <x:c r="H168" s="24" t="n">
        <x:f>F168-G168</x:f>
        <x:v>-0.10627906832995038</x:v>
      </x:c>
    </x:row>
    <x:row r="169">
      <x:c r="A169" s="2" t="str">
        <x:v>LiDA-1</x:v>
      </x:c>
      <x:c r="B169" s="4" t="str">
        <x:v>LiCl</x:v>
      </x:c>
      <x:c r="C169" s="23" t="n">
        <x:v>2.126903</x:v>
      </x:c>
      <x:c r="D169" s="23" t="n">
        <x:v>6.858973</x:v>
      </x:c>
      <x:c r="E169" s="23" t="n">
        <x:f>'Parameters'!$B$2*'Parameters'!$B$3*LN(4*PI()*C169^2)</x:f>
        <x:v>10.0158741365433</x:v>
      </x:c>
      <x:c r="F169" s="23" t="n">
        <x:f>D169+E169</x:f>
        <x:v>16.8748471365433</x:v>
      </x:c>
      <x:c r="G169" s="23" t="n">
        <x:f>AVERAGE($F$145:$F$168)</x:f>
        <x:v>16.996810930241676</x:v>
      </x:c>
      <x:c r="H169" s="24" t="n">
        <x:f>F169-G169</x:f>
        <x:v>-0.12196379369837729</x:v>
      </x:c>
    </x:row>
    <x:row r="170">
      <x:c r="A170" s="2" t="str">
        <x:v>LiDA-1</x:v>
      </x:c>
      <x:c r="B170" s="4" t="str">
        <x:v>LiCl</x:v>
      </x:c>
      <x:c r="C170" s="23" t="n">
        <x:v>2.139363</x:v>
      </x:c>
      <x:c r="D170" s="23" t="n">
        <x:v>6.842672</x:v>
      </x:c>
      <x:c r="E170" s="23" t="n">
        <x:f>'Parameters'!$B$2*'Parameters'!$B$3*LN(4*PI()*C170^2)</x:f>
        <x:v>10.044834255215545</x:v>
      </x:c>
      <x:c r="F170" s="23" t="n">
        <x:f>D170+E170</x:f>
        <x:v>16.887506255215545</x:v>
      </x:c>
      <x:c r="G170" s="23" t="n">
        <x:f>AVERAGE($F$145:$F$168)</x:f>
        <x:v>16.996810930241676</x:v>
      </x:c>
      <x:c r="H170" s="24" t="n">
        <x:f>F170-G170</x:f>
        <x:v>-0.10930467502613084</x:v>
      </x:c>
    </x:row>
    <x:row r="171">
      <x:c r="A171" s="2" t="str">
        <x:v>LiDA-1</x:v>
      </x:c>
      <x:c r="B171" s="4" t="str">
        <x:v>LiCl</x:v>
      </x:c>
      <x:c r="C171" s="23" t="n">
        <x:v>2.151824</x:v>
      </x:c>
      <x:c r="D171" s="23" t="n">
        <x:v>6.87253</x:v>
      </x:c>
      <x:c r="E171" s="23" t="n">
        <x:f>'Parameters'!$B$2*'Parameters'!$B$3*LN(4*PI()*C171^2)</x:f>
        <x:v>10.073628498274786</x:v>
      </x:c>
      <x:c r="F171" s="23" t="n">
        <x:f>D171+E171</x:f>
        <x:v>16.946158498274787</x:v>
      </x:c>
      <x:c r="G171" s="23" t="n">
        <x:f>AVERAGE($F$145:$F$168)</x:f>
        <x:v>16.996810930241676</x:v>
      </x:c>
      <x:c r="H171" s="24" t="n">
        <x:f>F171-G171</x:f>
        <x:v>-0.0506524319668884</x:v>
      </x:c>
    </x:row>
    <x:row r="172">
      <x:c r="A172" s="2" t="str">
        <x:v>LiDA-1</x:v>
      </x:c>
      <x:c r="B172" s="4" t="str">
        <x:v>LiCl</x:v>
      </x:c>
      <x:c r="C172" s="23" t="n">
        <x:v>2.164284</x:v>
      </x:c>
      <x:c r="D172" s="23" t="n">
        <x:v>6.797147</x:v>
      </x:c>
      <x:c r="E172" s="23" t="n">
        <x:f>'Parameters'!$B$2*'Parameters'!$B$3*LN(4*PI()*C172^2)</x:f>
        <x:v>10.102254186413449</x:v>
      </x:c>
      <x:c r="F172" s="23" t="n">
        <x:f>D172+E172</x:f>
        <x:v>16.89940118641345</x:v>
      </x:c>
      <x:c r="G172" s="23" t="n">
        <x:f>AVERAGE($F$145:$F$168)</x:f>
        <x:v>16.996810930241676</x:v>
      </x:c>
      <x:c r="H172" s="24" t="n">
        <x:f>F172-G172</x:f>
        <x:v>-0.09740974382822642</x:v>
      </x:c>
    </x:row>
    <x:row r="173">
      <x:c r="A173" s="2" t="str">
        <x:v>LiDA-1</x:v>
      </x:c>
      <x:c r="B173" s="4" t="str">
        <x:v>LiCl</x:v>
      </x:c>
      <x:c r="C173" s="23" t="n">
        <x:v>2.176745</x:v>
      </x:c>
      <x:c r="D173" s="23" t="n">
        <x:v>6.63961</x:v>
      </x:c>
      <x:c r="E173" s="23" t="n">
        <x:f>'Parameters'!$B$2*'Parameters'!$B$3*LN(4*PI()*C173^2)</x:f>
        <x:v>10.130717823390102</x:v>
      </x:c>
      <x:c r="F173" s="23" t="n">
        <x:f>D173+E173</x:f>
        <x:v>16.7703278233901</x:v>
      </x:c>
      <x:c r="G173" s="23" t="n">
        <x:f>AVERAGE($F$145:$F$168)</x:f>
        <x:v>16.996810930241676</x:v>
      </x:c>
      <x:c r="H173" s="24" t="n">
        <x:f>F173-G173</x:f>
        <x:v>-0.2264831068515747</x:v>
      </x:c>
    </x:row>
    <x:row r="174">
      <x:c r="A174" s="2" t="str">
        <x:v>LiDA-1</x:v>
      </x:c>
      <x:c r="B174" s="4" t="str">
        <x:v>LiCl</x:v>
      </x:c>
      <x:c r="C174" s="23" t="n">
        <x:v>2.189205</x:v>
      </x:c>
      <x:c r="D174" s="23" t="n">
        <x:v>6.591156</x:v>
      </x:c>
      <x:c r="E174" s="23" t="n">
        <x:f>'Parameters'!$B$2*'Parameters'!$B$3*LN(4*PI()*C174^2)</x:f>
        <x:v>10.15901671682427</x:v>
      </x:c>
      <x:c r="F174" s="23" t="n">
        <x:f>D174+E174</x:f>
        <x:v>16.75017271682427</x:v>
      </x:c>
      <x:c r="G174" s="23" t="n">
        <x:f>AVERAGE($F$145:$F$168)</x:f>
        <x:v>16.996810930241676</x:v>
      </x:c>
      <x:c r="H174" s="24" t="n">
        <x:f>F174-G174</x:f>
        <x:v>-0.24663821341740544</x:v>
      </x:c>
    </x:row>
    <x:row r="175">
      <x:c r="A175" s="2" t="str">
        <x:v>LiDA-1</x:v>
      </x:c>
      <x:c r="B175" s="4" t="str">
        <x:v>LiCl</x:v>
      </x:c>
      <x:c r="C175" s="23" t="n">
        <x:v>2.201666</x:v>
      </x:c>
      <x:c r="D175" s="23" t="n">
        <x:v>6.510853</x:v>
      </x:c>
      <x:c r="E175" s="23" t="n">
        <x:f>'Parameters'!$B$2*'Parameters'!$B$3*LN(4*PI()*C175^2)</x:f>
        <x:v>10.18715725338298</x:v>
      </x:c>
      <x:c r="F175" s="23" t="n">
        <x:f>D175+E175</x:f>
        <x:v>16.69801025338298</x:v>
      </x:c>
      <x:c r="G175" s="23" t="n">
        <x:f>AVERAGE($F$145:$F$168)</x:f>
        <x:v>16.996810930241676</x:v>
      </x:c>
      <x:c r="H175" s="24" t="n">
        <x:f>F175-G175</x:f>
        <x:v>-0.29880067685869705</x:v>
      </x:c>
    </x:row>
    <x:row r="176">
      <x:c r="A176" s="2" t="str">
        <x:v>LiDA-1</x:v>
      </x:c>
      <x:c r="B176" s="4" t="str">
        <x:v>LiCl</x:v>
      </x:c>
      <x:c r="C176" s="23" t="n">
        <x:v>2.214126</x:v>
      </x:c>
      <x:c r="D176" s="23" t="n">
        <x:v>6.482709</x:v>
      </x:c>
      <x:c r="E176" s="23" t="n">
        <x:f>'Parameters'!$B$2*'Parameters'!$B$3*LN(4*PI()*C176^2)</x:f>
        <x:v>10.21513672937718</x:v>
      </x:c>
      <x:c r="F176" s="23" t="n">
        <x:f>D176+E176</x:f>
        <x:v>16.69784572937718</x:v>
      </x:c>
      <x:c r="G176" s="23" t="n">
        <x:f>AVERAGE($F$145:$F$168)</x:f>
        <x:v>16.996810930241676</x:v>
      </x:c>
      <x:c r="H176" s="24" t="n">
        <x:f>F176-G176</x:f>
        <x:v>-0.2989652008644974</x:v>
      </x:c>
    </x:row>
    <x:row r="177">
      <x:c r="A177" s="2" t="str">
        <x:v>LiDA-1</x:v>
      </x:c>
      <x:c r="B177" s="4" t="str">
        <x:v>LiCl</x:v>
      </x:c>
      <x:c r="C177" s="23" t="n">
        <x:v>2.226587</x:v>
      </x:c>
      <x:c r="D177" s="23" t="n">
        <x:v>6.522755</x:v>
      </x:c>
      <x:c r="E177" s="23" t="n">
        <x:f>'Parameters'!$B$2*'Parameters'!$B$3*LN(4*PI()*C177^2)</x:f>
        <x:v>10.242961418452005</x:v>
      </x:c>
      <x:c r="F177" s="23" t="n">
        <x:f>D177+E177</x:f>
        <x:v>16.765716418452005</x:v>
      </x:c>
      <x:c r="G177" s="23" t="n">
        <x:f>AVERAGE($F$145:$F$168)</x:f>
        <x:v>16.996810930241676</x:v>
      </x:c>
      <x:c r="H177" s="24" t="n">
        <x:f>F177-G177</x:f>
        <x:v>-0.23109451178967078</x:v>
      </x:c>
    </x:row>
    <x:row r="178">
      <x:c r="A178" s="2" t="str">
        <x:v>LiDA-1</x:v>
      </x:c>
      <x:c r="B178" s="4" t="str">
        <x:v>LiCl</x:v>
      </x:c>
      <x:c r="C178" s="23" t="n">
        <x:v>2.239047</x:v>
      </x:c>
      <x:c r="D178" s="23" t="n">
        <x:v>6.607805</x:v>
      </x:c>
      <x:c r="E178" s="23" t="n">
        <x:f>'Parameters'!$B$2*'Parameters'!$B$3*LN(4*PI()*C178^2)</x:f>
        <x:v>10.270628607249963</x:v>
      </x:c>
      <x:c r="F178" s="23" t="n">
        <x:f>D178+E178</x:f>
        <x:v>16.878433607249963</x:v>
      </x:c>
      <x:c r="G178" s="23" t="n">
        <x:f>AVERAGE($F$145:$F$168)</x:f>
        <x:v>16.996810930241676</x:v>
      </x:c>
      <x:c r="H178" s="24" t="n">
        <x:f>F178-G178</x:f>
        <x:v>-0.11837732299171222</x:v>
      </x:c>
    </x:row>
    <x:row r="179">
      <x:c r="A179" s="2" t="str">
        <x:v>LiDA-1</x:v>
      </x:c>
      <x:c r="B179" s="4" t="str">
        <x:v>LiCl</x:v>
      </x:c>
      <x:c r="C179" s="23" t="n">
        <x:v>2.251508</x:v>
      </x:c>
      <x:c r="D179" s="23" t="n">
        <x:v>6.466878</x:v>
      </x:c>
      <x:c r="E179" s="23" t="n">
        <x:f>'Parameters'!$B$2*'Parameters'!$B$3*LN(4*PI()*C179^2)</x:f>
        <x:v>10.298144460265053</x:v>
      </x:c>
      <x:c r="F179" s="23" t="n">
        <x:f>D179+E179</x:f>
        <x:v>16.765022460265055</x:v>
      </x:c>
      <x:c r="G179" s="23" t="n">
        <x:f>AVERAGE($F$145:$F$168)</x:f>
        <x:v>16.996810930241676</x:v>
      </x:c>
      <x:c r="H179" s="24" t="n">
        <x:f>F179-G179</x:f>
        <x:v>-0.23178846997662106</x:v>
      </x:c>
    </x:row>
    <x:row r="180">
      <x:c r="A180" s="2" t="str">
        <x:v>LiDA-1</x:v>
      </x:c>
      <x:c r="B180" s="4" t="str">
        <x:v>LiCl</x:v>
      </x:c>
      <x:c r="C180" s="23" t="n">
        <x:v>2.263968</x:v>
      </x:c>
      <x:c r="D180" s="23" t="n">
        <x:v>6.505717</x:v>
      </x:c>
      <x:c r="E180" s="23" t="n">
        <x:f>'Parameters'!$B$2*'Parameters'!$B$3*LN(4*PI()*C180^2)</x:f>
        <x:v>10.325506255996325</x:v>
      </x:c>
      <x:c r="F180" s="23" t="n">
        <x:f>D180+E180</x:f>
        <x:v>16.831223255996324</x:v>
      </x:c>
      <x:c r="G180" s="23" t="n">
        <x:f>AVERAGE($F$145:$F$168)</x:f>
        <x:v>16.996810930241676</x:v>
      </x:c>
      <x:c r="H180" s="24" t="n">
        <x:f>F180-G180</x:f>
        <x:v>-0.16558767424535148</x:v>
      </x:c>
    </x:row>
    <x:row r="181">
      <x:c r="A181" s="2" t="str">
        <x:v>LiDA-1</x:v>
      </x:c>
      <x:c r="B181" s="4" t="str">
        <x:v>LiCl</x:v>
      </x:c>
      <x:c r="C181" s="23" t="n">
        <x:v>2.276428</x:v>
      </x:c>
      <x:c r="D181" s="23" t="n">
        <x:v>6.496138</x:v>
      </x:c>
      <x:c r="E181" s="23" t="n">
        <x:f>'Parameters'!$B$2*'Parameters'!$B$3*LN(4*PI()*C181^2)</x:f>
        <x:v>10.35271787553538</x:v>
      </x:c>
      <x:c r="F181" s="23" t="n">
        <x:f>D181+E181</x:f>
        <x:v>16.848855875535378</x:v>
      </x:c>
      <x:c r="G181" s="23" t="n">
        <x:f>AVERAGE($F$145:$F$168)</x:f>
        <x:v>16.996810930241676</x:v>
      </x:c>
      <x:c r="H181" s="24" t="n">
        <x:f>F181-G181</x:f>
        <x:v>-0.14795505470629777</x:v>
      </x:c>
    </x:row>
    <x:row r="182">
      <x:c r="A182" s="2" t="str">
        <x:v>LiDA-1</x:v>
      </x:c>
      <x:c r="B182" s="4" t="str">
        <x:v>LiCl</x:v>
      </x:c>
      <x:c r="C182" s="23" t="n">
        <x:v>2.288889</x:v>
      </x:c>
      <x:c r="D182" s="23" t="n">
        <x:v>6.493101</x:v>
      </x:c>
      <x:c r="E182" s="23" t="n">
        <x:f>'Parameters'!$B$2*'Parameters'!$B$3*LN(4*PI()*C182^2)</x:f>
        <x:v>10.379783124461964</x:v>
      </x:c>
      <x:c r="F182" s="23" t="n">
        <x:f>D182+E182</x:f>
        <x:v>16.872884124461965</x:v>
      </x:c>
      <x:c r="G182" s="23" t="n">
        <x:f>AVERAGE($F$145:$F$168)</x:f>
        <x:v>16.996810930241676</x:v>
      </x:c>
      <x:c r="H182" s="24" t="n">
        <x:f>F182-G182</x:f>
        <x:v>-0.12392680577971049</x:v>
      </x:c>
    </x:row>
    <x:row r="183">
      <x:c r="A183" s="2" t="str">
        <x:v>LiDA-1</x:v>
      </x:c>
      <x:c r="B183" s="4" t="str">
        <x:v>LiCl</x:v>
      </x:c>
      <x:c r="C183" s="23" t="n">
        <x:v>2.301349</x:v>
      </x:c>
      <x:c r="D183" s="23" t="n">
        <x:v>6.385212</x:v>
      </x:c>
      <x:c r="E183" s="23" t="n">
        <x:f>'Parameters'!$B$2*'Parameters'!$B$3*LN(4*PI()*C183^2)</x:f>
        <x:v>10.406699271687822</x:v>
      </x:c>
      <x:c r="F183" s="23" t="n">
        <x:f>D183+E183</x:f>
        <x:v>16.791911271687823</x:v>
      </x:c>
      <x:c r="G183" s="23" t="n">
        <x:f>AVERAGE($F$145:$F$168)</x:f>
        <x:v>16.996810930241676</x:v>
      </x:c>
      <x:c r="H183" s="24" t="n">
        <x:f>F183-G183</x:f>
        <x:v>-0.2048996585538525</x:v>
      </x:c>
    </x:row>
    <x:row r="184">
      <x:c r="A184" s="2" t="str">
        <x:v>LiDA-1</x:v>
      </x:c>
      <x:c r="B184" s="4" t="str">
        <x:v>LiCl</x:v>
      </x:c>
      <x:c r="C184" s="23" t="n">
        <x:v>2.31381</x:v>
      </x:c>
      <x:c r="D184" s="23" t="n">
        <x:v>6.433686</x:v>
      </x:c>
      <x:c r="E184" s="23" t="n">
        <x:f>'Parameters'!$B$2*'Parameters'!$B$3*LN(4*PI()*C184^2)</x:f>
        <x:v>10.433472224568055</x:v>
      </x:c>
      <x:c r="F184" s="23" t="n">
        <x:f>D184+E184</x:f>
        <x:v>16.867158224568055</x:v>
      </x:c>
      <x:c r="G184" s="23" t="n">
        <x:f>AVERAGE($F$145:$F$168)</x:f>
        <x:v>16.996810930241676</x:v>
      </x:c>
      <x:c r="H184" s="24" t="n">
        <x:f>F184-G184</x:f>
        <x:v>-0.12965270567362097</x:v>
      </x:c>
    </x:row>
    <x:row r="185">
      <x:c r="A185" s="2" t="str">
        <x:v>LiDA-1</x:v>
      </x:c>
      <x:c r="B185" s="4" t="str">
        <x:v>LiCl</x:v>
      </x:c>
      <x:c r="C185" s="23" t="n">
        <x:v>2.32627</x:v>
      </x:c>
      <x:c r="D185" s="23" t="n">
        <x:v>6.325115</x:v>
      </x:c>
      <x:c r="E185" s="23" t="n">
        <x:f>'Parameters'!$B$2*'Parameters'!$B$3*LN(4*PI()*C185^2)</x:f>
        <x:v>10.46009924723265</x:v>
      </x:c>
      <x:c r="F185" s="23" t="n">
        <x:f>D185+E185</x:f>
        <x:v>16.785214247232652</x:v>
      </x:c>
      <x:c r="G185" s="23" t="n">
        <x:f>AVERAGE($F$145:$F$168)</x:f>
        <x:v>16.996810930241676</x:v>
      </x:c>
      <x:c r="H185" s="24" t="n">
        <x:f>F185-G185</x:f>
        <x:v>-0.21159668300902368</x:v>
      </x:c>
    </x:row>
    <x:row r="186">
      <x:c r="A186" s="2" t="str">
        <x:v>LiDA-1</x:v>
      </x:c>
      <x:c r="B186" s="4" t="str">
        <x:v>LiCl</x:v>
      </x:c>
      <x:c r="C186" s="23" t="n">
        <x:v>2.338731</x:v>
      </x:c>
      <x:c r="D186" s="23" t="n">
        <x:v>6.334087</x:v>
      </x:c>
      <x:c r="E186" s="23" t="n">
        <x:f>'Parameters'!$B$2*'Parameters'!$B$3*LN(4*PI()*C186^2)</x:f>
        <x:v>10.48658615003502</x:v>
      </x:c>
      <x:c r="F186" s="23" t="n">
        <x:f>D186+E186</x:f>
        <x:v>16.82067315003502</x:v>
      </x:c>
      <x:c r="G186" s="23" t="n">
        <x:f>AVERAGE($F$145:$F$168)</x:f>
        <x:v>16.996810930241676</x:v>
      </x:c>
      <x:c r="H186" s="24" t="n">
        <x:f>F186-G186</x:f>
        <x:v>-0.1761377802066555</x:v>
      </x:c>
    </x:row>
    <x:row r="187">
      <x:c r="A187" s="2" t="str">
        <x:v>LiDA-1</x:v>
      </x:c>
      <x:c r="B187" s="4" t="str">
        <x:v>LiCl</x:v>
      </x:c>
      <x:c r="C187" s="23" t="n">
        <x:v>2.351191</x:v>
      </x:c>
      <x:c r="D187" s="23" t="n">
        <x:v>6.353753</x:v>
      </x:c>
      <x:c r="E187" s="23" t="n">
        <x:f>'Parameters'!$B$2*'Parameters'!$B$3*LN(4*PI()*C187^2)</x:f>
        <x:v>10.512930193506739</x:v>
      </x:c>
      <x:c r="F187" s="23" t="n">
        <x:f>D187+E187</x:f>
        <x:v>16.866683193506738</x:v>
      </x:c>
      <x:c r="G187" s="23" t="n">
        <x:f>AVERAGE($F$145:$F$168)</x:f>
        <x:v>16.996810930241676</x:v>
      </x:c>
      <x:c r="H187" s="24" t="n">
        <x:f>F187-G187</x:f>
        <x:v>-0.13012773673493783</x:v>
      </x:c>
    </x:row>
    <x:row r="188">
      <x:c r="A188" s="2" t="str">
        <x:v>LiDA-1</x:v>
      </x:c>
      <x:c r="B188" s="4" t="str">
        <x:v>LiCl</x:v>
      </x:c>
      <x:c r="C188" s="23" t="n">
        <x:v>2.363652</x:v>
      </x:c>
      <x:c r="D188" s="23" t="n">
        <x:v>6.325571</x:v>
      </x:c>
      <x:c r="E188" s="23" t="n">
        <x:f>'Parameters'!$B$2*'Parameters'!$B$3*LN(4*PI()*C188^2)</x:f>
        <x:v>10.539137094113922</x:v>
      </x:c>
      <x:c r="F188" s="23" t="n">
        <x:f>D188+E188</x:f>
        <x:v>16.864708094113922</x:v>
      </x:c>
      <x:c r="G188" s="23" t="n">
        <x:f>AVERAGE($F$145:$F$168)</x:f>
        <x:v>16.996810930241676</x:v>
      </x:c>
      <x:c r="H188" s="24" t="n">
        <x:f>F188-G188</x:f>
        <x:v>-0.13210283612775342</x:v>
      </x:c>
    </x:row>
    <x:row r="189">
      <x:c r="A189" s="2" t="str">
        <x:v>LiDA-1</x:v>
      </x:c>
      <x:c r="B189" s="4" t="str">
        <x:v>LiCl</x:v>
      </x:c>
      <x:c r="C189" s="23" t="n">
        <x:v>2.376112</x:v>
      </x:c>
      <x:c r="D189" s="23" t="n">
        <x:v>6.431287</x:v>
      </x:c>
      <x:c r="E189" s="23" t="n">
        <x:f>'Parameters'!$B$2*'Parameters'!$B$3*LN(4*PI()*C189^2)</x:f>
        <x:v>10.565204109890537</x:v>
      </x:c>
      <x:c r="F189" s="23" t="n">
        <x:f>D189+E189</x:f>
        <x:v>16.99649110989054</x:v>
      </x:c>
      <x:c r="G189" s="23" t="n">
        <x:f>AVERAGE($F$145:$F$168)</x:f>
        <x:v>16.996810930241676</x:v>
      </x:c>
      <x:c r="H189" s="24" t="n">
        <x:f>F189-G189</x:f>
        <x:v>-0.00031982035113742313</x:v>
      </x:c>
    </x:row>
    <x:row r="190">
      <x:c r="A190" s="2" t="str">
        <x:v>LiDA-1</x:v>
      </x:c>
      <x:c r="B190" s="4" t="str">
        <x:v>LiCl</x:v>
      </x:c>
      <x:c r="C190" s="23" t="n">
        <x:v>2.388573</x:v>
      </x:c>
      <x:c r="D190" s="23" t="n">
        <x:v>6.275077</x:v>
      </x:c>
      <x:c r="E190" s="23" t="n">
        <x:f>'Parameters'!$B$2*'Parameters'!$B$3*LN(4*PI()*C190^2)</x:f>
        <x:v>10.591136866387956</x:v>
      </x:c>
      <x:c r="F190" s="23" t="n">
        <x:f>D190+E190</x:f>
        <x:v>16.866213866387955</x:v>
      </x:c>
      <x:c r="G190" s="23" t="n">
        <x:f>AVERAGE($F$145:$F$168)</x:f>
        <x:v>16.996810930241676</x:v>
      </x:c>
      <x:c r="H190" s="24" t="n">
        <x:f>F190-G190</x:f>
        <x:v>-0.13059706385372039</x:v>
      </x:c>
    </x:row>
    <x:row r="191">
      <x:c r="A191" s="2" t="str">
        <x:v>LiDA-1</x:v>
      </x:c>
      <x:c r="B191" s="4" t="str">
        <x:v>LiCl</x:v>
      </x:c>
      <x:c r="C191" s="23" t="n">
        <x:v>2.401033</x:v>
      </x:c>
      <x:c r="D191" s="23" t="n">
        <x:v>6.160049</x:v>
      </x:c>
      <x:c r="E191" s="23" t="n">
        <x:f>'Parameters'!$B$2*'Parameters'!$B$3*LN(4*PI()*C191^2)</x:f>
        <x:v>10.61693262016661</x:v>
      </x:c>
      <x:c r="F191" s="23" t="n">
        <x:f>D191+E191</x:f>
        <x:v>16.77698162016661</x:v>
      </x:c>
      <x:c r="G191" s="23" t="n">
        <x:f>AVERAGE($F$145:$F$168)</x:f>
        <x:v>16.996810930241676</x:v>
      </x:c>
      <x:c r="H191" s="24" t="n">
        <x:f>F191-G191</x:f>
        <x:v>-0.21982931007506679</x:v>
      </x:c>
    </x:row>
    <x:row r="192">
      <x:c r="A192" s="2" t="str">
        <x:v>LiDA-1</x:v>
      </x:c>
      <x:c r="B192" s="4" t="str">
        <x:v>LiCl</x:v>
      </x:c>
      <x:c r="C192" s="23" t="n">
        <x:v>2.413494</x:v>
      </x:c>
      <x:c r="D192" s="23" t="n">
        <x:v>6.258775</x:v>
      </x:c>
      <x:c r="E192" s="23" t="n">
        <x:f>'Parameters'!$B$2*'Parameters'!$B$3*LN(4*PI()*C192^2)</x:f>
        <x:v>10.642596908701986</x:v>
      </x:c>
      <x:c r="F192" s="23" t="n">
        <x:f>D192+E192</x:f>
        <x:v>16.901371908701986</x:v>
      </x:c>
      <x:c r="G192" s="23" t="n">
        <x:f>AVERAGE($F$145:$F$168)</x:f>
        <x:v>16.996810930241676</x:v>
      </x:c>
      <x:c r="H192" s="24" t="n">
        <x:f>F192-G192</x:f>
        <x:v>-0.09543902153968986</x:v>
      </x:c>
    </x:row>
    <x:row r="193">
      <x:c r="A193" s="2" t="str">
        <x:v>LiDA-1</x:v>
      </x:c>
      <x:c r="B193" s="4" t="str">
        <x:v>LiCl</x:v>
      </x:c>
      <x:c r="C193" s="23" t="n">
        <x:v>2.425954</x:v>
      </x:c>
      <x:c r="D193" s="23" t="n">
        <x:v>5.978139</x:v>
      </x:c>
      <x:c r="E193" s="23" t="n">
        <x:f>'Parameters'!$B$2*'Parameters'!$B$3*LN(4*PI()*C193^2)</x:f>
        <x:v>10.668126988033599</x:v>
      </x:c>
      <x:c r="F193" s="23" t="n">
        <x:f>D193+E193</x:f>
        <x:v>16.646265988033598</x:v>
      </x:c>
      <x:c r="G193" s="23" t="n">
        <x:f>AVERAGE($F$145:$F$168)</x:f>
        <x:v>16.996810930241676</x:v>
      </x:c>
      <x:c r="H193" s="24" t="n">
        <x:f>F193-G193</x:f>
        <x:v>-0.35054494220807797</x:v>
      </x:c>
    </x:row>
    <x:row r="194">
      <x:c r="A194" s="2" t="str">
        <x:v>LiDA-1</x:v>
      </x:c>
      <x:c r="B194" s="4" t="str">
        <x:v>LiCl</x:v>
      </x:c>
      <x:c r="C194" s="23" t="n">
        <x:v>2.438414</x:v>
      </x:c>
      <x:c r="D194" s="23" t="n">
        <x:v>6.293102</x:v>
      </x:c>
      <x:c r="E194" s="23" t="n">
        <x:f>'Parameters'!$B$2*'Parameters'!$B$3*LN(4*PI()*C194^2)</x:f>
        <x:v>10.693526277020611</x:v>
      </x:c>
      <x:c r="F194" s="23" t="n">
        <x:f>D194+E194</x:f>
        <x:v>16.98662827702061</x:v>
      </x:c>
      <x:c r="G194" s="23" t="n">
        <x:f>AVERAGE($F$145:$F$168)</x:f>
        <x:v>16.996810930241676</x:v>
      </x:c>
      <x:c r="H194" s="24" t="n">
        <x:f>F194-G194</x:f>
        <x:v>-0.010182653221065152</x:v>
      </x:c>
    </x:row>
    <x:row r="195">
      <x:c r="A195" s="2" t="str">
        <x:v>LiDA-1</x:v>
      </x:c>
      <x:c r="B195" s="4" t="str">
        <x:v>LiCl</x:v>
      </x:c>
      <x:c r="C195" s="23" t="n">
        <x:v>2.450875</x:v>
      </x:c>
      <x:c r="D195" s="23" t="n">
        <x:v>6.320886</x:v>
      </x:c>
      <x:c r="E195" s="23" t="n">
        <x:f>'Parameters'!$B$2*'Parameters'!$B$3*LN(4*PI()*C195^2)</x:f>
        <x:v>10.718798131827333</x:v>
      </x:c>
      <x:c r="F195" s="23" t="n">
        <x:f>D195+E195</x:f>
        <x:v>17.039684131827332</x:v>
      </x:c>
      <x:c r="G195" s="23" t="n">
        <x:f>AVERAGE($F$145:$F$168)</x:f>
        <x:v>16.996810930241676</x:v>
      </x:c>
      <x:c r="H195" s="24" t="n">
        <x:f>F195-G195</x:f>
        <x:v>0.04287320158565677</x:v>
      </x:c>
    </x:row>
    <x:row r="196">
      <x:c r="A196" s="2" t="str">
        <x:v>LiDA-1</x:v>
      </x:c>
      <x:c r="B196" s="4" t="str">
        <x:v>LiCl</x:v>
      </x:c>
      <x:c r="C196" s="23" t="n">
        <x:v>2.463335</x:v>
      </x:c>
      <x:c r="D196" s="23" t="n">
        <x:v>5.807495</x:v>
      </x:c>
      <x:c r="E196" s="23" t="n">
        <x:f>'Parameters'!$B$2*'Parameters'!$B$3*LN(4*PI()*C196^2)</x:f>
        <x:v>10.743939809353865</x:v>
      </x:c>
      <x:c r="F196" s="23" t="n">
        <x:f>D196+E196</x:f>
        <x:v>16.551434809353864</x:v>
      </x:c>
      <x:c r="G196" s="23" t="n">
        <x:f>AVERAGE($F$145:$F$168)</x:f>
        <x:v>16.996810930241676</x:v>
      </x:c>
      <x:c r="H196" s="24" t="n">
        <x:f>F196-G196</x:f>
        <x:v>-0.4453761208878113</x:v>
      </x:c>
    </x:row>
    <x:row r="197">
      <x:c r="A197" s="2" t="str">
        <x:v>LiDA-1</x:v>
      </x:c>
      <x:c r="B197" s="4" t="str">
        <x:v>LiCl</x:v>
      </x:c>
      <x:c r="C197" s="23" t="n">
        <x:v>2.475796</x:v>
      </x:c>
      <x:c r="D197" s="23" t="n">
        <x:v>6.045747</x:v>
      </x:c>
      <x:c r="E197" s="23" t="n">
        <x:f>'Parameters'!$B$2*'Parameters'!$B$3*LN(4*PI()*C197^2)</x:f>
        <x:v>10.76895663849726</x:v>
      </x:c>
      <x:c r="F197" s="23" t="n">
        <x:f>D197+E197</x:f>
        <x:v>16.81470363849726</x:v>
      </x:c>
      <x:c r="G197" s="23" t="n">
        <x:f>AVERAGE($F$145:$F$168)</x:f>
        <x:v>16.996810930241676</x:v>
      </x:c>
      <x:c r="H197" s="24" t="n">
        <x:f>F197-G197</x:f>
        <x:v>-0.18210729174441553</x:v>
      </x:c>
    </x:row>
    <x:row r="198">
      <x:c r="A198" s="2" t="str">
        <x:v>LiDA-1</x:v>
      </x:c>
      <x:c r="B198" s="4" t="str">
        <x:v>LiCl</x:v>
      </x:c>
      <x:c r="C198" s="23" t="n">
        <x:v>2.488256</x:v>
      </x:c>
      <x:c r="D198" s="23" t="n">
        <x:v>6.18053</x:v>
      </x:c>
      <x:c r="E198" s="23" t="n">
        <x:f>'Parameters'!$B$2*'Parameters'!$B$3*LN(4*PI()*C198^2)</x:f>
        <x:v>10.793845877737217</x:v>
      </x:c>
      <x:c r="F198" s="23" t="n">
        <x:f>D198+E198</x:f>
        <x:v>16.974375877737216</x:v>
      </x:c>
      <x:c r="G198" s="23" t="n">
        <x:f>AVERAGE($F$145:$F$168)</x:f>
        <x:v>16.996810930241676</x:v>
      </x:c>
      <x:c r="H198" s="24" t="n">
        <x:f>F198-G198</x:f>
        <x:v>-0.022435052504459208</x:v>
      </x:c>
    </x:row>
    <x:row r="199">
      <x:c r="A199" s="2" t="str">
        <x:v>LiDA-1</x:v>
      </x:c>
      <x:c r="B199" s="4" t="str">
        <x:v>LiCl</x:v>
      </x:c>
      <x:c r="C199" s="23" t="n">
        <x:v>2.500717</x:v>
      </x:c>
      <x:c r="D199" s="23" t="n">
        <x:v>5.990298</x:v>
      </x:c>
      <x:c r="E199" s="23" t="n">
        <x:f>'Parameters'!$B$2*'Parameters'!$B$3*LN(4*PI()*C199^2)</x:f>
        <x:v>10.818612776882954</x:v>
      </x:c>
      <x:c r="F199" s="23" t="n">
        <x:f>D199+E199</x:f>
        <x:v>16.808910776882954</x:v>
      </x:c>
      <x:c r="G199" s="23" t="n">
        <x:f>AVERAGE($F$145:$F$168)</x:f>
        <x:v>16.996810930241676</x:v>
      </x:c>
      <x:c r="H199" s="24" t="n">
        <x:f>F199-G199</x:f>
        <x:v>-0.18790015335872212</x:v>
      </x:c>
    </x:row>
    <x:row r="200">
      <x:c r="A200" s="2" t="str">
        <x:v>LiDA-1</x:v>
      </x:c>
      <x:c r="B200" s="4" t="str">
        <x:v>LiCl</x:v>
      </x:c>
      <x:c r="C200" s="23" t="n">
        <x:v>2.513177</x:v>
      </x:c>
      <x:c r="D200" s="23" t="n">
        <x:v>7.032189</x:v>
      </x:c>
      <x:c r="E200" s="23" t="n">
        <x:f>'Parameters'!$B$2*'Parameters'!$B$3*LN(4*PI()*C200^2)</x:f>
        <x:v>10.843254596732859</x:v>
      </x:c>
      <x:c r="F200" s="23" t="n">
        <x:f>D200+E200</x:f>
        <x:v>17.875443596732858</x:v>
      </x:c>
      <x:c r="G200" s="23" t="n">
        <x:f>AVERAGE($F$145:$F$168)</x:f>
        <x:v>16.996810930241676</x:v>
      </x:c>
      <x:c r="H200" s="24" t="n">
        <x:f>F200-G200</x:f>
        <x:v>0.8786326664911819</x:v>
      </x:c>
    </x:row>
    <x:row r="201">
      <x:c r="A201" s="2" t="str">
        <x:v>LiDA-1</x:v>
      </x:c>
      <x:c r="B201" s="4" t="str">
        <x:v>LiCl</x:v>
      </x:c>
      <x:c r="C201" s="23" t="n">
        <x:v>2.525638</x:v>
      </x:c>
      <x:c r="D201" s="23" t="n">
        <x:v>3.810772</x:v>
      </x:c>
      <x:c r="E201" s="23" t="n">
        <x:f>'Parameters'!$B$2*'Parameters'!$B$3*LN(4*PI()*C201^2)</x:f>
        <x:v>10.867776510332316</x:v>
      </x:c>
      <x:c r="F201" s="23" t="n">
        <x:f>D201+E201</x:f>
        <x:v>14.678548510332316</x:v>
      </x:c>
      <x:c r="G201" s="23" t="n">
        <x:f>AVERAGE($F$145:$F$168)</x:f>
        <x:v>16.996810930241676</x:v>
      </x:c>
      <x:c r="H201" s="24" t="n">
        <x:f>F201-G201</x:f>
        <x:v>-2.3182624199093596</x:v>
      </x:c>
    </x:row>
    <x:row r="202">
      <x:c r="A202" s="2" t="str">
        <x:v>LiDA-1</x:v>
      </x:c>
      <x:c r="B202" s="4" t="str">
        <x:v>NaCl</x:v>
      </x:c>
      <x:c r="C202" s="23" t="n">
        <x:v>0.2555916</x:v>
      </x:c>
      <x:c r="D202" s="23" t="n">
        <x:v>0</x:v>
      </x:c>
      <x:c r="E202" s="23" t="n">
        <x:f>'Parameters'!$B$2*'Parameters'!$B$3*LN(4*PI()*C202^2)</x:f>
        <x:v>-0.4891591913131075</x:v>
      </x:c>
      <x:c r="F202" s="23" t="n">
        <x:f>D202+E202</x:f>
        <x:v>-0.4891591913131075</x:v>
      </x:c>
      <x:c r="G202" s="23" t="n">
        <x:f>AVERAGE($F$325:$F$348)</x:f>
        <x:v>-1.7098851300581774</x:v>
      </x:c>
      <x:c r="H202" s="24" t="n">
        <x:f>F202-G202</x:f>
        <x:v>1.22072593874507</x:v>
      </x:c>
    </x:row>
    <x:row r="203">
      <x:c r="A203" s="2" t="str">
        <x:v>LiDA-1</x:v>
      </x:c>
      <x:c r="B203" s="4" t="str">
        <x:v>NaCl</x:v>
      </x:c>
      <x:c r="C203" s="23" t="n">
        <x:v>0.2683288</x:v>
      </x:c>
      <x:c r="D203" s="23" t="n">
        <x:v>1.095249</x:v>
      </x:c>
      <x:c r="E203" s="23" t="n">
        <x:f>'Parameters'!$B$2*'Parameters'!$B$3*LN(4*PI()*C203^2)</x:f>
        <x:v>-0.24804474430060058</x:v>
      </x:c>
      <x:c r="F203" s="23" t="n">
        <x:f>D203+E203</x:f>
        <x:v>0.8472042556993993</x:v>
      </x:c>
      <x:c r="G203" s="23" t="n">
        <x:f>AVERAGE($F$325:$F$348)</x:f>
        <x:v>-1.7098851300581774</x:v>
      </x:c>
      <x:c r="H203" s="24" t="n">
        <x:f>F203-G203</x:f>
        <x:v>2.5570893857575765</x:v>
      </x:c>
    </x:row>
    <x:row r="204">
      <x:c r="A204" s="2" t="str">
        <x:v>LiDA-1</x:v>
      </x:c>
      <x:c r="B204" s="4" t="str">
        <x:v>NaCl</x:v>
      </x:c>
      <x:c r="C204" s="23" t="n">
        <x:v>0.281066</x:v>
      </x:c>
      <x:c r="D204" s="23" t="n">
        <x:v>0.02086368</x:v>
      </x:c>
      <x:c r="E204" s="23" t="n">
        <x:f>'Parameters'!$B$2*'Parameters'!$B$3*LN(4*PI()*C204^2)</x:f>
        <x:v>-0.01811442468403614</x:v>
      </x:c>
      <x:c r="F204" s="23" t="n">
        <x:f>D204+E204</x:f>
        <x:v>0.0027492553159638583</x:v>
      </x:c>
      <x:c r="G204" s="23" t="n">
        <x:f>AVERAGE($F$325:$F$348)</x:f>
        <x:v>-1.7098851300581774</x:v>
      </x:c>
      <x:c r="H204" s="24" t="n">
        <x:f>F204-G204</x:f>
        <x:v>1.7126343853741413</x:v>
      </x:c>
    </x:row>
    <x:row r="205">
      <x:c r="A205" s="2" t="str">
        <x:v>LiDA-1</x:v>
      </x:c>
      <x:c r="B205" s="4" t="str">
        <x:v>NaCl</x:v>
      </x:c>
      <x:c r="C205" s="23" t="n">
        <x:v>0.2938031</x:v>
      </x:c>
      <x:c r="D205" s="23" t="n">
        <x:v>-0.3095633</x:v>
      </x:c>
      <x:c r="E205" s="23" t="n">
        <x:f>'Parameters'!$B$2*'Parameters'!$B$3*LN(4*PI()*C205^2)</x:f>
        <x:v>0.20162180328312107</x:v>
      </x:c>
      <x:c r="F205" s="23" t="n">
        <x:f>D205+E205</x:f>
        <x:v>-0.10794149671687892</x:v>
      </x:c>
      <x:c r="G205" s="23" t="n">
        <x:f>AVERAGE($F$325:$F$348)</x:f>
        <x:v>-1.7098851300581774</x:v>
      </x:c>
      <x:c r="H205" s="24" t="n">
        <x:f>F205-G205</x:f>
        <x:v>1.6019436333412984</x:v>
      </x:c>
    </x:row>
    <x:row r="206">
      <x:c r="A206" s="2" t="str">
        <x:v>LiDA-1</x:v>
      </x:c>
      <x:c r="B206" s="4" t="str">
        <x:v>NaCl</x:v>
      </x:c>
      <x:c r="C206" s="23" t="n">
        <x:v>0.3065403</x:v>
      </x:c>
      <x:c r="D206" s="23" t="n">
        <x:v>-0.04952065</x:v>
      </x:c>
      <x:c r="E206" s="23" t="n">
        <x:f>'Parameters'!$B$2*'Parameters'!$B$3*LN(4*PI()*C206^2)</x:f>
        <x:v>0.41203278130623106</x:v>
      </x:c>
      <x:c r="F206" s="23" t="n">
        <x:f>D206+E206</x:f>
        <x:v>0.36251213130623106</x:v>
      </x:c>
      <x:c r="G206" s="23" t="n">
        <x:f>AVERAGE($F$325:$F$348)</x:f>
        <x:v>-1.7098851300581774</x:v>
      </x:c>
      <x:c r="H206" s="24" t="n">
        <x:f>F206-G206</x:f>
        <x:v>2.0723972613644084</x:v>
      </x:c>
    </x:row>
    <x:row r="207">
      <x:c r="A207" s="2" t="str">
        <x:v>LiDA-1</x:v>
      </x:c>
      <x:c r="B207" s="4" t="str">
        <x:v>NaCl</x:v>
      </x:c>
      <x:c r="C207" s="23" t="n">
        <x:v>0.3192775</x:v>
      </x:c>
      <x:c r="D207" s="23" t="n">
        <x:v>0.02459926</x:v>
      </x:c>
      <x:c r="E207" s="23" t="n">
        <x:f>'Parameters'!$B$2*'Parameters'!$B$3*LN(4*PI()*C207^2)</x:f>
        <x:v>0.6138764005465871</x:v>
      </x:c>
      <x:c r="F207" s="23" t="n">
        <x:f>D207+E207</x:f>
        <x:v>0.6384756605465871</x:v>
      </x:c>
      <x:c r="G207" s="23" t="n">
        <x:f>AVERAGE($F$325:$F$348)</x:f>
        <x:v>-1.7098851300581774</x:v>
      </x:c>
      <x:c r="H207" s="24" t="n">
        <x:f>F207-G207</x:f>
        <x:v>2.3483607906047643</x:v>
      </x:c>
    </x:row>
    <x:row r="208">
      <x:c r="A208" s="2" t="str">
        <x:v>LiDA-1</x:v>
      </x:c>
      <x:c r="B208" s="4" t="str">
        <x:v>NaCl</x:v>
      </x:c>
      <x:c r="C208" s="23" t="n">
        <x:v>0.3320147</x:v>
      </x:c>
      <x:c r="D208" s="23" t="n">
        <x:v>-0.5968692</x:v>
      </x:c>
      <x:c r="E208" s="23" t="n">
        <x:f>'Parameters'!$B$2*'Parameters'!$B$3*LN(4*PI()*C208^2)</x:f>
        <x:v>0.8078231291180522</x:v>
      </x:c>
      <x:c r="F208" s="23" t="n">
        <x:f>D208+E208</x:f>
        <x:v>0.21095392911805222</x:v>
      </x:c>
      <x:c r="G208" s="23" t="n">
        <x:f>AVERAGE($F$325:$F$348)</x:f>
        <x:v>-1.7098851300581774</x:v>
      </x:c>
      <x:c r="H208" s="24" t="n">
        <x:f>F208-G208</x:f>
        <x:v>1.9208390591762297</x:v>
      </x:c>
    </x:row>
    <x:row r="209">
      <x:c r="A209" s="2" t="str">
        <x:v>LiDA-1</x:v>
      </x:c>
      <x:c r="B209" s="4" t="str">
        <x:v>NaCl</x:v>
      </x:c>
      <x:c r="C209" s="23" t="n">
        <x:v>0.3447519</x:v>
      </x:c>
      <x:c r="D209" s="23" t="n">
        <x:v>-0.4627861</x:v>
      </x:c>
      <x:c r="E209" s="23" t="n">
        <x:f>'Parameters'!$B$2*'Parameters'!$B$3*LN(4*PI()*C209^2)</x:f>
        <x:v>0.9944676851973552</x:v>
      </x:c>
      <x:c r="F209" s="23" t="n">
        <x:f>D209+E209</x:f>
        <x:v>0.5316815851973552</x:v>
      </x:c>
      <x:c r="G209" s="23" t="n">
        <x:f>AVERAGE($F$325:$F$348)</x:f>
        <x:v>-1.7098851300581774</x:v>
      </x:c>
      <x:c r="H209" s="24" t="n">
        <x:f>F209-G209</x:f>
        <x:v>2.2415667152555327</x:v>
      </x:c>
    </x:row>
    <x:row r="210">
      <x:c r="A210" s="2" t="str">
        <x:v>LiDA-1</x:v>
      </x:c>
      <x:c r="B210" s="4" t="str">
        <x:v>NaCl</x:v>
      </x:c>
      <x:c r="C210" s="23" t="n">
        <x:v>0.357489</x:v>
      </x:c>
      <x:c r="D210" s="23" t="n">
        <x:v>-0.6060825</x:v>
      </x:c>
      <x:c r="E210" s="23" t="n">
        <x:f>'Parameters'!$B$2*'Parameters'!$B$3*LN(4*PI()*C210^2)</x:f>
        <x:v>1.1743386482506855</x:v>
      </x:c>
      <x:c r="F210" s="23" t="n">
        <x:f>D210+E210</x:f>
        <x:v>0.5682561482506855</x:v>
      </x:c>
      <x:c r="G210" s="23" t="n">
        <x:f>AVERAGE($F$325:$F$348)</x:f>
        <x:v>-1.7098851300581774</x:v>
      </x:c>
      <x:c r="H210" s="24" t="n">
        <x:f>F210-G210</x:f>
        <x:v>2.278141278308863</x:v>
      </x:c>
    </x:row>
    <x:row r="211">
      <x:c r="A211" s="2" t="str">
        <x:v>LiDA-1</x:v>
      </x:c>
      <x:c r="B211" s="4" t="str">
        <x:v>NaCl</x:v>
      </x:c>
      <x:c r="C211" s="23" t="n">
        <x:v>0.3702262</x:v>
      </x:c>
      <x:c r="D211" s="23" t="n">
        <x:v>-0.9274627</x:v>
      </x:c>
      <x:c r="E211" s="23" t="n">
        <x:f>'Parameters'!$B$2*'Parameters'!$B$3*LN(4*PI()*C211^2)</x:f>
        <x:v>1.3479131260368014</x:v>
      </x:c>
      <x:c r="F211" s="23" t="n">
        <x:f>D211+E211</x:f>
        <x:v>0.4204504260368014</x:v>
      </x:c>
      <x:c r="G211" s="23" t="n">
        <x:f>AVERAGE($F$325:$F$348)</x:f>
        <x:v>-1.7098851300581774</x:v>
      </x:c>
      <x:c r="H211" s="24" t="n">
        <x:f>F211-G211</x:f>
        <x:v>2.1303355560949786</x:v>
      </x:c>
    </x:row>
    <x:row r="212">
      <x:c r="A212" s="2" t="str">
        <x:v>LiDA-1</x:v>
      </x:c>
      <x:c r="B212" s="4" t="str">
        <x:v>NaCl</x:v>
      </x:c>
      <x:c r="C212" s="23" t="n">
        <x:v>0.3829634</x:v>
      </x:c>
      <x:c r="D212" s="23" t="n">
        <x:v>-1.037594</x:v>
      </x:c>
      <x:c r="E212" s="23" t="n">
        <x:f>'Parameters'!$B$2*'Parameters'!$B$3*LN(4*PI()*C212^2)</x:f>
        <x:v>1.5156158237696393</x:v>
      </x:c>
      <x:c r="F212" s="23" t="n">
        <x:f>D212+E212</x:f>
        <x:v>0.4780218237696394</x:v>
      </x:c>
      <x:c r="G212" s="23" t="n">
        <x:f>AVERAGE($F$325:$F$348)</x:f>
        <x:v>-1.7098851300581774</x:v>
      </x:c>
      <x:c r="H212" s="24" t="n">
        <x:f>F212-G212</x:f>
        <x:v>2.1879069538278166</x:v>
      </x:c>
    </x:row>
    <x:row r="213">
      <x:c r="A213" s="2" t="str">
        <x:v>LiDA-1</x:v>
      </x:c>
      <x:c r="B213" s="4" t="str">
        <x:v>NaCl</x:v>
      </x:c>
      <x:c r="C213" s="23" t="n">
        <x:v>0.3957006</x:v>
      </x:c>
      <x:c r="D213" s="23" t="n">
        <x:v>-1.30811</x:v>
      </x:c>
      <x:c r="E213" s="23" t="n">
        <x:f>'Parameters'!$B$2*'Parameters'!$B$3*LN(4*PI()*C213^2)</x:f>
        <x:v>1.6778310445494964</x:v>
      </x:c>
      <x:c r="F213" s="23" t="n">
        <x:f>D213+E213</x:f>
        <x:v>0.3697210445494963</x:v>
      </x:c>
      <x:c r="G213" s="23" t="n">
        <x:f>AVERAGE($F$325:$F$348)</x:f>
        <x:v>-1.7098851300581774</x:v>
      </x:c>
      <x:c r="H213" s="24" t="n">
        <x:f>F213-G213</x:f>
        <x:v>2.0796061746076737</x:v>
      </x:c>
    </x:row>
    <x:row r="214">
      <x:c r="A214" s="2" t="str">
        <x:v>LiDA-1</x:v>
      </x:c>
      <x:c r="B214" s="4" t="str">
        <x:v>NaCl</x:v>
      </x:c>
      <x:c r="C214" s="23" t="n">
        <x:v>0.4084378</x:v>
      </x:c>
      <x:c r="D214" s="23" t="n">
        <x:v>-1.602864</x:v>
      </x:c>
      <x:c r="E214" s="23" t="n">
        <x:f>'Parameters'!$B$2*'Parameters'!$B$3*LN(4*PI()*C214^2)</x:f>
        <x:v>1.8349065554716264</x:v>
      </x:c>
      <x:c r="F214" s="23" t="n">
        <x:f>D214+E214</x:f>
        <x:v>0.23204255547162633</x:v>
      </x:c>
      <x:c r="G214" s="23" t="n">
        <x:f>AVERAGE($F$325:$F$348)</x:f>
        <x:v>-1.7098851300581774</x:v>
      </x:c>
      <x:c r="H214" s="24" t="n">
        <x:f>F214-G214</x:f>
        <x:v>1.9419276855298038</x:v>
      </x:c>
    </x:row>
    <x:row r="215">
      <x:c r="A215" s="2" t="str">
        <x:v>LiDA-1</x:v>
      </x:c>
      <x:c r="B215" s="4" t="str">
        <x:v>NaCl</x:v>
      </x:c>
      <x:c r="C215" s="23" t="n">
        <x:v>0.4211749</x:v>
      </x:c>
      <x:c r="D215" s="23" t="n">
        <x:v>-1.865837</x:v>
      </x:c>
      <x:c r="E215" s="23" t="n">
        <x:f>'Parameters'!$B$2*'Parameters'!$B$3*LN(4*PI()*C215^2)</x:f>
        <x:v>1.9871568998991962</x:v>
      </x:c>
      <x:c r="F215" s="23" t="n">
        <x:f>D215+E215</x:f>
        <x:v>0.12131989989919623</x:v>
      </x:c>
      <x:c r="G215" s="23" t="n">
        <x:f>AVERAGE($F$325:$F$348)</x:f>
        <x:v>-1.7098851300581774</x:v>
      </x:c>
      <x:c r="H215" s="24" t="n">
        <x:f>F215-G215</x:f>
        <x:v>1.8312050299573737</x:v>
      </x:c>
    </x:row>
    <x:row r="216">
      <x:c r="A216" s="2" t="str">
        <x:v>LiDA-1</x:v>
      </x:c>
      <x:c r="B216" s="4" t="str">
        <x:v>NaCl</x:v>
      </x:c>
      <x:c r="C216" s="23" t="n">
        <x:v>0.4339121</x:v>
      </x:c>
      <x:c r="D216" s="23" t="n">
        <x:v>-2.316651</x:v>
      </x:c>
      <x:c r="E216" s="23" t="n">
        <x:f>'Parameters'!$B$2*'Parameters'!$B$3*LN(4*PI()*C216^2)</x:f>
        <x:v>2.134871961045551</x:v>
      </x:c>
      <x:c r="F216" s="23" t="n">
        <x:f>D216+E216</x:f>
        <x:v>-0.1817790389544487</x:v>
      </x:c>
      <x:c r="G216" s="23" t="n">
        <x:f>AVERAGE($F$325:$F$348)</x:f>
        <x:v>-1.7098851300581774</x:v>
      </x:c>
      <x:c r="H216" s="24" t="n">
        <x:f>F216-G216</x:f>
        <x:v>1.5281060911037287</x:v>
      </x:c>
    </x:row>
    <x:row r="217">
      <x:c r="A217" s="2" t="str">
        <x:v>LiDA-1</x:v>
      </x:c>
      <x:c r="B217" s="4" t="str">
        <x:v>NaCl</x:v>
      </x:c>
      <x:c r="C217" s="23" t="n">
        <x:v>0.4466493</x:v>
      </x:c>
      <x:c r="D217" s="23" t="n">
        <x:v>-2.524191</x:v>
      </x:c>
      <x:c r="E217" s="23" t="n">
        <x:f>'Parameters'!$B$2*'Parameters'!$B$3*LN(4*PI()*C217^2)</x:f>
        <x:v>2.2783130608780486</x:v>
      </x:c>
      <x:c r="F217" s="23" t="n">
        <x:f>D217+E217</x:f>
        <x:v>-0.24587793912195144</x:v>
      </x:c>
      <x:c r="G217" s="23" t="n">
        <x:f>AVERAGE($F$325:$F$348)</x:f>
        <x:v>-1.7098851300581774</x:v>
      </x:c>
      <x:c r="H217" s="24" t="n">
        <x:f>F217-G217</x:f>
        <x:v>1.464007190936226</x:v>
      </x:c>
    </x:row>
    <x:row r="218">
      <x:c r="A218" s="2" t="str">
        <x:v>LiDA-1</x:v>
      </x:c>
      <x:c r="B218" s="4" t="str">
        <x:v>NaCl</x:v>
      </x:c>
      <x:c r="C218" s="23" t="n">
        <x:v>0.4593865</x:v>
      </x:c>
      <x:c r="D218" s="23" t="n">
        <x:v>-2.7282</x:v>
      </x:c>
      <x:c r="E218" s="23" t="n">
        <x:f>'Parameters'!$B$2*'Parameters'!$B$3*LN(4*PI()*C218^2)</x:f>
        <x:v>2.417720584505004</x:v>
      </x:c>
      <x:c r="F218" s="23" t="n">
        <x:f>D218+E218</x:f>
        <x:v>-0.31047941549499614</x:v>
      </x:c>
      <x:c r="G218" s="23" t="n">
        <x:f>AVERAGE($F$325:$F$348)</x:f>
        <x:v>-1.7098851300581774</x:v>
      </x:c>
      <x:c r="H218" s="24" t="n">
        <x:f>F218-G218</x:f>
        <x:v>1.3994057145631813</x:v>
      </x:c>
    </x:row>
    <x:row r="219">
      <x:c r="A219" s="2" t="str">
        <x:v>LiDA-1</x:v>
      </x:c>
      <x:c r="B219" s="4" t="str">
        <x:v>NaCl</x:v>
      </x:c>
      <x:c r="C219" s="23" t="n">
        <x:v>0.4721237</x:v>
      </x:c>
      <x:c r="D219" s="23" t="n">
        <x:v>-2.979244</x:v>
      </x:c>
      <x:c r="E219" s="23" t="n">
        <x:f>'Parameters'!$B$2*'Parameters'!$B$3*LN(4*PI()*C219^2)</x:f>
        <x:v>2.5533151901646782</x:v>
      </x:c>
      <x:c r="F219" s="23" t="n">
        <x:f>D219+E219</x:f>
        <x:v>-0.4259288098353218</x:v>
      </x:c>
      <x:c r="G219" s="23" t="n">
        <x:f>AVERAGE($F$325:$F$348)</x:f>
        <x:v>-1.7098851300581774</x:v>
      </x:c>
      <x:c r="H219" s="24" t="n">
        <x:f>F219-G219</x:f>
        <x:v>1.2839563202228557</x:v>
      </x:c>
    </x:row>
    <x:row r="220">
      <x:c r="A220" s="2" t="str">
        <x:v>LiDA-1</x:v>
      </x:c>
      <x:c r="B220" s="4" t="str">
        <x:v>NaCl</x:v>
      </x:c>
      <x:c r="C220" s="23" t="n">
        <x:v>0.4848608</x:v>
      </x:c>
      <x:c r="D220" s="23" t="n">
        <x:v>-3.32091</x:v>
      </x:c>
      <x:c r="E220" s="23" t="n">
        <x:f>'Parameters'!$B$2*'Parameters'!$B$3*LN(4*PI()*C220^2)</x:f>
        <x:v>2.6852988878111685</x:v>
      </x:c>
      <x:c r="F220" s="23" t="n">
        <x:f>D220+E220</x:f>
        <x:v>-0.6356111121888315</x:v>
      </x:c>
      <x:c r="G220" s="23" t="n">
        <x:f>AVERAGE($F$325:$F$348)</x:f>
        <x:v>-1.7098851300581774</x:v>
      </x:c>
      <x:c r="H220" s="24" t="n">
        <x:f>F220-G220</x:f>
        <x:v>1.074274017869346</x:v>
      </x:c>
    </x:row>
    <x:row r="221">
      <x:c r="A221" s="2" t="str">
        <x:v>LiDA-1</x:v>
      </x:c>
      <x:c r="B221" s="4" t="str">
        <x:v>NaCl</x:v>
      </x:c>
      <x:c r="C221" s="23" t="n">
        <x:v>0.497598</x:v>
      </x:c>
      <x:c r="D221" s="23" t="n">
        <x:v>-3.394187</x:v>
      </x:c>
      <x:c r="E221" s="23" t="n">
        <x:f>'Parameters'!$B$2*'Parameters'!$B$3*LN(4*PI()*C221^2)</x:f>
        <x:v>2.8138609840917588</x:v>
      </x:c>
      <x:c r="F221" s="23" t="n">
        <x:f>D221+E221</x:f>
        <x:v>-0.5803260159082413</x:v>
      </x:c>
      <x:c r="G221" s="23" t="n">
        <x:f>AVERAGE($F$325:$F$348)</x:f>
        <x:v>-1.7098851300581774</x:v>
      </x:c>
      <x:c r="H221" s="24" t="n">
        <x:f>F221-G221</x:f>
        <x:v>1.1295591141499361</x:v>
      </x:c>
    </x:row>
    <x:row r="222">
      <x:c r="A222" s="2" t="str">
        <x:v>LiDA-1</x:v>
      </x:c>
      <x:c r="B222" s="4" t="str">
        <x:v>NaCl</x:v>
      </x:c>
      <x:c r="C222" s="23" t="n">
        <x:v>0.5103352</x:v>
      </x:c>
      <x:c r="D222" s="23" t="n">
        <x:v>-3.596296</x:v>
      </x:c>
      <x:c r="E222" s="23" t="n">
        <x:f>'Parameters'!$B$2*'Parameters'!$B$3*LN(4*PI()*C222^2)</x:f>
        <x:v>2.939173464721347</x:v>
      </x:c>
      <x:c r="F222" s="23" t="n">
        <x:f>D222+E222</x:f>
        <x:v>-0.6571225352786532</x:v>
      </x:c>
      <x:c r="G222" s="23" t="n">
        <x:f>AVERAGE($F$325:$F$348)</x:f>
        <x:v>-1.7098851300581774</x:v>
      </x:c>
      <x:c r="H222" s="24" t="n">
        <x:f>F222-G222</x:f>
        <x:v>1.0527625947795243</x:v>
      </x:c>
    </x:row>
    <x:row r="223">
      <x:c r="A223" s="2" t="str">
        <x:v>LiDA-1</x:v>
      </x:c>
      <x:c r="B223" s="4" t="str">
        <x:v>NaCl</x:v>
      </x:c>
      <x:c r="C223" s="23" t="n">
        <x:v>0.5230724</x:v>
      </x:c>
      <x:c r="D223" s="23" t="n">
        <x:v>-3.806209</x:v>
      </x:c>
      <x:c r="E223" s="23" t="n">
        <x:f>'Parameters'!$B$2*'Parameters'!$B$3*LN(4*PI()*C223^2)</x:f>
        <x:v>3.0613965663969203</x:v>
      </x:c>
      <x:c r="F223" s="23" t="n">
        <x:f>D223+E223</x:f>
        <x:v>-0.7448124336030797</x:v>
      </x:c>
      <x:c r="G223" s="23" t="n">
        <x:f>AVERAGE($F$325:$F$348)</x:f>
        <x:v>-1.7098851300581774</x:v>
      </x:c>
      <x:c r="H223" s="24" t="n">
        <x:f>F223-G223</x:f>
        <x:v>0.9650726964550977</x:v>
      </x:c>
    </x:row>
    <x:row r="224">
      <x:c r="A224" s="2" t="str">
        <x:v>LiDA-1</x:v>
      </x:c>
      <x:c r="B224" s="4" t="str">
        <x:v>NaCl</x:v>
      </x:c>
      <x:c r="C224" s="23" t="n">
        <x:v>0.5358096</x:v>
      </x:c>
      <x:c r="D224" s="23" t="n">
        <x:v>-3.88189</x:v>
      </x:c>
      <x:c r="E224" s="23" t="n">
        <x:f>'Parameters'!$B$2*'Parameters'!$B$3*LN(4*PI()*C224^2)</x:f>
        <x:v>3.1806789586584054</x:v>
      </x:c>
      <x:c r="F224" s="23" t="n">
        <x:f>D224+E224</x:f>
        <x:v>-0.7012110413415944</x:v>
      </x:c>
      <x:c r="G224" s="23" t="n">
        <x:f>AVERAGE($F$325:$F$348)</x:f>
        <x:v>-1.7098851300581774</x:v>
      </x:c>
      <x:c r="H224" s="24" t="n">
        <x:f>F224-G224</x:f>
        <x:v>1.008674088716583</x:v>
      </x:c>
    </x:row>
    <x:row r="225">
      <x:c r="A225" s="2" t="str">
        <x:v>LiDA-1</x:v>
      </x:c>
      <x:c r="B225" s="4" t="str">
        <x:v>NaCl</x:v>
      </x:c>
      <x:c r="C225" s="23" t="n">
        <x:v>0.5485467</x:v>
      </x:c>
      <x:c r="D225" s="23" t="n">
        <x:v>-3.878916</x:v>
      </x:c>
      <x:c r="E225" s="23" t="n">
        <x:f>'Parameters'!$B$2*'Parameters'!$B$3*LN(4*PI()*C225^2)</x:f>
        <x:v>3.2971579272966864</x:v>
      </x:c>
      <x:c r="F225" s="23" t="n">
        <x:f>D225+E225</x:f>
        <x:v>-0.5817580727033134</x:v>
      </x:c>
      <x:c r="G225" s="23" t="n">
        <x:f>AVERAGE($F$325:$F$348)</x:f>
        <x:v>-1.7098851300581774</x:v>
      </x:c>
      <x:c r="H225" s="24" t="n">
        <x:f>F225-G225</x:f>
        <x:v>1.128127057354864</x:v>
      </x:c>
    </x:row>
    <x:row r="226">
      <x:c r="A226" s="2" t="str">
        <x:v>LiDA-1</x:v>
      </x:c>
      <x:c r="B226" s="4" t="str">
        <x:v>NaCl</x:v>
      </x:c>
      <x:c r="C226" s="23" t="n">
        <x:v>0.5612839</x:v>
      </x:c>
      <x:c r="D226" s="23" t="n">
        <x:v>-3.830738</x:v>
      </x:c>
      <x:c r="E226" s="23" t="n">
        <x:f>'Parameters'!$B$2*'Parameters'!$B$3*LN(4*PI()*C226^2)</x:f>
        <x:v>3.4109639725938345</x:v>
      </x:c>
      <x:c r="F226" s="23" t="n">
        <x:f>D226+E226</x:f>
        <x:v>-0.41977402740616565</x:v>
      </x:c>
      <x:c r="G226" s="23" t="n">
        <x:f>AVERAGE($F$325:$F$348)</x:f>
        <x:v>-1.7098851300581774</x:v>
      </x:c>
      <x:c r="H226" s="24" t="n">
        <x:f>F226-G226</x:f>
        <x:v>1.2901111026520118</x:v>
      </x:c>
    </x:row>
    <x:row r="227">
      <x:c r="A227" s="2" t="str">
        <x:v>LiDA-1</x:v>
      </x:c>
      <x:c r="B227" s="4" t="str">
        <x:v>NaCl</x:v>
      </x:c>
      <x:c r="C227" s="23" t="n">
        <x:v>0.5740211</x:v>
      </x:c>
      <x:c r="D227" s="23" t="n">
        <x:v>-3.742574</x:v>
      </x:c>
      <x:c r="E227" s="23" t="n">
        <x:f>'Parameters'!$B$2*'Parameters'!$B$3*LN(4*PI()*C227^2)</x:f>
        <x:v>3.5222161783355648</x:v>
      </x:c>
      <x:c r="F227" s="23" t="n">
        <x:f>D227+E227</x:f>
        <x:v>-0.22035782166443507</x:v>
      </x:c>
      <x:c r="G227" s="23" t="n">
        <x:f>AVERAGE($F$325:$F$348)</x:f>
        <x:v>-1.7098851300581774</x:v>
      </x:c>
      <x:c r="H227" s="24" t="n">
        <x:f>F227-G227</x:f>
        <x:v>1.4895273083937424</x:v>
      </x:c>
    </x:row>
    <x:row r="228">
      <x:c r="A228" s="2" t="str">
        <x:v>LiDA-1</x:v>
      </x:c>
      <x:c r="B228" s="4" t="str">
        <x:v>NaCl</x:v>
      </x:c>
      <x:c r="C228" s="23" t="n">
        <x:v>0.5867583</x:v>
      </x:c>
      <x:c r="D228" s="23" t="n">
        <x:v>-3.831024</x:v>
      </x:c>
      <x:c r="E228" s="23" t="n">
        <x:f>'Parameters'!$B$2*'Parameters'!$B$3*LN(4*PI()*C228^2)</x:f>
        <x:v>3.6310266511687366</x:v>
      </x:c>
      <x:c r="F228" s="23" t="n">
        <x:f>D228+E228</x:f>
        <x:v>-0.19999734883126363</x:v>
      </x:c>
      <x:c r="G228" s="23" t="n">
        <x:f>AVERAGE($F$325:$F$348)</x:f>
        <x:v>-1.7098851300581774</x:v>
      </x:c>
      <x:c r="H228" s="24" t="n">
        <x:f>F228-G228</x:f>
        <x:v>1.5098877812269138</x:v>
      </x:c>
    </x:row>
    <x:row r="229">
      <x:c r="A229" s="2" t="str">
        <x:v>LiDA-1</x:v>
      </x:c>
      <x:c r="B229" s="4" t="str">
        <x:v>NaCl</x:v>
      </x:c>
      <x:c r="C229" s="23" t="n">
        <x:v>0.5994955</x:v>
      </x:c>
      <x:c r="D229" s="23" t="n">
        <x:v>-3.812709</x:v>
      </x:c>
      <x:c r="E229" s="23" t="n">
        <x:f>'Parameters'!$B$2*'Parameters'!$B$3*LN(4*PI()*C229^2)</x:f>
        <x:v>3.737500274234973</x:v>
      </x:c>
      <x:c r="F229" s="23" t="n">
        <x:f>D229+E229</x:f>
        <x:v>-0.07520872576502668</x:v>
      </x:c>
      <x:c r="G229" s="23" t="n">
        <x:f>AVERAGE($F$325:$F$348)</x:f>
        <x:v>-1.7098851300581774</x:v>
      </x:c>
      <x:c r="H229" s="24" t="n">
        <x:f>F229-G229</x:f>
        <x:v>1.6346764042931508</x:v>
      </x:c>
    </x:row>
    <x:row r="230">
      <x:c r="A230" s="2" t="str">
        <x:v>LiDA-1</x:v>
      </x:c>
      <x:c r="B230" s="4" t="str">
        <x:v>NaCl</x:v>
      </x:c>
      <x:c r="C230" s="23" t="n">
        <x:v>0.6122326</x:v>
      </x:c>
      <x:c r="D230" s="23" t="n">
        <x:v>-3.93947</x:v>
      </x:c>
      <x:c r="E230" s="23" t="n">
        <x:f>'Parameters'!$B$2*'Parameters'!$B$3*LN(4*PI()*C230^2)</x:f>
        <x:v>3.841734504923411</x:v>
      </x:c>
      <x:c r="F230" s="23" t="n">
        <x:f>D230+E230</x:f>
        <x:v>-0.09773549507658919</x:v>
      </x:c>
      <x:c r="G230" s="23" t="n">
        <x:f>AVERAGE($F$325:$F$348)</x:f>
        <x:v>-1.7098851300581774</x:v>
      </x:c>
      <x:c r="H230" s="24" t="n">
        <x:f>F230-G230</x:f>
        <x:v>1.6121496349815883</x:v>
      </x:c>
    </x:row>
    <x:row r="231">
      <x:c r="A231" s="2" t="str">
        <x:v>LiDA-1</x:v>
      </x:c>
      <x:c r="B231" s="4" t="str">
        <x:v>NaCl</x:v>
      </x:c>
      <x:c r="C231" s="23" t="n">
        <x:v>0.6249698</x:v>
      </x:c>
      <x:c r="D231" s="23" t="n">
        <x:v>-4.17217</x:v>
      </x:c>
      <x:c r="E231" s="23" t="n">
        <x:f>'Parameters'!$B$2*'Parameters'!$B$3*LN(4*PI()*C231^2)</x:f>
        <x:v>3.943823175608462</x:v>
      </x:c>
      <x:c r="F231" s="23" t="n">
        <x:f>D231+E231</x:f>
        <x:v>-0.2283468243915383</x:v>
      </x:c>
      <x:c r="G231" s="23" t="n">
        <x:f>AVERAGE($F$325:$F$348)</x:f>
        <x:v>-1.7098851300581774</x:v>
      </x:c>
      <x:c r="H231" s="24" t="n">
        <x:f>F231-G231</x:f>
        <x:v>1.4815383056666391</x:v>
      </x:c>
    </x:row>
    <x:row r="232">
      <x:c r="A232" s="2" t="str">
        <x:v>LiDA-1</x:v>
      </x:c>
      <x:c r="B232" s="4" t="str">
        <x:v>NaCl</x:v>
      </x:c>
      <x:c r="C232" s="23" t="n">
        <x:v>0.637707</x:v>
      </x:c>
      <x:c r="D232" s="23" t="n">
        <x:v>-4.659907</x:v>
      </x:c>
      <x:c r="E232" s="23" t="n">
        <x:f>'Parameters'!$B$2*'Parameters'!$B$3*LN(4*PI()*C232^2)</x:f>
        <x:v>4.043852074634491</x:v>
      </x:c>
      <x:c r="F232" s="23" t="n">
        <x:f>D232+E232</x:f>
        <x:v>-0.6160549253655088</x:v>
      </x:c>
      <x:c r="G232" s="23" t="n">
        <x:f>AVERAGE($F$325:$F$348)</x:f>
        <x:v>-1.7098851300581774</x:v>
      </x:c>
      <x:c r="H232" s="24" t="n">
        <x:f>F232-G232</x:f>
        <x:v>1.0938302046926687</x:v>
      </x:c>
    </x:row>
    <x:row r="233">
      <x:c r="A233" s="2" t="str">
        <x:v>LiDA-1</x:v>
      </x:c>
      <x:c r="B233" s="4" t="str">
        <x:v>NaCl</x:v>
      </x:c>
      <x:c r="C233" s="23" t="n">
        <x:v>0.6504442</x:v>
      </x:c>
      <x:c r="D233" s="23" t="n">
        <x:v>-5.172877</x:v>
      </x:c>
      <x:c r="E233" s="23" t="n">
        <x:f>'Parameters'!$B$2*'Parameters'!$B$3*LN(4*PI()*C233^2)</x:f>
        <x:v>4.141902677969276</x:v>
      </x:c>
      <x:c r="F233" s="23" t="n">
        <x:f>D233+E233</x:f>
        <x:v>-1.0309743220307235</x:v>
      </x:c>
      <x:c r="G233" s="23" t="n">
        <x:f>AVERAGE($F$325:$F$348)</x:f>
        <x:v>-1.7098851300581774</x:v>
      </x:c>
      <x:c r="H233" s="24" t="n">
        <x:f>F233-G233</x:f>
        <x:v>0.678910808027454</x:v>
      </x:c>
    </x:row>
    <x:row r="234">
      <x:c r="A234" s="2" t="str">
        <x:v>LiDA-1</x:v>
      </x:c>
      <x:c r="B234" s="4" t="str">
        <x:v>NaCl</x:v>
      </x:c>
      <x:c r="C234" s="23" t="n">
        <x:v>0.6631814</x:v>
      </x:c>
      <x:c r="D234" s="23" t="n">
        <x:v>-5.522961</x:v>
      </x:c>
      <x:c r="E234" s="23" t="n">
        <x:f>'Parameters'!$B$2*'Parameters'!$B$3*LN(4*PI()*C234^2)</x:f>
        <x:v>4.238051720915832</x:v>
      </x:c>
      <x:c r="F234" s="23" t="n">
        <x:f>D234+E234</x:f>
        <x:v>-1.2849092790841672</x:v>
      </x:c>
      <x:c r="G234" s="23" t="n">
        <x:f>AVERAGE($F$325:$F$348)</x:f>
        <x:v>-1.7098851300581774</x:v>
      </x:c>
      <x:c r="H234" s="24" t="n">
        <x:f>F234-G234</x:f>
        <x:v>0.42497585097401025</x:v>
      </x:c>
    </x:row>
    <x:row r="235">
      <x:c r="A235" s="2" t="str">
        <x:v>LiDA-1</x:v>
      </x:c>
      <x:c r="B235" s="4" t="str">
        <x:v>NaCl</x:v>
      </x:c>
      <x:c r="C235" s="23" t="n">
        <x:v>0.6759185</x:v>
      </x:c>
      <x:c r="D235" s="23" t="n">
        <x:v>-5.875549</x:v>
      </x:c>
      <x:c r="E235" s="23" t="n">
        <x:f>'Parameters'!$B$2*'Parameters'!$B$3*LN(4*PI()*C235^2)</x:f>
        <x:v>4.33237082539798</x:v>
      </x:c>
      <x:c r="F235" s="23" t="n">
        <x:f>D235+E235</x:f>
        <x:v>-1.5431781746020201</x:v>
      </x:c>
      <x:c r="G235" s="23" t="n">
        <x:f>AVERAGE($F$325:$F$348)</x:f>
        <x:v>-1.7098851300581774</x:v>
      </x:c>
      <x:c r="H235" s="24" t="n">
        <x:f>F235-G235</x:f>
        <x:v>0.16670695545615732</x:v>
      </x:c>
    </x:row>
    <x:row r="236">
      <x:c r="A236" s="2" t="str">
        <x:v>LiDA-1</x:v>
      </x:c>
      <x:c r="B236" s="4" t="str">
        <x:v>NaCl</x:v>
      </x:c>
      <x:c r="C236" s="23" t="n">
        <x:v>0.6886557</x:v>
      </x:c>
      <x:c r="D236" s="23" t="n">
        <x:v>-6.10811</x:v>
      </x:c>
      <x:c r="E236" s="23" t="n">
        <x:f>'Parameters'!$B$2*'Parameters'!$B$3*LN(4*PI()*C236^2)</x:f>
        <x:v>4.424929774667471</x:v>
      </x:c>
      <x:c r="F236" s="23" t="n">
        <x:f>D236+E236</x:f>
        <x:v>-1.6831802253325288</x:v>
      </x:c>
      <x:c r="G236" s="23" t="n">
        <x:f>AVERAGE($F$325:$F$348)</x:f>
        <x:v>-1.7098851300581774</x:v>
      </x:c>
      <x:c r="H236" s="24" t="n">
        <x:f>F236-G236</x:f>
        <x:v>0.02670490472564868</x:v>
      </x:c>
    </x:row>
    <x:row r="237">
      <x:c r="A237" s="2" t="str">
        <x:v>LiDA-1</x:v>
      </x:c>
      <x:c r="B237" s="4" t="str">
        <x:v>NaCl</x:v>
      </x:c>
      <x:c r="C237" s="23" t="n">
        <x:v>0.7013929</x:v>
      </x:c>
      <x:c r="D237" s="23" t="n">
        <x:v>-6.414286</x:v>
      </x:c>
      <x:c r="E237" s="23" t="n">
        <x:f>'Parameters'!$B$2*'Parameters'!$B$3*LN(4*PI()*C237^2)</x:f>
        <x:v>4.515792368196331</x:v>
      </x:c>
      <x:c r="F237" s="23" t="n">
        <x:f>D237+E237</x:f>
        <x:v>-1.8984936318036691</x:v>
      </x:c>
      <x:c r="G237" s="23" t="n">
        <x:f>AVERAGE($F$325:$F$348)</x:f>
        <x:v>-1.7098851300581774</x:v>
      </x:c>
      <x:c r="H237" s="24" t="n">
        <x:f>F237-G237</x:f>
        <x:v>-0.1886085017454917</x:v>
      </x:c>
    </x:row>
    <x:row r="238">
      <x:c r="A238" s="2" t="str">
        <x:v>LiDA-1</x:v>
      </x:c>
      <x:c r="B238" s="4" t="str">
        <x:v>NaCl</x:v>
      </x:c>
      <x:c r="C238" s="23" t="n">
        <x:v>0.7141301</x:v>
      </x:c>
      <x:c r="D238" s="23" t="n">
        <x:v>-6.512209</x:v>
      </x:c>
      <x:c r="E238" s="23" t="n">
        <x:f>'Parameters'!$B$2*'Parameters'!$B$3*LN(4*PI()*C238^2)</x:f>
        <x:v>4.60501966780951</x:v>
      </x:c>
      <x:c r="F238" s="23" t="n">
        <x:f>D238+E238</x:f>
        <x:v>-1.90718933219049</x:v>
      </x:c>
      <x:c r="G238" s="23" t="n">
        <x:f>AVERAGE($F$325:$F$348)</x:f>
        <x:v>-1.7098851300581774</x:v>
      </x:c>
      <x:c r="H238" s="24" t="n">
        <x:f>F238-G238</x:f>
        <x:v>-0.1973042021323126</x:v>
      </x:c>
    </x:row>
    <x:row r="239">
      <x:c r="A239" s="2" t="str">
        <x:v>LiDA-1</x:v>
      </x:c>
      <x:c r="B239" s="4" t="str">
        <x:v>NaCl</x:v>
      </x:c>
      <x:c r="C239" s="23" t="n">
        <x:v>0.7268673</x:v>
      </x:c>
      <x:c r="D239" s="23" t="n">
        <x:v>-6.679734</x:v>
      </x:c>
      <x:c r="E239" s="23" t="n">
        <x:f>'Parameters'!$B$2*'Parameters'!$B$3*LN(4*PI()*C239^2)</x:f>
        <x:v>4.692669496575473</x:v>
      </x:c>
      <x:c r="F239" s="23" t="n">
        <x:f>D239+E239</x:f>
        <x:v>-1.9870645034245271</x:v>
      </x:c>
      <x:c r="G239" s="23" t="n">
        <x:f>AVERAGE($F$325:$F$348)</x:f>
        <x:v>-1.7098851300581774</x:v>
      </x:c>
      <x:c r="H239" s="24" t="n">
        <x:f>F239-G239</x:f>
        <x:v>-0.2771793733663497</x:v>
      </x:c>
    </x:row>
    <x:row r="240">
      <x:c r="A240" s="2" t="str">
        <x:v>LiDA-1</x:v>
      </x:c>
      <x:c r="B240" s="4" t="str">
        <x:v>NaCl</x:v>
      </x:c>
      <x:c r="C240" s="23" t="n">
        <x:v>0.7396044</x:v>
      </x:c>
      <x:c r="D240" s="23" t="n">
        <x:v>-6.675029</x:v>
      </x:c>
      <x:c r="E240" s="23" t="n">
        <x:f>'Parameters'!$B$2*'Parameters'!$B$3*LN(4*PI()*C240^2)</x:f>
        <x:v>4.7787959935333895</x:v>
      </x:c>
      <x:c r="F240" s="23" t="n">
        <x:f>D240+E240</x:f>
        <x:v>-1.8962330064666109</x:v>
      </x:c>
      <x:c r="G240" s="23" t="n">
        <x:f>AVERAGE($F$325:$F$348)</x:f>
        <x:v>-1.7098851300581774</x:v>
      </x:c>
      <x:c r="H240" s="24" t="n">
        <x:f>F240-G240</x:f>
        <x:v>-0.18634787640843342</x:v>
      </x:c>
    </x:row>
    <x:row r="241">
      <x:c r="A241" s="2" t="str">
        <x:v>LiDA-1</x:v>
      </x:c>
      <x:c r="B241" s="4" t="str">
        <x:v>NaCl</x:v>
      </x:c>
      <x:c r="C241" s="23" t="n">
        <x:v>0.7523416</x:v>
      </x:c>
      <x:c r="D241" s="23" t="n">
        <x:v>-6.691638</x:v>
      </x:c>
      <x:c r="E241" s="23" t="n">
        <x:f>'Parameters'!$B$2*'Parameters'!$B$3*LN(4*PI()*C241^2)</x:f>
        <x:v>4.863452512284704</x:v>
      </x:c>
      <x:c r="F241" s="23" t="n">
        <x:f>D241+E241</x:f>
        <x:v>-1.828185487715296</x:v>
      </x:c>
      <x:c r="G241" s="23" t="n">
        <x:f>AVERAGE($F$325:$F$348)</x:f>
        <x:v>-1.7098851300581774</x:v>
      </x:c>
      <x:c r="H241" s="24" t="n">
        <x:f>F241-G241</x:f>
        <x:v>-0.11830035765711866</x:v>
      </x:c>
    </x:row>
    <x:row r="242">
      <x:c r="A242" s="2" t="str">
        <x:v>LiDA-1</x:v>
      </x:c>
      <x:c r="B242" s="4" t="str">
        <x:v>NaCl</x:v>
      </x:c>
      <x:c r="C242" s="23" t="n">
        <x:v>0.7650788</x:v>
      </x:c>
      <x:c r="D242" s="23" t="n">
        <x:v>-6.761891</x:v>
      </x:c>
      <x:c r="E242" s="23" t="n">
        <x:f>'Parameters'!$B$2*'Parameters'!$B$3*LN(4*PI()*C242^2)</x:f>
        <x:v>4.946687753061663</x:v>
      </x:c>
      <x:c r="F242" s="23" t="n">
        <x:f>D242+E242</x:f>
        <x:v>-1.8152032469383377</x:v>
      </x:c>
      <x:c r="G242" s="23" t="n">
        <x:f>AVERAGE($F$325:$F$348)</x:f>
        <x:v>-1.7098851300581774</x:v>
      </x:c>
      <x:c r="H242" s="24" t="n">
        <x:f>F242-G242</x:f>
        <x:v>-0.10531811688016024</x:v>
      </x:c>
    </x:row>
    <x:row r="243">
      <x:c r="A243" s="2" t="str">
        <x:v>LiDA-1</x:v>
      </x:c>
      <x:c r="B243" s="4" t="str">
        <x:v>NaCl</x:v>
      </x:c>
      <x:c r="C243" s="23" t="n">
        <x:v>0.777816</x:v>
      </x:c>
      <x:c r="D243" s="23" t="n">
        <x:v>-6.806788</x:v>
      </x:c>
      <x:c r="E243" s="23" t="n">
        <x:f>'Parameters'!$B$2*'Parameters'!$B$3*LN(4*PI()*C243^2)</x:f>
        <x:v>5.028548651939502</x:v>
      </x:c>
      <x:c r="F243" s="23" t="n">
        <x:f>D243+E243</x:f>
        <x:v>-1.7782393480604979</x:v>
      </x:c>
      <x:c r="G243" s="23" t="n">
        <x:f>AVERAGE($F$325:$F$348)</x:f>
        <x:v>-1.7098851300581774</x:v>
      </x:c>
      <x:c r="H243" s="24" t="n">
        <x:f>F243-G243</x:f>
        <x:v>-0.06835421800232044</x:v>
      </x:c>
    </x:row>
    <x:row r="244">
      <x:c r="A244" s="2" t="str">
        <x:v>LiDA-1</x:v>
      </x:c>
      <x:c r="B244" s="4" t="str">
        <x:v>NaCl</x:v>
      </x:c>
      <x:c r="C244" s="23" t="n">
        <x:v>0.7905532</x:v>
      </x:c>
      <x:c r="D244" s="23" t="n">
        <x:v>-6.862013</x:v>
      </x:c>
      <x:c r="E244" s="23" t="n">
        <x:f>'Parameters'!$B$2*'Parameters'!$B$3*LN(4*PI()*C244^2)</x:f>
        <x:v>5.109079857694955</x:v>
      </x:c>
      <x:c r="F244" s="23" t="n">
        <x:f>D244+E244</x:f>
        <x:v>-1.7529331423050447</x:v>
      </x:c>
      <x:c r="G244" s="23" t="n">
        <x:f>AVERAGE($F$325:$F$348)</x:f>
        <x:v>-1.7098851300581774</x:v>
      </x:c>
      <x:c r="H244" s="24" t="n">
        <x:f>F244-G244</x:f>
        <x:v>-0.04304801224686727</x:v>
      </x:c>
    </x:row>
    <x:row r="245">
      <x:c r="A245" s="2" t="str">
        <x:v>LiDA-1</x:v>
      </x:c>
      <x:c r="B245" s="4" t="str">
        <x:v>NaCl</x:v>
      </x:c>
      <x:c r="C245" s="23" t="n">
        <x:v>0.8032903</x:v>
      </x:c>
      <x:c r="D245" s="23" t="n">
        <x:v>-6.954482</x:v>
      </x:c>
      <x:c r="E245" s="23" t="n">
        <x:f>'Parameters'!$B$2*'Parameters'!$B$3*LN(4*PI()*C245^2)</x:f>
        <x:v>5.188323260853151</x:v>
      </x:c>
      <x:c r="F245" s="23" t="n">
        <x:f>D245+E245</x:f>
        <x:v>-1.7661587391468485</x:v>
      </x:c>
      <x:c r="G245" s="23" t="n">
        <x:f>AVERAGE($F$325:$F$348)</x:f>
        <x:v>-1.7098851300581774</x:v>
      </x:c>
      <x:c r="H245" s="24" t="n">
        <x:f>F245-G245</x:f>
        <x:v>-0.05627360908867107</x:v>
      </x:c>
    </x:row>
    <x:row r="246">
      <x:c r="A246" s="2" t="str">
        <x:v>LiDA-1</x:v>
      </x:c>
      <x:c r="B246" s="4" t="str">
        <x:v>NaCl</x:v>
      </x:c>
      <x:c r="C246" s="23" t="n">
        <x:v>0.8160275</x:v>
      </x:c>
      <x:c r="D246" s="23" t="n">
        <x:v>-7.026516</x:v>
      </x:c>
      <x:c r="E246" s="23" t="n">
        <x:f>'Parameters'!$B$2*'Parameters'!$B$3*LN(4*PI()*C246^2)</x:f>
        <x:v>5.266320606867001</x:v>
      </x:c>
      <x:c r="F246" s="23" t="n">
        <x:f>D246+E246</x:f>
        <x:v>-1.7601953931329986</x:v>
      </x:c>
      <x:c r="G246" s="23" t="n">
        <x:f>AVERAGE($F$325:$F$348)</x:f>
        <x:v>-1.7098851300581774</x:v>
      </x:c>
      <x:c r="H246" s="24" t="n">
        <x:f>F246-G246</x:f>
        <x:v>-0.050310263074821115</x:v>
      </x:c>
    </x:row>
    <x:row r="247">
      <x:c r="A247" s="2" t="str">
        <x:v>LiDA-1</x:v>
      </x:c>
      <x:c r="B247" s="4" t="str">
        <x:v>NaCl</x:v>
      </x:c>
      <x:c r="C247" s="23" t="n">
        <x:v>0.8287647</x:v>
      </x:c>
      <x:c r="D247" s="23" t="n">
        <x:v>-7.019311</x:v>
      </x:c>
      <x:c r="E247" s="23" t="n">
        <x:f>'Parameters'!$B$2*'Parameters'!$B$3*LN(4*PI()*C247^2)</x:f>
        <x:v>5.343109888022258</x:v>
      </x:c>
      <x:c r="F247" s="23" t="n">
        <x:f>D247+E247</x:f>
        <x:v>-1.6762011119777425</x:v>
      </x:c>
      <x:c r="G247" s="23" t="n">
        <x:f>AVERAGE($F$325:$F$348)</x:f>
        <x:v>-1.7098851300581774</x:v>
      </x:c>
      <x:c r="H247" s="24" t="n">
        <x:f>F247-G247</x:f>
        <x:v>0.033684018080434974</x:v>
      </x:c>
    </x:row>
    <x:row r="248">
      <x:c r="A248" s="2" t="str">
        <x:v>LiDA-1</x:v>
      </x:c>
      <x:c r="B248" s="4" t="str">
        <x:v>NaCl</x:v>
      </x:c>
      <x:c r="C248" s="23" t="n">
        <x:v>0.8415019</x:v>
      </x:c>
      <x:c r="D248" s="23" t="n">
        <x:v>-7.403674</x:v>
      </x:c>
      <x:c r="E248" s="23" t="n">
        <x:f>'Parameters'!$B$2*'Parameters'!$B$3*LN(4*PI()*C248^2)</x:f>
        <x:v>5.418727956573772</x:v>
      </x:c>
      <x:c r="F248" s="23" t="n">
        <x:f>D248+E248</x:f>
        <x:v>-1.9849460434262278</x:v>
      </x:c>
      <x:c r="G248" s="23" t="n">
        <x:f>AVERAGE($F$325:$F$348)</x:f>
        <x:v>-1.7098851300581774</x:v>
      </x:c>
      <x:c r="H248" s="24" t="n">
        <x:f>F248-G248</x:f>
        <x:v>-0.2750609133680504</x:v>
      </x:c>
    </x:row>
    <x:row r="249">
      <x:c r="A249" s="2" t="str">
        <x:v>LiDA-1</x:v>
      </x:c>
      <x:c r="B249" s="4" t="str">
        <x:v>NaCl</x:v>
      </x:c>
      <x:c r="C249" s="23" t="n">
        <x:v>0.8542391</x:v>
      </x:c>
      <x:c r="D249" s="23" t="n">
        <x:v>-7.712893</x:v>
      </x:c>
      <x:c r="E249" s="23" t="n">
        <x:f>'Parameters'!$B$2*'Parameters'!$B$3*LN(4*PI()*C249^2)</x:f>
        <x:v>5.493210003801014</x:v>
      </x:c>
      <x:c r="F249" s="23" t="n">
        <x:f>D249+E249</x:f>
        <x:v>-2.219682996198986</x:v>
      </x:c>
      <x:c r="G249" s="23" t="n">
        <x:f>AVERAGE($F$325:$F$348)</x:f>
        <x:v>-1.7098851300581774</x:v>
      </x:c>
      <x:c r="H249" s="24" t="n">
        <x:f>F249-G249</x:f>
        <x:v>-0.5097978661408087</x:v>
      </x:c>
    </x:row>
    <x:row r="250">
      <x:c r="A250" s="2" t="str">
        <x:v>LiDA-1</x:v>
      </x:c>
      <x:c r="B250" s="4" t="str">
        <x:v>NaCl</x:v>
      </x:c>
      <x:c r="C250" s="23" t="n">
        <x:v>0.8669762</x:v>
      </x:c>
      <x:c r="D250" s="23" t="n">
        <x:v>-7.83734</x:v>
      </x:c>
      <x:c r="E250" s="23" t="n">
        <x:f>'Parameters'!$B$2*'Parameters'!$B$3*LN(4*PI()*C250^2)</x:f>
        <x:v>5.566589086485916</x:v>
      </x:c>
      <x:c r="F250" s="23" t="n">
        <x:f>D250+E250</x:f>
        <x:v>-2.2707509135140844</x:v>
      </x:c>
      <x:c r="G250" s="23" t="n">
        <x:f>AVERAGE($F$325:$F$348)</x:f>
        <x:v>-1.7098851300581774</x:v>
      </x:c>
      <x:c r="H250" s="24" t="n">
        <x:f>F250-G250</x:f>
        <x:v>-0.560865783455907</x:v>
      </x:c>
    </x:row>
    <x:row r="251">
      <x:c r="A251" s="2" t="str">
        <x:v>LiDA-1</x:v>
      </x:c>
      <x:c r="B251" s="4" t="str">
        <x:v>NaCl</x:v>
      </x:c>
      <x:c r="C251" s="23" t="n">
        <x:v>0.8797134</x:v>
      </x:c>
      <x:c r="D251" s="23" t="n">
        <x:v>-7.925923</x:v>
      </x:c>
      <x:c r="E251" s="23" t="n">
        <x:f>'Parameters'!$B$2*'Parameters'!$B$3*LN(4*PI()*C251^2)</x:f>
        <x:v>5.638898513812297</x:v>
      </x:c>
      <x:c r="F251" s="23" t="n">
        <x:f>D251+E251</x:f>
        <x:v>-2.287024486187703</x:v>
      </x:c>
      <x:c r="G251" s="23" t="n">
        <x:f>AVERAGE($F$325:$F$348)</x:f>
        <x:v>-1.7098851300581774</x:v>
      </x:c>
      <x:c r="H251" s="24" t="n">
        <x:f>F251-G251</x:f>
        <x:v>-0.5771393561295257</x:v>
      </x:c>
    </x:row>
    <x:row r="252">
      <x:c r="A252" s="2" t="str">
        <x:v>LiDA-1</x:v>
      </x:c>
      <x:c r="B252" s="4" t="str">
        <x:v>NaCl</x:v>
      </x:c>
      <x:c r="C252" s="23" t="n">
        <x:v>0.8924506</x:v>
      </x:c>
      <x:c r="D252" s="23" t="n">
        <x:v>-8.11557</x:v>
      </x:c>
      <x:c r="E252" s="23" t="n">
        <x:f>'Parameters'!$B$2*'Parameters'!$B$3*LN(4*PI()*C252^2)</x:f>
        <x:v>5.710168475728753</x:v>
      </x:c>
      <x:c r="F252" s="23" t="n">
        <x:f>D252+E252</x:f>
        <x:v>-2.405401524271247</x:v>
      </x:c>
      <x:c r="G252" s="23" t="n">
        <x:f>AVERAGE($F$325:$F$348)</x:f>
        <x:v>-1.7098851300581774</x:v>
      </x:c>
      <x:c r="H252" s="24" t="n">
        <x:f>F252-G252</x:f>
        <x:v>-0.6955163942130698</x:v>
      </x:c>
    </x:row>
    <x:row r="253">
      <x:c r="A253" s="2" t="str">
        <x:v>LiDA-1</x:v>
      </x:c>
      <x:c r="B253" s="4" t="str">
        <x:v>NaCl</x:v>
      </x:c>
      <x:c r="C253" s="23" t="n">
        <x:v>0.9051878</x:v>
      </x:c>
      <x:c r="D253" s="23" t="n">
        <x:v>-8.177033</x:v>
      </x:c>
      <x:c r="E253" s="23" t="n">
        <x:f>'Parameters'!$B$2*'Parameters'!$B$3*LN(4*PI()*C253^2)</x:f>
        <x:v>5.78042843434113</x:v>
      </x:c>
      <x:c r="F253" s="23" t="n">
        <x:f>D253+E253</x:f>
        <x:v>-2.39660456565887</x:v>
      </x:c>
      <x:c r="G253" s="23" t="n">
        <x:f>AVERAGE($F$325:$F$348)</x:f>
        <x:v>-1.7098851300581774</x:v>
      </x:c>
      <x:c r="H253" s="24" t="n">
        <x:f>F253-G253</x:f>
        <x:v>-0.6867194356006925</x:v>
      </x:c>
    </x:row>
    <x:row r="254">
      <x:c r="A254" s="2" t="str">
        <x:v>LiDA-1</x:v>
      </x:c>
      <x:c r="B254" s="4" t="str">
        <x:v>NaCl</x:v>
      </x:c>
      <x:c r="C254" s="23" t="n">
        <x:v>0.917925</x:v>
      </x:c>
      <x:c r="D254" s="23" t="n">
        <x:v>-8.053329</x:v>
      </x:c>
      <x:c r="E254" s="23" t="n">
        <x:f>'Parameters'!$B$2*'Parameters'!$B$3*LN(4*PI()*C254^2)</x:f>
        <x:v>5.849706616648962</x:v>
      </x:c>
      <x:c r="F254" s="23" t="n">
        <x:f>D254+E254</x:f>
        <x:v>-2.2036223833510373</x:v>
      </x:c>
      <x:c r="G254" s="23" t="n">
        <x:f>AVERAGE($F$325:$F$348)</x:f>
        <x:v>-1.7098851300581774</x:v>
      </x:c>
      <x:c r="H254" s="24" t="n">
        <x:f>F254-G254</x:f>
        <x:v>-0.4937372532928599</x:v>
      </x:c>
    </x:row>
    <x:row r="255">
      <x:c r="A255" s="2" t="str">
        <x:v>LiDA-1</x:v>
      </x:c>
      <x:c r="B255" s="4" t="str">
        <x:v>NaCl</x:v>
      </x:c>
      <x:c r="C255" s="23" t="n">
        <x:v>0.9306621</x:v>
      </x:c>
      <x:c r="D255" s="23" t="n">
        <x:v>-8.200542</x:v>
      </x:c>
      <x:c r="E255" s="23" t="n">
        <x:f>'Parameters'!$B$2*'Parameters'!$B$3*LN(4*PI()*C255^2)</x:f>
        <x:v>5.918029549902656</x:v>
      </x:c>
      <x:c r="F255" s="23" t="n">
        <x:f>D255+E255</x:f>
        <x:v>-2.282512450097345</x:v>
      </x:c>
      <x:c r="G255" s="23" t="n">
        <x:f>AVERAGE($F$325:$F$348)</x:f>
        <x:v>-1.7098851300581774</x:v>
      </x:c>
      <x:c r="H255" s="24" t="n">
        <x:f>F255-G255</x:f>
        <x:v>-0.5726273200391674</x:v>
      </x:c>
    </x:row>
    <x:row r="256">
      <x:c r="A256" s="2" t="str">
        <x:v>LiDA-1</x:v>
      </x:c>
      <x:c r="B256" s="4" t="str">
        <x:v>NaCl</x:v>
      </x:c>
      <x:c r="C256" s="23" t="n">
        <x:v>0.9433993</x:v>
      </x:c>
      <x:c r="D256" s="23" t="n">
        <x:v>-8.067551</x:v>
      </x:c>
      <x:c r="E256" s="23" t="n">
        <x:f>'Parameters'!$B$2*'Parameters'!$B$3*LN(4*PI()*C256^2)</x:f>
        <x:v>5.985424263173936</x:v>
      </x:c>
      <x:c r="F256" s="23" t="n">
        <x:f>D256+E256</x:f>
        <x:v>-2.082126736826064</x:v>
      </x:c>
      <x:c r="G256" s="23" t="n">
        <x:f>AVERAGE($F$325:$F$348)</x:f>
        <x:v>-1.7098851300581774</x:v>
      </x:c>
      <x:c r="H256" s="24" t="n">
        <x:f>F256-G256</x:f>
        <x:v>-0.3722416067678864</x:v>
      </x:c>
    </x:row>
    <x:row r="257">
      <x:c r="A257" s="2" t="str">
        <x:v>LiDA-1</x:v>
      </x:c>
      <x:c r="B257" s="4" t="str">
        <x:v>NaCl</x:v>
      </x:c>
      <x:c r="C257" s="23" t="n">
        <x:v>0.9561365</x:v>
      </x:c>
      <x:c r="D257" s="23" t="n">
        <x:v>-7.99133</x:v>
      </x:c>
      <x:c r="E257" s="23" t="n">
        <x:f>'Parameters'!$B$2*'Parameters'!$B$3*LN(4*PI()*C257^2)</x:f>
        <x:v>6.051915128411324</x:v>
      </x:c>
      <x:c r="F257" s="23" t="n">
        <x:f>D257+E257</x:f>
        <x:v>-1.9394148715886752</x:v>
      </x:c>
      <x:c r="G257" s="23" t="n">
        <x:f>AVERAGE($F$325:$F$348)</x:f>
        <x:v>-1.7098851300581774</x:v>
      </x:c>
      <x:c r="H257" s="24" t="n">
        <x:f>F257-G257</x:f>
        <x:v>-0.22952974153049777</x:v>
      </x:c>
    </x:row>
    <x:row r="258">
      <x:c r="A258" s="2" t="str">
        <x:v>LiDA-1</x:v>
      </x:c>
      <x:c r="B258" s="4" t="str">
        <x:v>NaCl</x:v>
      </x:c>
      <x:c r="C258" s="23" t="n">
        <x:v>0.9688737</x:v>
      </x:c>
      <x:c r="D258" s="23" t="n">
        <x:v>-8.054508</x:v>
      </x:c>
      <x:c r="E258" s="23" t="n">
        <x:f>'Parameters'!$B$2*'Parameters'!$B$3*LN(4*PI()*C258^2)</x:f>
        <x:v>6.1175260686133495</x:v>
      </x:c>
      <x:c r="F258" s="23" t="n">
        <x:f>D258+E258</x:f>
        <x:v>-1.9369819313866508</x:v>
      </x:c>
      <x:c r="G258" s="23" t="n">
        <x:f>AVERAGE($F$325:$F$348)</x:f>
        <x:v>-1.7098851300581774</x:v>
      </x:c>
      <x:c r="H258" s="24" t="n">
        <x:f>F258-G258</x:f>
        <x:v>-0.22709680132847332</x:v>
      </x:c>
    </x:row>
    <x:row r="259">
      <x:c r="A259" s="2" t="str">
        <x:v>LiDA-1</x:v>
      </x:c>
      <x:c r="B259" s="4" t="str">
        <x:v>NaCl</x:v>
      </x:c>
      <x:c r="C259" s="23" t="n">
        <x:v>0.9816109</x:v>
      </x:c>
      <x:c r="D259" s="23" t="n">
        <x:v>-7.909399</x:v>
      </x:c>
      <x:c r="E259" s="23" t="n">
        <x:f>'Parameters'!$B$2*'Parameters'!$B$3*LN(4*PI()*C259^2)</x:f>
        <x:v>6.1822800693816635</x:v>
      </x:c>
      <x:c r="F259" s="23" t="n">
        <x:f>D259+E259</x:f>
        <x:v>-1.727118930618336</x:v>
      </x:c>
      <x:c r="G259" s="23" t="n">
        <x:f>AVERAGE($F$325:$F$348)</x:f>
        <x:v>-1.7098851300581774</x:v>
      </x:c>
      <x:c r="H259" s="24" t="n">
        <x:f>F259-G259</x:f>
        <x:v>-0.017233800560158663</x:v>
      </x:c>
    </x:row>
    <x:row r="260">
      <x:c r="A260" s="2" t="str">
        <x:v>LiDA-1</x:v>
      </x:c>
      <x:c r="B260" s="4" t="str">
        <x:v>NaCl</x:v>
      </x:c>
      <x:c r="C260" s="23" t="n">
        <x:v>0.994348</x:v>
      </x:c>
      <x:c r="D260" s="23" t="n">
        <x:v>-8.06064</x:v>
      </x:c>
      <x:c r="E260" s="23" t="n">
        <x:f>'Parameters'!$B$2*'Parameters'!$B$3*LN(4*PI()*C260^2)</x:f>
        <x:v>6.246198728655291</x:v>
      </x:c>
      <x:c r="F260" s="23" t="n">
        <x:f>D260+E260</x:f>
        <x:v>-1.814441271344708</x:v>
      </x:c>
      <x:c r="G260" s="23" t="n">
        <x:f>AVERAGE($F$325:$F$348)</x:f>
        <x:v>-1.7098851300581774</x:v>
      </x:c>
      <x:c r="H260" s="24" t="n">
        <x:f>F260-G260</x:f>
        <x:v>-0.10455614128653057</x:v>
      </x:c>
    </x:row>
    <x:row r="261">
      <x:c r="A261" s="2" t="str">
        <x:v>LiDA-1</x:v>
      </x:c>
      <x:c r="B261" s="4" t="str">
        <x:v>NaCl</x:v>
      </x:c>
      <x:c r="C261" s="23" t="n">
        <x:v>1.007085</x:v>
      </x:c>
      <x:c r="D261" s="23" t="n">
        <x:v>-8.024106</x:v>
      </x:c>
      <x:c r="E261" s="23" t="n">
        <x:f>'Parameters'!$B$2*'Parameters'!$B$3*LN(4*PI()*C261^2)</x:f>
        <x:v>6.309303318115022</x:v>
      </x:c>
      <x:c r="F261" s="23" t="n">
        <x:f>D261+E261</x:f>
        <x:v>-1.7148026818849775</x:v>
      </x:c>
      <x:c r="G261" s="23" t="n">
        <x:f>AVERAGE($F$325:$F$348)</x:f>
        <x:v>-1.7098851300581774</x:v>
      </x:c>
      <x:c r="H261" s="24" t="n">
        <x:f>F261-G261</x:f>
        <x:v>-0.004917551826800093</x:v>
      </x:c>
    </x:row>
    <x:row r="262">
      <x:c r="A262" s="2" t="str">
        <x:v>LiDA-1</x:v>
      </x:c>
      <x:c r="B262" s="4" t="str">
        <x:v>NaCl</x:v>
      </x:c>
      <x:c r="C262" s="23" t="n">
        <x:v>1.019822</x:v>
      </x:c>
      <x:c r="D262" s="23" t="n">
        <x:v>-8.144213</x:v>
      </x:c>
      <x:c r="E262" s="23" t="n">
        <x:f>'Parameters'!$B$2*'Parameters'!$B$3*LN(4*PI()*C262^2)</x:f>
        <x:v>6.371614793287077</x:v>
      </x:c>
      <x:c r="F262" s="23" t="n">
        <x:f>D262+E262</x:f>
        <x:v>-1.7725982067129236</x:v>
      </x:c>
      <x:c r="G262" s="23" t="n">
        <x:f>AVERAGE($F$325:$F$348)</x:f>
        <x:v>-1.7098851300581774</x:v>
      </x:c>
      <x:c r="H262" s="24" t="n">
        <x:f>F262-G262</x:f>
        <x:v>-0.06271307665474612</x:v>
      </x:c>
    </x:row>
    <x:row r="263">
      <x:c r="A263" s="2" t="str">
        <x:v>LiDA-1</x:v>
      </x:c>
      <x:c r="B263" s="4" t="str">
        <x:v>NaCl</x:v>
      </x:c>
      <x:c r="C263" s="23" t="n">
        <x:v>1.03256</x:v>
      </x:c>
      <x:c r="D263" s="23" t="n">
        <x:v>-8.071366</x:v>
      </x:c>
      <x:c r="E263" s="23" t="n">
        <x:f>'Parameters'!$B$2*'Parameters'!$B$3*LN(4*PI()*C263^2)</x:f>
        <x:v>6.433157644667321</x:v>
      </x:c>
      <x:c r="F263" s="23" t="n">
        <x:f>D263+E263</x:f>
        <x:v>-1.6382083553326785</x:v>
      </x:c>
      <x:c r="G263" s="23" t="n">
        <x:f>AVERAGE($F$325:$F$348)</x:f>
        <x:v>-1.7098851300581774</x:v>
      </x:c>
      <x:c r="H263" s="24" t="n">
        <x:f>F263-G263</x:f>
        <x:v>0.07167677472549894</x:v>
      </x:c>
    </x:row>
    <x:row r="264">
      <x:c r="A264" s="2" t="str">
        <x:v>LiDA-1</x:v>
      </x:c>
      <x:c r="B264" s="4" t="str">
        <x:v>NaCl</x:v>
      </x:c>
      <x:c r="C264" s="23" t="n">
        <x:v>1.045297</x:v>
      </x:c>
      <x:c r="D264" s="23" t="n">
        <x:v>-8.19699</x:v>
      </x:c>
      <x:c r="E264" s="23" t="n">
        <x:f>'Parameters'!$B$2*'Parameters'!$B$3*LN(4*PI()*C264^2)</x:f>
        <x:v>6.493941175331674</x:v>
      </x:c>
      <x:c r="F264" s="23" t="n">
        <x:f>D264+E264</x:f>
        <x:v>-1.7030488246683255</x:v>
      </x:c>
      <x:c r="G264" s="23" t="n">
        <x:f>AVERAGE($F$325:$F$348)</x:f>
        <x:v>-1.7098851300581774</x:v>
      </x:c>
      <x:c r="H264" s="24" t="n">
        <x:f>F264-G264</x:f>
        <x:v>0.0068363053898519155</x:v>
      </x:c>
    </x:row>
    <x:row r="265">
      <x:c r="A265" s="2" t="str">
        <x:v>LiDA-1</x:v>
      </x:c>
      <x:c r="B265" s="4" t="str">
        <x:v>NaCl</x:v>
      </x:c>
      <x:c r="C265" s="23" t="n">
        <x:v>1.058034</x:v>
      </x:c>
      <x:c r="D265" s="23" t="n">
        <x:v>-8.248873</x:v>
      </x:c>
      <x:c r="E265" s="23" t="n">
        <x:f>'Parameters'!$B$2*'Parameters'!$B$3*LN(4*PI()*C265^2)</x:f>
        <x:v>6.553988522415162</x:v>
      </x:c>
      <x:c r="F265" s="23" t="n">
        <x:f>D265+E265</x:f>
        <x:v>-1.6948844775848375</x:v>
      </x:c>
      <x:c r="G265" s="23" t="n">
        <x:f>AVERAGE($F$325:$F$348)</x:f>
        <x:v>-1.7098851300581774</x:v>
      </x:c>
      <x:c r="H265" s="24" t="n">
        <x:f>F265-G265</x:f>
        <x:v>0.015000652473339926</x:v>
      </x:c>
    </x:row>
    <x:row r="266">
      <x:c r="A266" s="2" t="str">
        <x:v>LiDA-1</x:v>
      </x:c>
      <x:c r="B266" s="4" t="str">
        <x:v>NaCl</x:v>
      </x:c>
      <x:c r="C266" s="23" t="n">
        <x:v>1.070771</x:v>
      </x:c>
      <x:c r="D266" s="23" t="n">
        <x:v>-8.308116</x:v>
      </x:c>
      <x:c r="E266" s="23" t="n">
        <x:f>'Parameters'!$B$2*'Parameters'!$B$3*LN(4*PI()*C266^2)</x:f>
        <x:v>6.613317305399235</x:v>
      </x:c>
      <x:c r="F266" s="23" t="n">
        <x:f>D266+E266</x:f>
        <x:v>-1.694798694600765</x:v>
      </x:c>
      <x:c r="G266" s="23" t="n">
        <x:f>AVERAGE($F$325:$F$348)</x:f>
        <x:v>-1.7098851300581774</x:v>
      </x:c>
      <x:c r="H266" s="24" t="n">
        <x:f>F266-G266</x:f>
        <x:v>0.015086435457412506</x:v>
      </x:c>
    </x:row>
    <x:row r="267">
      <x:c r="A267" s="2" t="str">
        <x:v>LiDA-1</x:v>
      </x:c>
      <x:c r="B267" s="4" t="str">
        <x:v>NaCl</x:v>
      </x:c>
      <x:c r="C267" s="23" t="n">
        <x:v>1.083508</x:v>
      </x:c>
      <x:c r="D267" s="23" t="n">
        <x:v>-8.247196</x:v>
      </x:c>
      <x:c r="E267" s="23" t="n">
        <x:f>'Parameters'!$B$2*'Parameters'!$B$3*LN(4*PI()*C267^2)</x:f>
        <x:v>6.671944518693147</x:v>
      </x:c>
      <x:c r="F267" s="23" t="n">
        <x:f>D267+E267</x:f>
        <x:v>-1.5752514813068537</x:v>
      </x:c>
      <x:c r="G267" s="23" t="n">
        <x:f>AVERAGE($F$325:$F$348)</x:f>
        <x:v>-1.7098851300581774</x:v>
      </x:c>
      <x:c r="H267" s="24" t="n">
        <x:f>F267-G267</x:f>
        <x:v>0.13463364875132378</x:v>
      </x:c>
    </x:row>
    <x:row r="268">
      <x:c r="A268" s="2" t="str">
        <x:v>LiDA-1</x:v>
      </x:c>
      <x:c r="B268" s="4" t="str">
        <x:v>NaCl</x:v>
      </x:c>
      <x:c r="C268" s="23" t="n">
        <x:v>1.096245</x:v>
      </x:c>
      <x:c r="D268" s="23" t="n">
        <x:v>-8.304999</x:v>
      </x:c>
      <x:c r="E268" s="23" t="n">
        <x:f>'Parameters'!$B$2*'Parameters'!$B$3*LN(4*PI()*C268^2)</x:f>
        <x:v>6.729886560855635</x:v>
      </x:c>
      <x:c r="F268" s="23" t="n">
        <x:f>D268+E268</x:f>
        <x:v>-1.5751124391443652</x:v>
      </x:c>
      <x:c r="G268" s="23" t="n">
        <x:f>AVERAGE($F$325:$F$348)</x:f>
        <x:v>-1.7098851300581774</x:v>
      </x:c>
      <x:c r="H268" s="24" t="n">
        <x:f>F268-G268</x:f>
        <x:v>0.13477269091381228</x:v>
      </x:c>
    </x:row>
    <x:row r="269">
      <x:c r="A269" s="2" t="str">
        <x:v>LiDA-1</x:v>
      </x:c>
      <x:c r="B269" s="4" t="str">
        <x:v>NaCl</x:v>
      </x:c>
      <x:c r="C269" s="23" t="n">
        <x:v>1.108983</x:v>
      </x:c>
      <x:c r="D269" s="23" t="n">
        <x:v>-8.37797</x:v>
      </x:c>
      <x:c r="E269" s="23" t="n">
        <x:f>'Parameters'!$B$2*'Parameters'!$B$3*LN(4*PI()*C269^2)</x:f>
        <x:v>6.787163732816084</x:v>
      </x:c>
      <x:c r="F269" s="23" t="n">
        <x:f>D269+E269</x:f>
        <x:v>-1.5908062671839156</x:v>
      </x:c>
      <x:c r="G269" s="23" t="n">
        <x:f>AVERAGE($F$325:$F$348)</x:f>
        <x:v>-1.7098851300581774</x:v>
      </x:c>
      <x:c r="H269" s="24" t="n">
        <x:f>F269-G269</x:f>
        <x:v>0.11907886287426184</x:v>
      </x:c>
    </x:row>
    <x:row r="270">
      <x:c r="A270" s="2" t="str">
        <x:v>LiDA-1</x:v>
      </x:c>
      <x:c r="B270" s="4" t="str">
        <x:v>NaCl</x:v>
      </x:c>
      <x:c r="C270" s="23" t="n">
        <x:v>1.12172</x:v>
      </x:c>
      <x:c r="D270" s="23" t="n">
        <x:v>-8.423932</x:v>
      </x:c>
      <x:c r="E270" s="23" t="n">
        <x:f>'Parameters'!$B$2*'Parameters'!$B$3*LN(4*PI()*C270^2)</x:f>
        <x:v>6.843782330322406</x:v>
      </x:c>
      <x:c r="F270" s="23" t="n">
        <x:f>D270+E270</x:f>
        <x:v>-1.5801496696775947</x:v>
      </x:c>
      <x:c r="G270" s="23" t="n">
        <x:f>AVERAGE($F$325:$F$348)</x:f>
        <x:v>-1.7098851300581774</x:v>
      </x:c>
      <x:c r="H270" s="24" t="n">
        <x:f>F270-G270</x:f>
        <x:v>0.1297354603805827</x:v>
      </x:c>
    </x:row>
    <x:row r="271">
      <x:c r="A271" s="2" t="str">
        <x:v>LiDA-1</x:v>
      </x:c>
      <x:c r="B271" s="4" t="str">
        <x:v>NaCl</x:v>
      </x:c>
      <x:c r="C271" s="23" t="n">
        <x:v>1.134457</x:v>
      </x:c>
      <x:c r="D271" s="23" t="n">
        <x:v>-8.553711</x:v>
      </x:c>
      <x:c r="E271" s="23" t="n">
        <x:f>'Parameters'!$B$2*'Parameters'!$B$3*LN(4*PI()*C271^2)</x:f>
        <x:v>6.899761645993466</x:v>
      </x:c>
      <x:c r="F271" s="23" t="n">
        <x:f>D271+E271</x:f>
        <x:v>-1.6539493540065342</x:v>
      </x:c>
      <x:c r="G271" s="23" t="n">
        <x:f>AVERAGE($F$325:$F$348)</x:f>
        <x:v>-1.7098851300581774</x:v>
      </x:c>
      <x:c r="H271" s="24" t="n">
        <x:f>F271-G271</x:f>
        <x:v>0.05593577605164324</x:v>
      </x:c>
    </x:row>
    <x:row r="272">
      <x:c r="A272" s="2" t="str">
        <x:v>LiDA-1</x:v>
      </x:c>
      <x:c r="B272" s="4" t="str">
        <x:v>NaCl</x:v>
      </x:c>
      <x:c r="C272" s="23" t="n">
        <x:v>1.147194</x:v>
      </x:c>
      <x:c r="D272" s="23" t="n">
        <x:v>-8.792099</x:v>
      </x:c>
      <x:c r="E272" s="23" t="n">
        <x:f>'Parameters'!$B$2*'Parameters'!$B$3*LN(4*PI()*C272^2)</x:f>
        <x:v>6.955115955087615</x:v>
      </x:c>
      <x:c r="F272" s="23" t="n">
        <x:f>D272+E272</x:f>
        <x:v>-1.836983044912385</x:v>
      </x:c>
      <x:c r="G272" s="23" t="n">
        <x:f>AVERAGE($F$325:$F$348)</x:f>
        <x:v>-1.7098851300581774</x:v>
      </x:c>
      <x:c r="H272" s="24" t="n">
        <x:f>F272-G272</x:f>
        <x:v>-0.12709791485420752</x:v>
      </x:c>
    </x:row>
    <x:row r="273">
      <x:c r="A273" s="2" t="str">
        <x:v>LiDA-1</x:v>
      </x:c>
      <x:c r="B273" s="4" t="str">
        <x:v>NaCl</x:v>
      </x:c>
      <x:c r="C273" s="23" t="n">
        <x:v>1.159931</x:v>
      </x:c>
      <x:c r="D273" s="23" t="n">
        <x:v>-8.801341</x:v>
      </x:c>
      <x:c r="E273" s="23" t="n">
        <x:f>'Parameters'!$B$2*'Parameters'!$B$3*LN(4*PI()*C273^2)</x:f>
        <x:v>7.009859059985112</x:v>
      </x:c>
      <x:c r="F273" s="23" t="n">
        <x:f>D273+E273</x:f>
        <x:v>-1.7914819400148891</x:v>
      </x:c>
      <x:c r="G273" s="23" t="n">
        <x:f>AVERAGE($F$325:$F$348)</x:f>
        <x:v>-1.7098851300581774</x:v>
      </x:c>
      <x:c r="H273" s="24" t="n">
        <x:f>F273-G273</x:f>
        <x:v>-0.0815968099567117</x:v>
      </x:c>
    </x:row>
    <x:row r="274">
      <x:c r="A274" s="2" t="str">
        <x:v>LiDA-1</x:v>
      </x:c>
      <x:c r="B274" s="4" t="str">
        <x:v>NaCl</x:v>
      </x:c>
      <x:c r="C274" s="23" t="n">
        <x:v>1.172669</x:v>
      </x:c>
      <x:c r="D274" s="23" t="n">
        <x:v>-9.097892</x:v>
      </x:c>
      <x:c r="E274" s="23" t="n">
        <x:f>'Parameters'!$B$2*'Parameters'!$B$3*LN(4*PI()*C274^2)</x:f>
        <x:v>7.064008538736653</x:v>
      </x:c>
      <x:c r="F274" s="23" t="n">
        <x:f>D274+E274</x:f>
        <x:v>-2.033883461263347</x:v>
      </x:c>
      <x:c r="G274" s="23" t="n">
        <x:f>AVERAGE($F$325:$F$348)</x:f>
        <x:v>-1.7098851300581774</x:v>
      </x:c>
      <x:c r="H274" s="24" t="n">
        <x:f>F274-G274</x:f>
        <x:v>-0.3239983312051695</x:v>
      </x:c>
    </x:row>
    <x:row r="275">
      <x:c r="A275" s="2" t="str">
        <x:v>LiDA-1</x:v>
      </x:c>
      <x:c r="B275" s="4" t="str">
        <x:v>NaCl</x:v>
      </x:c>
      <x:c r="C275" s="23" t="n">
        <x:v>1.185406</x:v>
      </x:c>
      <x:c r="D275" s="23" t="n">
        <x:v>-9.102323</x:v>
      </x:c>
      <x:c r="E275" s="23" t="n">
        <x:f>'Parameters'!$B$2*'Parameters'!$B$3*LN(4*PI()*C275^2)</x:f>
        <x:v>7.11756880761529</x:v>
      </x:c>
      <x:c r="F275" s="23" t="n">
        <x:f>D275+E275</x:f>
        <x:v>-1.9847541923847105</x:v>
      </x:c>
      <x:c r="G275" s="23" t="n">
        <x:f>AVERAGE($F$325:$F$348)</x:f>
        <x:v>-1.7098851300581774</x:v>
      </x:c>
      <x:c r="H275" s="24" t="n">
        <x:f>F275-G275</x:f>
        <x:v>-0.2748690623265331</x:v>
      </x:c>
    </x:row>
    <x:row r="276">
      <x:c r="A276" s="2" t="str">
        <x:v>LiDA-1</x:v>
      </x:c>
      <x:c r="B276" s="4" t="str">
        <x:v>NaCl</x:v>
      </x:c>
      <x:c r="C276" s="23" t="n">
        <x:v>1.198143</x:v>
      </x:c>
      <x:c r="D276" s="23" t="n">
        <x:v>-9.218937</x:v>
      </x:c>
      <x:c r="E276" s="23" t="n">
        <x:f>'Parameters'!$B$2*'Parameters'!$B$3*LN(4*PI()*C276^2)</x:f>
        <x:v>7.170556644207402</x:v>
      </x:c>
      <x:c r="F276" s="23" t="n">
        <x:f>D276+E276</x:f>
        <x:v>-2.048380355792599</x:v>
      </x:c>
      <x:c r="G276" s="23" t="n">
        <x:f>AVERAGE($F$325:$F$348)</x:f>
        <x:v>-1.7098851300581774</x:v>
      </x:c>
      <x:c r="H276" s="24" t="n">
        <x:f>F276-G276</x:f>
        <x:v>-0.33849522573442137</x:v>
      </x:c>
    </x:row>
    <x:row r="277">
      <x:c r="A277" s="2" t="str">
        <x:v>LiDA-1</x:v>
      </x:c>
      <x:c r="B277" s="4" t="str">
        <x:v>NaCl</x:v>
      </x:c>
      <x:c r="C277" s="23" t="n">
        <x:v>1.21088</x:v>
      </x:c>
      <x:c r="D277" s="23" t="n">
        <x:v>-9.250785</x:v>
      </x:c>
      <x:c r="E277" s="23" t="n">
        <x:f>'Parameters'!$B$2*'Parameters'!$B$3*LN(4*PI()*C277^2)</x:f>
        <x:v>7.222984155123926</x:v>
      </x:c>
      <x:c r="F277" s="23" t="n">
        <x:f>D277+E277</x:f>
        <x:v>-2.027800844876074</x:v>
      </x:c>
      <x:c r="G277" s="23" t="n">
        <x:f>AVERAGE($F$325:$F$348)</x:f>
        <x:v>-1.7098851300581774</x:v>
      </x:c>
      <x:c r="H277" s="24" t="n">
        <x:f>F277-G277</x:f>
        <x:v>-0.3179157148178966</x:v>
      </x:c>
    </x:row>
    <x:row r="278">
      <x:c r="A278" s="2" t="str">
        <x:v>LiDA-1</x:v>
      </x:c>
      <x:c r="B278" s="4" t="str">
        <x:v>NaCl</x:v>
      </x:c>
      <x:c r="C278" s="23" t="n">
        <x:v>1.223617</x:v>
      </x:c>
      <x:c r="D278" s="23" t="n">
        <x:v>-9.220393</x:v>
      </x:c>
      <x:c r="E278" s="23" t="n">
        <x:f>'Parameters'!$B$2*'Parameters'!$B$3*LN(4*PI()*C278^2)</x:f>
        <x:v>7.274863066919584</x:v>
      </x:c>
      <x:c r="F278" s="23" t="n">
        <x:f>D278+E278</x:f>
        <x:v>-1.9455299330804152</x:v>
      </x:c>
      <x:c r="G278" s="23" t="n">
        <x:f>AVERAGE($F$325:$F$348)</x:f>
        <x:v>-1.7098851300581774</x:v>
      </x:c>
      <x:c r="H278" s="24" t="n">
        <x:f>F278-G278</x:f>
        <x:v>-0.23564480302223778</x:v>
      </x:c>
    </x:row>
    <x:row r="279">
      <x:c r="A279" s="2" t="str">
        <x:v>LiDA-1</x:v>
      </x:c>
      <x:c r="B279" s="4" t="str">
        <x:v>NaCl</x:v>
      </x:c>
      <x:c r="C279" s="23" t="n">
        <x:v>1.236354</x:v>
      </x:c>
      <x:c r="D279" s="23" t="n">
        <x:v>-9.402674</x:v>
      </x:c>
      <x:c r="E279" s="23" t="n">
        <x:f>'Parameters'!$B$2*'Parameters'!$B$3*LN(4*PI()*C279^2)</x:f>
        <x:v>7.326204741836136</x:v>
      </x:c>
      <x:c r="F279" s="23" t="n">
        <x:f>D279+E279</x:f>
        <x:v>-2.076469258163863</x:v>
      </x:c>
      <x:c r="G279" s="23" t="n">
        <x:f>AVERAGE($F$325:$F$348)</x:f>
        <x:v>-1.7098851300581774</x:v>
      </x:c>
      <x:c r="H279" s="24" t="n">
        <x:f>F279-G279</x:f>
        <x:v>-0.36658412810568564</x:v>
      </x:c>
    </x:row>
    <x:row r="280">
      <x:c r="A280" s="2" t="str">
        <x:v>LiDA-1</x:v>
      </x:c>
      <x:c r="B280" s="4" t="str">
        <x:v>NaCl</x:v>
      </x:c>
      <x:c r="C280" s="23" t="n">
        <x:v>1.249092</x:v>
      </x:c>
      <x:c r="D280" s="23" t="n">
        <x:v>-9.418962</x:v>
      </x:c>
      <x:c r="E280" s="23" t="n">
        <x:f>'Parameters'!$B$2*'Parameters'!$B$3*LN(4*PI()*C280^2)</x:f>
        <x:v>7.377024161954897</x:v>
      </x:c>
      <x:c r="F280" s="23" t="n">
        <x:f>D280+E280</x:f>
        <x:v>-2.0419378380451034</x:v>
      </x:c>
      <x:c r="G280" s="23" t="n">
        <x:f>AVERAGE($F$325:$F$348)</x:f>
        <x:v>-1.7098851300581774</x:v>
      </x:c>
      <x:c r="H280" s="24" t="n">
        <x:f>F280-G280</x:f>
        <x:v>-0.332052707986926</x:v>
      </x:c>
    </x:row>
    <x:row r="281">
      <x:c r="A281" s="2" t="str">
        <x:v>LiDA-1</x:v>
      </x:c>
      <x:c r="B281" s="4" t="str">
        <x:v>NaCl</x:v>
      </x:c>
      <x:c r="C281" s="23" t="n">
        <x:v>1.261829</x:v>
      </x:c>
      <x:c r="D281" s="23" t="n">
        <x:v>-9.371548</x:v>
      </x:c>
      <x:c r="E281" s="23" t="n">
        <x:f>'Parameters'!$B$2*'Parameters'!$B$3*LN(4*PI()*C281^2)</x:f>
        <x:v>7.427324026445572</x:v>
      </x:c>
      <x:c r="F281" s="23" t="n">
        <x:f>D281+E281</x:f>
        <x:v>-1.9442239735544282</x:v>
      </x:c>
      <x:c r="G281" s="23" t="n">
        <x:f>AVERAGE($F$325:$F$348)</x:f>
        <x:v>-1.7098851300581774</x:v>
      </x:c>
      <x:c r="H281" s="24" t="n">
        <x:f>F281-G281</x:f>
        <x:v>-0.23433884349625078</x:v>
      </x:c>
    </x:row>
    <x:row r="282">
      <x:c r="A282" s="2" t="str">
        <x:v>LiDA-1</x:v>
      </x:c>
      <x:c r="B282" s="4" t="str">
        <x:v>NaCl</x:v>
      </x:c>
      <x:c r="C282" s="23" t="n">
        <x:v>1.274566</x:v>
      </x:c>
      <x:c r="D282" s="23" t="n">
        <x:v>-9.519198</x:v>
      </x:c>
      <x:c r="E282" s="23" t="n">
        <x:f>'Parameters'!$B$2*'Parameters'!$B$3*LN(4*PI()*C282^2)</x:f>
        <x:v>7.477118701326921</x:v>
      </x:c>
      <x:c r="F282" s="23" t="n">
        <x:f>D282+E282</x:f>
        <x:v>-2.0420792986730785</x:v>
      </x:c>
      <x:c r="G282" s="23" t="n">
        <x:f>AVERAGE($F$325:$F$348)</x:f>
        <x:v>-1.7098851300581774</x:v>
      </x:c>
      <x:c r="H282" s="24" t="n">
        <x:f>F282-G282</x:f>
        <x:v>-0.33219416861490103</x:v>
      </x:c>
    </x:row>
    <x:row r="283">
      <x:c r="A283" s="2" t="str">
        <x:v>LiDA-1</x:v>
      </x:c>
      <x:c r="B283" s="4" t="str">
        <x:v>NaCl</x:v>
      </x:c>
      <x:c r="C283" s="23" t="n">
        <x:v>1.287303</x:v>
      </x:c>
      <x:c r="D283" s="23" t="n">
        <x:v>-9.419728</x:v>
      </x:c>
      <x:c r="E283" s="23" t="n">
        <x:f>'Parameters'!$B$2*'Parameters'!$B$3*LN(4*PI()*C283^2)</x:f>
        <x:v>7.526418233577488</x:v>
      </x:c>
      <x:c r="F283" s="23" t="n">
        <x:f>D283+E283</x:f>
        <x:v>-1.8933097664225116</x:v>
      </x:c>
      <x:c r="G283" s="23" t="n">
        <x:f>AVERAGE($F$325:$F$348)</x:f>
        <x:v>-1.7098851300581774</x:v>
      </x:c>
      <x:c r="H283" s="24" t="n">
        <x:f>F283-G283</x:f>
        <x:v>-0.18342463636433415</x:v>
      </x:c>
    </x:row>
    <x:row r="284">
      <x:c r="A284" s="2" t="str">
        <x:v>LiDA-1</x:v>
      </x:c>
      <x:c r="B284" s="4" t="str">
        <x:v>NaCl</x:v>
      </x:c>
      <x:c r="C284" s="23" t="n">
        <x:v>1.30004</x:v>
      </x:c>
      <x:c r="D284" s="23" t="n">
        <x:v>-9.426874</x:v>
      </x:c>
      <x:c r="E284" s="23" t="n">
        <x:f>'Parameters'!$B$2*'Parameters'!$B$3*LN(4*PI()*C284^2)</x:f>
        <x:v>7.575232373409837</x:v>
      </x:c>
      <x:c r="F284" s="23" t="n">
        <x:f>D284+E284</x:f>
        <x:v>-1.8516416265901627</x:v>
      </x:c>
      <x:c r="G284" s="23" t="n">
        <x:f>AVERAGE($F$325:$F$348)</x:f>
        <x:v>-1.7098851300581774</x:v>
      </x:c>
      <x:c r="H284" s="24" t="n">
        <x:f>F284-G284</x:f>
        <x:v>-0.1417564965319853</x:v>
      </x:c>
    </x:row>
    <x:row r="285">
      <x:c r="A285" s="2" t="str">
        <x:v>LiDA-1</x:v>
      </x:c>
      <x:c r="B285" s="4" t="str">
        <x:v>NaCl</x:v>
      </x:c>
      <x:c r="C285" s="23" t="n">
        <x:v>1.312778</x:v>
      </x:c>
      <x:c r="D285" s="23" t="n">
        <x:v>-9.523935</x:v>
      </x:c>
      <x:c r="E285" s="23" t="n">
        <x:f>'Parameters'!$B$2*'Parameters'!$B$3*LN(4*PI()*C285^2)</x:f>
        <x:v>7.6235743625042955</x:v>
      </x:c>
      <x:c r="F285" s="23" t="n">
        <x:f>D285+E285</x:f>
        <x:v>-1.9003606374957043</x:v>
      </x:c>
      <x:c r="G285" s="23" t="n">
        <x:f>AVERAGE($F$325:$F$348)</x:f>
        <x:v>-1.7098851300581774</x:v>
      </x:c>
      <x:c r="H285" s="24" t="n">
        <x:f>F285-G285</x:f>
        <x:v>-0.19047550743752684</x:v>
      </x:c>
    </x:row>
    <x:row r="286">
      <x:c r="A286" s="2" t="str">
        <x:v>LiDA-1</x:v>
      </x:c>
      <x:c r="B286" s="4" t="str">
        <x:v>NaCl</x:v>
      </x:c>
      <x:c r="C286" s="23" t="n">
        <x:v>1.325515</x:v>
      </x:c>
      <x:c r="D286" s="23" t="n">
        <x:v>-9.438861</x:v>
      </x:c>
      <x:c r="E286" s="23" t="n">
        <x:f>'Parameters'!$B$2*'Parameters'!$B$3*LN(4*PI()*C286^2)</x:f>
        <x:v>7.671445802094416</x:v>
      </x:c>
      <x:c r="F286" s="23" t="n">
        <x:f>D286+E286</x:f>
        <x:v>-1.7674151979055832</x:v>
      </x:c>
      <x:c r="G286" s="23" t="n">
        <x:f>AVERAGE($F$325:$F$348)</x:f>
        <x:v>-1.7098851300581774</x:v>
      </x:c>
      <x:c r="H286" s="24" t="n">
        <x:f>F286-G286</x:f>
        <x:v>-0.057530067847405775</x:v>
      </x:c>
    </x:row>
    <x:row r="287">
      <x:c r="A287" s="2" t="str">
        <x:v>LiDA-1</x:v>
      </x:c>
      <x:c r="B287" s="4" t="str">
        <x:v>NaCl</x:v>
      </x:c>
      <x:c r="C287" s="23" t="n">
        <x:v>1.338252</x:v>
      </x:c>
      <x:c r="D287" s="23" t="n">
        <x:v>-9.633771</x:v>
      </x:c>
      <x:c r="E287" s="23" t="n">
        <x:f>'Parameters'!$B$2*'Parameters'!$B$3*LN(4*PI()*C287^2)</x:f>
        <x:v>7.718859432976092</x:v>
      </x:c>
      <x:c r="F287" s="23" t="n">
        <x:f>D287+E287</x:f>
        <x:v>-1.9149115670239079</x:v>
      </x:c>
      <x:c r="G287" s="23" t="n">
        <x:f>AVERAGE($F$325:$F$348)</x:f>
        <x:v>-1.7098851300581774</x:v>
      </x:c>
      <x:c r="H287" s="24" t="n">
        <x:f>F287-G287</x:f>
        <x:v>-0.20502643696573042</x:v>
      </x:c>
    </x:row>
    <x:row r="288">
      <x:c r="A288" s="2" t="str">
        <x:v>LiDA-1</x:v>
      </x:c>
      <x:c r="B288" s="4" t="str">
        <x:v>NaCl</x:v>
      </x:c>
      <x:c r="C288" s="23" t="n">
        <x:v>1.350989</x:v>
      </x:c>
      <x:c r="D288" s="23" t="n">
        <x:v>-9.718105</x:v>
      </x:c>
      <x:c r="E288" s="23" t="n">
        <x:f>'Parameters'!$B$2*'Parameters'!$B$3*LN(4*PI()*C288^2)</x:f>
        <x:v>7.765823928587796</x:v>
      </x:c>
      <x:c r="F288" s="23" t="n">
        <x:f>D288+E288</x:f>
        <x:v>-1.9522810714122034</x:v>
      </x:c>
      <x:c r="G288" s="23" t="n">
        <x:f>AVERAGE($F$325:$F$348)</x:f>
        <x:v>-1.7098851300581774</x:v>
      </x:c>
      <x:c r="H288" s="24" t="n">
        <x:f>F288-G288</x:f>
        <x:v>-0.24239594135402598</x:v>
      </x:c>
    </x:row>
    <x:row r="289">
      <x:c r="A289" s="2" t="str">
        <x:v>LiDA-1</x:v>
      </x:c>
      <x:c r="B289" s="4" t="str">
        <x:v>NaCl</x:v>
      </x:c>
      <x:c r="C289" s="23" t="n">
        <x:v>1.363726</x:v>
      </x:c>
      <x:c r="D289" s="23" t="n">
        <x:v>-9.740356</x:v>
      </x:c>
      <x:c r="E289" s="23" t="n">
        <x:f>'Parameters'!$B$2*'Parameters'!$B$3*LN(4*PI()*C289^2)</x:f>
        <x:v>7.8123477181945775</x:v>
      </x:c>
      <x:c r="F289" s="23" t="n">
        <x:f>D289+E289</x:f>
        <x:v>-1.9280082818054227</x:v>
      </x:c>
      <x:c r="G289" s="23" t="n">
        <x:f>AVERAGE($F$325:$F$348)</x:f>
        <x:v>-1.7098851300581774</x:v>
      </x:c>
      <x:c r="H289" s="24" t="n">
        <x:f>F289-G289</x:f>
        <x:v>-0.21812315174724528</x:v>
      </x:c>
    </x:row>
    <x:row r="290">
      <x:c r="A290" s="2" t="str">
        <x:v>LiDA-1</x:v>
      </x:c>
      <x:c r="B290" s="4" t="str">
        <x:v>NaCl</x:v>
      </x:c>
      <x:c r="C290" s="23" t="n">
        <x:v>1.376463</x:v>
      </x:c>
      <x:c r="D290" s="23" t="n">
        <x:v>-9.939444</x:v>
      </x:c>
      <x:c r="E290" s="23" t="n">
        <x:f>'Parameters'!$B$2*'Parameters'!$B$3*LN(4*PI()*C290^2)</x:f>
        <x:v>7.858438995968171</x:v>
      </x:c>
      <x:c r="F290" s="23" t="n">
        <x:f>D290+E290</x:f>
        <x:v>-2.0810050040318293</x:v>
      </x:c>
      <x:c r="G290" s="23" t="n">
        <x:f>AVERAGE($F$325:$F$348)</x:f>
        <x:v>-1.7098851300581774</x:v>
      </x:c>
      <x:c r="H290" s="24" t="n">
        <x:f>F290-G290</x:f>
        <x:v>-0.37111987397365187</x:v>
      </x:c>
    </x:row>
    <x:row r="291">
      <x:c r="A291" s="2" t="str">
        <x:v>LiDA-1</x:v>
      </x:c>
      <x:c r="B291" s="4" t="str">
        <x:v>NaCl</x:v>
      </x:c>
      <x:c r="C291" s="23" t="n">
        <x:v>1.389201</x:v>
      </x:c>
      <x:c r="D291" s="23" t="n">
        <x:v>-9.914819</x:v>
      </x:c>
      <x:c r="E291" s="23" t="n">
        <x:f>'Parameters'!$B$2*'Parameters'!$B$3*LN(4*PI()*C291^2)</x:f>
        <x:v>7.9041092985463095</x:v>
      </x:c>
      <x:c r="F291" s="23" t="n">
        <x:f>D291+E291</x:f>
        <x:v>-2.01070970145369</x:v>
      </x:c>
      <x:c r="G291" s="23" t="n">
        <x:f>AVERAGE($F$325:$F$348)</x:f>
        <x:v>-1.7098851300581774</x:v>
      </x:c>
      <x:c r="H291" s="24" t="n">
        <x:f>F291-G291</x:f>
        <x:v>-0.30082457139551266</x:v>
      </x:c>
    </x:row>
    <x:row r="292">
      <x:c r="A292" s="2" t="str">
        <x:v>LiDA-1</x:v>
      </x:c>
      <x:c r="B292" s="4" t="str">
        <x:v>NaCl</x:v>
      </x:c>
      <x:c r="C292" s="23" t="n">
        <x:v>1.401938</x:v>
      </x:c>
      <x:c r="D292" s="23" t="n">
        <x:v>-9.954123</x:v>
      </x:c>
      <x:c r="E292" s="23" t="n">
        <x:f>'Parameters'!$B$2*'Parameters'!$B$3*LN(4*PI()*C292^2)</x:f>
        <x:v>7.949359205285292</x:v>
      </x:c>
      <x:c r="F292" s="23" t="n">
        <x:f>D292+E292</x:f>
        <x:v>-2.004763794714707</x:v>
      </x:c>
      <x:c r="G292" s="23" t="n">
        <x:f>AVERAGE($F$325:$F$348)</x:f>
        <x:v>-1.7098851300581774</x:v>
      </x:c>
      <x:c r="H292" s="24" t="n">
        <x:f>F292-G292</x:f>
        <x:v>-0.29487866465652957</x:v>
      </x:c>
    </x:row>
    <x:row r="293">
      <x:c r="A293" s="2" t="str">
        <x:v>LiDA-1</x:v>
      </x:c>
      <x:c r="B293" s="4" t="str">
        <x:v>NaCl</x:v>
      </x:c>
      <x:c r="C293" s="23" t="n">
        <x:v>1.414675</x:v>
      </x:c>
      <x:c r="D293" s="23" t="n">
        <x:v>-10.10161</x:v>
      </x:c>
      <x:c r="E293" s="23" t="n">
        <x:f>'Parameters'!$B$2*'Parameters'!$B$3*LN(4*PI()*C293^2)</x:f>
        <x:v>7.994199857394381</x:v>
      </x:c>
      <x:c r="F293" s="23" t="n">
        <x:f>D293+E293</x:f>
        <x:v>-2.1074101426056195</x:v>
      </x:c>
      <x:c r="G293" s="23" t="n">
        <x:f>AVERAGE($F$325:$F$348)</x:f>
        <x:v>-1.7098851300581774</x:v>
      </x:c>
      <x:c r="H293" s="24" t="n">
        <x:f>F293-G293</x:f>
        <x:v>-0.3975250125474421</x:v>
      </x:c>
    </x:row>
    <x:row r="294">
      <x:c r="A294" s="2" t="str">
        <x:v>LiDA-1</x:v>
      </x:c>
      <x:c r="B294" s="4" t="str">
        <x:v>NaCl</x:v>
      </x:c>
      <x:c r="C294" s="23" t="n">
        <x:v>1.427412</x:v>
      </x:c>
      <x:c r="D294" s="23" t="n">
        <x:v>-10.23705</x:v>
      </x:c>
      <x:c r="E294" s="23" t="n">
        <x:f>'Parameters'!$B$2*'Parameters'!$B$3*LN(4*PI()*C294^2)</x:f>
        <x:v>8.038638591428539</x:v>
      </x:c>
      <x:c r="F294" s="23" t="n">
        <x:f>D294+E294</x:f>
        <x:v>-2.1984114085714612</x:v>
      </x:c>
      <x:c r="G294" s="23" t="n">
        <x:f>AVERAGE($F$325:$F$348)</x:f>
        <x:v>-1.7098851300581774</x:v>
      </x:c>
      <x:c r="H294" s="24" t="n">
        <x:f>F294-G294</x:f>
        <x:v>-0.4885262785132838</x:v>
      </x:c>
    </x:row>
    <x:row r="295">
      <x:c r="A295" s="2" t="str">
        <x:v>LiDA-1</x:v>
      </x:c>
      <x:c r="B295" s="4" t="str">
        <x:v>NaCl</x:v>
      </x:c>
      <x:c r="C295" s="23" t="n">
        <x:v>1.440149</x:v>
      </x:c>
      <x:c r="D295" s="23" t="n">
        <x:v>-10.06728</x:v>
      </x:c>
      <x:c r="E295" s="23" t="n">
        <x:f>'Parameters'!$B$2*'Parameters'!$B$3*LN(4*PI()*C295^2)</x:f>
        <x:v>8.082682548414482</x:v>
      </x:c>
      <x:c r="F295" s="23" t="n">
        <x:f>D295+E295</x:f>
        <x:v>-1.9845974515855183</x:v>
      </x:c>
      <x:c r="G295" s="23" t="n">
        <x:f>AVERAGE($F$325:$F$348)</x:f>
        <x:v>-1.7098851300581774</x:v>
      </x:c>
      <x:c r="H295" s="24" t="n">
        <x:f>F295-G295</x:f>
        <x:v>-0.2747123215273408</x:v>
      </x:c>
    </x:row>
    <x:row r="296">
      <x:c r="A296" s="2" t="str">
        <x:v>LiDA-1</x:v>
      </x:c>
      <x:c r="B296" s="4" t="str">
        <x:v>NaCl</x:v>
      </x:c>
      <x:c r="C296" s="23" t="n">
        <x:v>1.452887</x:v>
      </x:c>
      <x:c r="D296" s="23" t="n">
        <x:v>-9.93066</x:v>
      </x:c>
      <x:c r="E296" s="23" t="n">
        <x:f>'Parameters'!$B$2*'Parameters'!$B$3*LN(4*PI()*C296^2)</x:f>
        <x:v>8.126342093195582</x:v>
      </x:c>
      <x:c r="F296" s="23" t="n">
        <x:f>D296+E296</x:f>
        <x:v>-1.8043179068044175</x:v>
      </x:c>
      <x:c r="G296" s="23" t="n">
        <x:f>AVERAGE($F$325:$F$348)</x:f>
        <x:v>-1.7098851300581774</x:v>
      </x:c>
      <x:c r="H296" s="24" t="n">
        <x:f>F296-G296</x:f>
        <x:v>-0.09443277674624007</x:v>
      </x:c>
    </x:row>
    <x:row r="297">
      <x:c r="A297" s="2" t="str">
        <x:v>LiDA-1</x:v>
      </x:c>
      <x:c r="B297" s="4" t="str">
        <x:v>NaCl</x:v>
      </x:c>
      <x:c r="C297" s="23" t="n">
        <x:v>1.465624</x:v>
      </x:c>
      <x:c r="D297" s="23" t="n">
        <x:v>-9.89222</x:v>
      </x:c>
      <x:c r="E297" s="23" t="n">
        <x:f>'Parameters'!$B$2*'Parameters'!$B$3*LN(4*PI()*C297^2)</x:f>
        <x:v>8.169617141530546</x:v>
      </x:c>
      <x:c r="F297" s="23" t="n">
        <x:f>D297+E297</x:f>
        <x:v>-1.722602858469454</x:v>
      </x:c>
      <x:c r="G297" s="23" t="n">
        <x:f>AVERAGE($F$325:$F$348)</x:f>
        <x:v>-1.7098851300581774</x:v>
      </x:c>
      <x:c r="H297" s="24" t="n">
        <x:f>F297-G297</x:f>
        <x:v>-0.012717728411276497</x:v>
      </x:c>
    </x:row>
    <x:row r="298">
      <x:c r="A298" s="2" t="str">
        <x:v>LiDA-1</x:v>
      </x:c>
      <x:c r="B298" s="4" t="str">
        <x:v>NaCl</x:v>
      </x:c>
      <x:c r="C298" s="23" t="n">
        <x:v>1.478361</x:v>
      </x:c>
      <x:c r="D298" s="23" t="n">
        <x:v>-10.00091</x:v>
      </x:c>
      <x:c r="E298" s="23" t="n">
        <x:f>'Parameters'!$B$2*'Parameters'!$B$3*LN(4*PI()*C298^2)</x:f>
        <x:v>8.21251773062132</x:v>
      </x:c>
      <x:c r="F298" s="23" t="n">
        <x:f>D298+E298</x:f>
        <x:v>-1.7883922693786793</x:v>
      </x:c>
      <x:c r="G298" s="23" t="n">
        <x:f>AVERAGE($F$325:$F$348)</x:f>
        <x:v>-1.7098851300581774</x:v>
      </x:c>
      <x:c r="H298" s="24" t="n">
        <x:f>F298-G298</x:f>
        <x:v>-0.0785071393205019</x:v>
      </x:c>
    </x:row>
    <x:row r="299">
      <x:c r="A299" s="2" t="str">
        <x:v>LiDA-1</x:v>
      </x:c>
      <x:c r="B299" s="4" t="str">
        <x:v>NaCl</x:v>
      </x:c>
      <x:c r="C299" s="23" t="n">
        <x:v>1.491098</x:v>
      </x:c>
      <x:c r="D299" s="23" t="n">
        <x:v>-9.803759</x:v>
      </x:c>
      <x:c r="E299" s="23" t="n">
        <x:f>'Parameters'!$B$2*'Parameters'!$B$3*LN(4*PI()*C299^2)</x:f>
        <x:v>8.255050285309482</x:v>
      </x:c>
      <x:c r="F299" s="23" t="n">
        <x:f>D299+E299</x:f>
        <x:v>-1.5487087146905179</x:v>
      </x:c>
      <x:c r="G299" s="23" t="n">
        <x:f>AVERAGE($F$325:$F$348)</x:f>
        <x:v>-1.7098851300581774</x:v>
      </x:c>
      <x:c r="H299" s="24" t="n">
        <x:f>F299-G299</x:f>
        <x:v>0.1611764153676596</x:v>
      </x:c>
    </x:row>
    <x:row r="300">
      <x:c r="A300" s="2" t="str">
        <x:v>LiDA-1</x:v>
      </x:c>
      <x:c r="B300" s="4" t="str">
        <x:v>NaCl</x:v>
      </x:c>
      <x:c r="C300" s="23" t="n">
        <x:v>1.503835</x:v>
      </x:c>
      <x:c r="D300" s="23" t="n">
        <x:v>-9.94235</x:v>
      </x:c>
      <x:c r="E300" s="23" t="n">
        <x:f>'Parameters'!$B$2*'Parameters'!$B$3*LN(4*PI()*C300^2)</x:f>
        <x:v>8.297221066489284</x:v>
      </x:c>
      <x:c r="F300" s="23" t="n">
        <x:f>D300+E300</x:f>
        <x:v>-1.6451289335107155</x:v>
      </x:c>
      <x:c r="G300" s="23" t="n">
        <x:f>AVERAGE($F$325:$F$348)</x:f>
        <x:v>-1.7098851300581774</x:v>
      </x:c>
      <x:c r="H300" s="24" t="n">
        <x:f>F300-G300</x:f>
        <x:v>0.0647561965474619</x:v>
      </x:c>
    </x:row>
    <x:row r="301">
      <x:c r="A301" s="2" t="str">
        <x:v>LiDA-1</x:v>
      </x:c>
      <x:c r="B301" s="4" t="str">
        <x:v>NaCl</x:v>
      </x:c>
      <x:c r="C301" s="23" t="n">
        <x:v>1.516572</x:v>
      </x:c>
      <x:c r="D301" s="23" t="n">
        <x:v>-10.01507</x:v>
      </x:c>
      <x:c r="E301" s="23" t="n">
        <x:f>'Parameters'!$B$2*'Parameters'!$B$3*LN(4*PI()*C301^2)</x:f>
        <x:v>8.339036176638732</x:v>
      </x:c>
      <x:c r="F301" s="23" t="n">
        <x:f>D301+E301</x:f>
        <x:v>-1.6760338233612675</x:v>
      </x:c>
      <x:c r="G301" s="23" t="n">
        <x:f>AVERAGE($F$325:$F$348)</x:f>
        <x:v>-1.7098851300581774</x:v>
      </x:c>
      <x:c r="H301" s="24" t="n">
        <x:f>F301-G301</x:f>
        <x:v>0.033851306696909944</x:v>
      </x:c>
    </x:row>
    <x:row r="302">
      <x:c r="A302" s="2" t="str">
        <x:v>LiDA-1</x:v>
      </x:c>
      <x:c r="B302" s="4" t="str">
        <x:v>NaCl</x:v>
      </x:c>
      <x:c r="C302" s="23" t="n">
        <x:v>1.52931</x:v>
      </x:c>
      <x:c r="D302" s="23" t="n">
        <x:v>-9.988097</x:v>
      </x:c>
      <x:c r="E302" s="23" t="n">
        <x:f>'Parameters'!$B$2*'Parameters'!$B$3*LN(4*PI()*C302^2)</x:f>
        <x:v>8.380504807049158</x:v>
      </x:c>
      <x:c r="F302" s="23" t="n">
        <x:f>D302+E302</x:f>
        <x:v>-1.6075921929508414</x:v>
      </x:c>
      <x:c r="G302" s="23" t="n">
        <x:f>AVERAGE($F$325:$F$348)</x:f>
        <x:v>-1.7098851300581774</x:v>
      </x:c>
      <x:c r="H302" s="24" t="n">
        <x:f>F302-G302</x:f>
        <x:v>0.102292937107336</x:v>
      </x:c>
    </x:row>
    <x:row r="303">
      <x:c r="A303" s="2" t="str">
        <x:v>LiDA-1</x:v>
      </x:c>
      <x:c r="B303" s="4" t="str">
        <x:v>NaCl</x:v>
      </x:c>
      <x:c r="C303" s="23" t="n">
        <x:v>1.542047</x:v>
      </x:c>
      <x:c r="D303" s="23" t="n">
        <x:v>-10.08041</x:v>
      </x:c>
      <x:c r="E303" s="23" t="n">
        <x:f>'Parameters'!$B$2*'Parameters'!$B$3*LN(4*PI()*C303^2)</x:f>
        <x:v>8.421626248408256</x:v>
      </x:c>
      <x:c r="F303" s="23" t="n">
        <x:f>D303+E303</x:f>
        <x:v>-1.658783751591745</x:v>
      </x:c>
      <x:c r="G303" s="23" t="n">
        <x:f>AVERAGE($F$325:$F$348)</x:f>
        <x:v>-1.7098851300581774</x:v>
      </x:c>
      <x:c r="H303" s="24" t="n">
        <x:f>F303-G303</x:f>
        <x:v>0.05110137846643248</x:v>
      </x:c>
    </x:row>
    <x:row r="304">
      <x:c r="A304" s="2" t="str">
        <x:v>LiDA-1</x:v>
      </x:c>
      <x:c r="B304" s="4" t="str">
        <x:v>NaCl</x:v>
      </x:c>
      <x:c r="C304" s="23" t="n">
        <x:v>1.554784</x:v>
      </x:c>
      <x:c r="D304" s="23" t="n">
        <x:v>-10.15564</x:v>
      </x:c>
      <x:c r="E304" s="23" t="n">
        <x:f>'Parameters'!$B$2*'Parameters'!$B$3*LN(4*PI()*C304^2)</x:f>
        <x:v>8.46240942802181</x:v>
      </x:c>
      <x:c r="F304" s="23" t="n">
        <x:f>D304+E304</x:f>
        <x:v>-1.6932305719781908</x:v>
      </x:c>
      <x:c r="G304" s="23" t="n">
        <x:f>AVERAGE($F$325:$F$348)</x:f>
        <x:v>-1.7098851300581774</x:v>
      </x:c>
      <x:c r="H304" s="24" t="n">
        <x:f>F304-G304</x:f>
        <x:v>0.016654558079986614</x:v>
      </x:c>
    </x:row>
    <x:row r="305">
      <x:c r="A305" s="2" t="str">
        <x:v>LiDA-1</x:v>
      </x:c>
      <x:c r="B305" s="4" t="str">
        <x:v>NaCl</x:v>
      </x:c>
      <x:c r="C305" s="23" t="n">
        <x:v>1.567521</x:v>
      </x:c>
      <x:c r="D305" s="23" t="n">
        <x:v>-9.999221</x:v>
      </x:c>
      <x:c r="E305" s="23" t="n">
        <x:f>'Parameters'!$B$2*'Parameters'!$B$3*LN(4*PI()*C305^2)</x:f>
        <x:v>8.502859865545519</x:v>
      </x:c>
      <x:c r="F305" s="23" t="n">
        <x:f>D305+E305</x:f>
        <x:v>-1.4963611344544816</x:v>
      </x:c>
      <x:c r="G305" s="23" t="n">
        <x:f>AVERAGE($F$325:$F$348)</x:f>
        <x:v>-1.7098851300581774</x:v>
      </x:c>
      <x:c r="H305" s="24" t="n">
        <x:f>F305-G305</x:f>
        <x:v>0.21352399560369584</x:v>
      </x:c>
    </x:row>
    <x:row r="306">
      <x:c r="A306" s="2" t="str">
        <x:v>LiDA-1</x:v>
      </x:c>
      <x:c r="B306" s="4" t="str">
        <x:v>NaCl</x:v>
      </x:c>
      <x:c r="C306" s="23" t="n">
        <x:v>1.580258</x:v>
      </x:c>
      <x:c r="D306" s="23" t="n">
        <x:v>-9.970347</x:v>
      </x:c>
      <x:c r="E306" s="23" t="n">
        <x:f>'Parameters'!$B$2*'Parameters'!$B$3*LN(4*PI()*C306^2)</x:f>
        <x:v>8.542982946625528</x:v>
      </x:c>
      <x:c r="F306" s="23" t="n">
        <x:f>D306+E306</x:f>
        <x:v>-1.4273640533744718</x:v>
      </x:c>
      <x:c r="G306" s="23" t="n">
        <x:f>AVERAGE($F$325:$F$348)</x:f>
        <x:v>-1.7098851300581774</x:v>
      </x:c>
      <x:c r="H306" s="24" t="n">
        <x:f>F306-G306</x:f>
        <x:v>0.28252107668370563</x:v>
      </x:c>
    </x:row>
    <x:row r="307">
      <x:c r="A307" s="2" t="str">
        <x:v>LiDA-1</x:v>
      </x:c>
      <x:c r="B307" s="4" t="str">
        <x:v>NaCl</x:v>
      </x:c>
      <x:c r="C307" s="23" t="n">
        <x:v>1.592995</x:v>
      </x:c>
      <x:c r="D307" s="23" t="n">
        <x:v>-10.03189</x:v>
      </x:c>
      <x:c r="E307" s="23" t="n">
        <x:f>'Parameters'!$B$2*'Parameters'!$B$3*LN(4*PI()*C307^2)</x:f>
        <x:v>8.582783927201715</x:v>
      </x:c>
      <x:c r="F307" s="23" t="n">
        <x:f>D307+E307</x:f>
        <x:v>-1.4491060727982852</x:v>
      </x:c>
      <x:c r="G307" s="23" t="n">
        <x:f>AVERAGE($F$325:$F$348)</x:f>
        <x:v>-1.7098851300581774</x:v>
      </x:c>
      <x:c r="H307" s="24" t="n">
        <x:f>F307-G307</x:f>
        <x:v>0.26077905725989226</x:v>
      </x:c>
    </x:row>
    <x:row r="308">
      <x:c r="A308" s="2" t="str">
        <x:v>LiDA-1</x:v>
      </x:c>
      <x:c r="B308" s="4" t="str">
        <x:v>NaCl</x:v>
      </x:c>
      <x:c r="C308" s="23" t="n">
        <x:v>1.605733</x:v>
      </x:c>
      <x:c r="D308" s="23" t="n">
        <x:v>-9.943449</x:v>
      </x:c>
      <x:c r="E308" s="23" t="n">
        <x:f>'Parameters'!$B$2*'Parameters'!$B$3*LN(4*PI()*C308^2)</x:f>
        <x:v>8.622271025273493</x:v>
      </x:c>
      <x:c r="F308" s="23" t="n">
        <x:f>D308+E308</x:f>
        <x:v>-1.3211779747265062</x:v>
      </x:c>
      <x:c r="G308" s="23" t="n">
        <x:f>AVERAGE($F$325:$F$348)</x:f>
        <x:v>-1.7098851300581774</x:v>
      </x:c>
      <x:c r="H308" s="24" t="n">
        <x:f>F308-G308</x:f>
        <x:v>0.3887071553316712</x:v>
      </x:c>
    </x:row>
    <x:row r="309">
      <x:c r="A309" s="2" t="str">
        <x:v>LiDA-1</x:v>
      </x:c>
      <x:c r="B309" s="4" t="str">
        <x:v>NaCl</x:v>
      </x:c>
      <x:c r="C309" s="23" t="n">
        <x:v>1.61847</x:v>
      </x:c>
      <x:c r="D309" s="23" t="n">
        <x:v>-10.17982</x:v>
      </x:c>
      <x:c r="E309" s="23" t="n">
        <x:f>'Parameters'!$B$2*'Parameters'!$B$3*LN(4*PI()*C309^2)</x:f>
        <x:v>8.661443050034002</x:v>
      </x:c>
      <x:c r="F309" s="23" t="n">
        <x:f>D309+E309</x:f>
        <x:v>-1.5183769499659974</x:v>
      </x:c>
      <x:c r="G309" s="23" t="n">
        <x:f>AVERAGE($F$325:$F$348)</x:f>
        <x:v>-1.7098851300581774</x:v>
      </x:c>
      <x:c r="H309" s="24" t="n">
        <x:f>F309-G309</x:f>
        <x:v>0.19150818009218007</x:v>
      </x:c>
    </x:row>
    <x:row r="310">
      <x:c r="A310" s="2" t="str">
        <x:v>LiDA-1</x:v>
      </x:c>
      <x:c r="B310" s="4" t="str">
        <x:v>NaCl</x:v>
      </x:c>
      <x:c r="C310" s="23" t="n">
        <x:v>1.631207</x:v>
      </x:c>
      <x:c r="D310" s="23" t="n">
        <x:v>-10.12296</x:v>
      </x:c>
      <x:c r="E310" s="23" t="n">
        <x:f>'Parameters'!$B$2*'Parameters'!$B$3*LN(4*PI()*C310^2)</x:f>
        <x:v>8.700308004762965</x:v>
      </x:c>
      <x:c r="F310" s="23" t="n">
        <x:f>D310+E310</x:f>
        <x:v>-1.422651995237036</x:v>
      </x:c>
      <x:c r="G310" s="23" t="n">
        <x:f>AVERAGE($F$325:$F$348)</x:f>
        <x:v>-1.7098851300581774</x:v>
      </x:c>
      <x:c r="H310" s="24" t="n">
        <x:f>F310-G310</x:f>
        <x:v>0.28723313482114143</x:v>
      </x:c>
    </x:row>
    <x:row r="311">
      <x:c r="A311" s="2" t="str">
        <x:v>LiDA-1</x:v>
      </x:c>
      <x:c r="B311" s="4" t="str">
        <x:v>NaCl</x:v>
      </x:c>
      <x:c r="C311" s="23" t="n">
        <x:v>1.643944</x:v>
      </x:c>
      <x:c r="D311" s="23" t="n">
        <x:v>-10.27803</x:v>
      </x:c>
      <x:c r="E311" s="23" t="n">
        <x:f>'Parameters'!$B$2*'Parameters'!$B$3*LN(4*PI()*C311^2)</x:f>
        <x:v>8.738870666291266</x:v>
      </x:c>
      <x:c r="F311" s="23" t="n">
        <x:f>D311+E311</x:f>
        <x:v>-1.5391593337087333</x:v>
      </x:c>
      <x:c r="G311" s="23" t="n">
        <x:f>AVERAGE($F$325:$F$348)</x:f>
        <x:v>-1.7098851300581774</x:v>
      </x:c>
      <x:c r="H311" s="24" t="n">
        <x:f>F311-G311</x:f>
        <x:v>0.17072579634944418</x:v>
      </x:c>
    </x:row>
    <x:row r="312">
      <x:c r="A312" s="2" t="str">
        <x:v>LiDA-1</x:v>
      </x:c>
      <x:c r="B312" s="4" t="str">
        <x:v>NaCl</x:v>
      </x:c>
      <x:c r="C312" s="23" t="n">
        <x:v>1.656681</x:v>
      </x:c>
      <x:c r="D312" s="23" t="n">
        <x:v>-10.32504</x:v>
      </x:c>
      <x:c r="E312" s="23" t="n">
        <x:f>'Parameters'!$B$2*'Parameters'!$B$3*LN(4*PI()*C312^2)</x:f>
        <x:v>8.777135700845797</x:v>
      </x:c>
      <x:c r="F312" s="23" t="n">
        <x:f>D312+E312</x:f>
        <x:v>-1.5479042991542027</x:v>
      </x:c>
      <x:c r="G312" s="23" t="n">
        <x:f>AVERAGE($F$325:$F$348)</x:f>
        <x:v>-1.7098851300581774</x:v>
      </x:c>
      <x:c r="H312" s="24" t="n">
        <x:f>F312-G312</x:f>
        <x:v>0.16198083090397475</x:v>
      </x:c>
    </x:row>
    <x:row r="313">
      <x:c r="A313" s="2" t="str">
        <x:v>LiDA-1</x:v>
      </x:c>
      <x:c r="B313" s="4" t="str">
        <x:v>NaCl</x:v>
      </x:c>
      <x:c r="C313" s="23" t="n">
        <x:v>1.669419</x:v>
      </x:c>
      <x:c r="D313" s="23" t="n">
        <x:v>-10.22605</x:v>
      </x:c>
      <x:c r="E313" s="23" t="n">
        <x:f>'Parameters'!$B$2*'Parameters'!$B$3*LN(4*PI()*C313^2)</x:f>
        <x:v>8.815110637282851</x:v>
      </x:c>
      <x:c r="F313" s="23" t="n">
        <x:f>D313+E313</x:f>
        <x:v>-1.4109393627171496</x:v>
      </x:c>
      <x:c r="G313" s="23" t="n">
        <x:f>AVERAGE($F$325:$F$348)</x:f>
        <x:v>-1.7098851300581774</x:v>
      </x:c>
      <x:c r="H313" s="24" t="n">
        <x:f>F313-G313</x:f>
        <x:v>0.29894576734102785</x:v>
      </x:c>
    </x:row>
    <x:row r="314">
      <x:c r="A314" s="2" t="str">
        <x:v>LiDA-1</x:v>
      </x:c>
      <x:c r="B314" s="4" t="str">
        <x:v>NaCl</x:v>
      </x:c>
      <x:c r="C314" s="23" t="n">
        <x:v>1.682156</x:v>
      </x:c>
      <x:c r="D314" s="23" t="n">
        <x:v>-10.27632</x:v>
      </x:c>
      <x:c r="E314" s="23" t="n">
        <x:f>'Parameters'!$B$2*'Parameters'!$B$3*LN(4*PI()*C314^2)</x:f>
        <x:v>8.852793968480945</x:v>
      </x:c>
      <x:c r="F314" s="23" t="n">
        <x:f>D314+E314</x:f>
        <x:v>-1.4235260315190548</x:v>
      </x:c>
      <x:c r="G314" s="23" t="n">
        <x:f>AVERAGE($F$325:$F$348)</x:f>
        <x:v>-1.7098851300581774</x:v>
      </x:c>
      <x:c r="H314" s="24" t="n">
        <x:f>F314-G314</x:f>
        <x:v>0.28635909853912267</x:v>
      </x:c>
    </x:row>
    <x:row r="315">
      <x:c r="A315" s="2" t="str">
        <x:v>LiDA-1</x:v>
      </x:c>
      <x:c r="B315" s="4" t="str">
        <x:v>NaCl</x:v>
      </x:c>
      <x:c r="C315" s="23" t="n">
        <x:v>1.694893</x:v>
      </x:c>
      <x:c r="D315" s="23" t="n">
        <x:v>-10.26239</x:v>
      </x:c>
      <x:c r="E315" s="23" t="n">
        <x:f>'Parameters'!$B$2*'Parameters'!$B$3*LN(4*PI()*C315^2)</x:f>
        <x:v>8.890193041346608</x:v>
      </x:c>
      <x:c r="F315" s="23" t="n">
        <x:f>D315+E315</x:f>
        <x:v>-1.372196958653392</x:v>
      </x:c>
      <x:c r="G315" s="23" t="n">
        <x:f>AVERAGE($F$325:$F$348)</x:f>
        <x:v>-1.7098851300581774</x:v>
      </x:c>
      <x:c r="H315" s="24" t="n">
        <x:f>F315-G315</x:f>
        <x:v>0.33768817140478546</x:v>
      </x:c>
    </x:row>
    <x:row r="316">
      <x:c r="A316" s="2" t="str">
        <x:v>LiDA-1</x:v>
      </x:c>
      <x:c r="B316" s="4" t="str">
        <x:v>NaCl</x:v>
      </x:c>
      <x:c r="C316" s="23" t="n">
        <x:v>1.70763</x:v>
      </x:c>
      <x:c r="D316" s="23" t="n">
        <x:v>-10.31658</x:v>
      </x:c>
      <x:c r="E316" s="23" t="n">
        <x:f>'Parameters'!$B$2*'Parameters'!$B$3*LN(4*PI()*C316^2)</x:f>
        <x:v>8.927312112308966</x:v>
      </x:c>
      <x:c r="F316" s="23" t="n">
        <x:f>D316+E316</x:f>
        <x:v>-1.3892678876910338</x:v>
      </x:c>
      <x:c r="G316" s="23" t="n">
        <x:f>AVERAGE($F$325:$F$348)</x:f>
        <x:v>-1.7098851300581774</x:v>
      </x:c>
      <x:c r="H316" s="24" t="n">
        <x:f>F316-G316</x:f>
        <x:v>0.3206172423671436</x:v>
      </x:c>
    </x:row>
    <x:row r="317">
      <x:c r="A317" s="2" t="str">
        <x:v>LiDA-1</x:v>
      </x:c>
      <x:c r="B317" s="4" t="str">
        <x:v>NaCl</x:v>
      </x:c>
      <x:c r="C317" s="23" t="n">
        <x:v>1.720367</x:v>
      </x:c>
      <x:c r="D317" s="23" t="n">
        <x:v>-10.29173</x:v>
      </x:c>
      <x:c r="E317" s="23" t="n">
        <x:f>'Parameters'!$B$2*'Parameters'!$B$3*LN(4*PI()*C317^2)</x:f>
        <x:v>8.964155342904741</x:v>
      </x:c>
      <x:c r="F317" s="23" t="n">
        <x:f>D317+E317</x:f>
        <x:v>-1.3275746570952585</x:v>
      </x:c>
      <x:c r="G317" s="23" t="n">
        <x:f>AVERAGE($F$325:$F$348)</x:f>
        <x:v>-1.7098851300581774</x:v>
      </x:c>
      <x:c r="H317" s="24" t="n">
        <x:f>F317-G317</x:f>
        <x:v>0.382310472962919</x:v>
      </x:c>
    </x:row>
    <x:row r="318">
      <x:c r="A318" s="2" t="str">
        <x:v>LiDA-1</x:v>
      </x:c>
      <x:c r="B318" s="4" t="str">
        <x:v>NaCl</x:v>
      </x:c>
      <x:c r="C318" s="23" t="n">
        <x:v>1.733104</x:v>
      </x:c>
      <x:c r="D318" s="23" t="n">
        <x:v>-10.47951</x:v>
      </x:c>
      <x:c r="E318" s="23" t="n">
        <x:f>'Parameters'!$B$2*'Parameters'!$B$3*LN(4*PI()*C318^2)</x:f>
        <x:v>9.00072680257815</x:v>
      </x:c>
      <x:c r="F318" s="23" t="n">
        <x:f>D318+E318</x:f>
        <x:v>-1.4787831974218495</x:v>
      </x:c>
      <x:c r="G318" s="23" t="n">
        <x:f>AVERAGE($F$325:$F$348)</x:f>
        <x:v>-1.7098851300581774</x:v>
      </x:c>
      <x:c r="H318" s="24" t="n">
        <x:f>F318-G318</x:f>
        <x:v>0.23110193263632794</x:v>
      </x:c>
    </x:row>
    <x:row r="319">
      <x:c r="A319" s="2" t="str">
        <x:v>LiDA-1</x:v>
      </x:c>
      <x:c r="B319" s="4" t="str">
        <x:v>NaCl</x:v>
      </x:c>
      <x:c r="C319" s="23" t="n">
        <x:v>1.745842</x:v>
      </x:c>
      <x:c r="D319" s="23" t="n">
        <x:v>-10.50937</x:v>
      </x:c>
      <x:c r="E319" s="23" t="n">
        <x:f>'Parameters'!$B$2*'Parameters'!$B$3*LN(4*PI()*C319^2)</x:f>
        <x:v>9.03703331122032</x:v>
      </x:c>
      <x:c r="F319" s="23" t="n">
        <x:f>D319+E319</x:f>
        <x:v>-1.4723366887796807</x:v>
      </x:c>
      <x:c r="G319" s="23" t="n">
        <x:f>AVERAGE($F$325:$F$348)</x:f>
        <x:v>-1.7098851300581774</x:v>
      </x:c>
      <x:c r="H319" s="24" t="n">
        <x:f>F319-G319</x:f>
        <x:v>0.23754844127849672</x:v>
      </x:c>
    </x:row>
    <x:row r="320">
      <x:c r="A320" s="2" t="str">
        <x:v>LiDA-1</x:v>
      </x:c>
      <x:c r="B320" s="4" t="str">
        <x:v>NaCl</x:v>
      </x:c>
      <x:c r="C320" s="23" t="n">
        <x:v>1.758579</x:v>
      </x:c>
      <x:c r="D320" s="23" t="n">
        <x:v>-10.45045</x:v>
      </x:c>
      <x:c r="E320" s="23" t="n">
        <x:f>'Parameters'!$B$2*'Parameters'!$B$3*LN(4*PI()*C320^2)</x:f>
        <x:v>9.073073061832186</x:v>
      </x:c>
      <x:c r="F320" s="23" t="n">
        <x:f>D320+E320</x:f>
        <x:v>-1.3773769381678136</x:v>
      </x:c>
      <x:c r="G320" s="23" t="n">
        <x:f>AVERAGE($F$325:$F$348)</x:f>
        <x:v>-1.7098851300581774</x:v>
      </x:c>
      <x:c r="H320" s="24" t="n">
        <x:f>F320-G320</x:f>
        <x:v>0.33250819189036385</x:v>
      </x:c>
    </x:row>
    <x:row r="321">
      <x:c r="A321" s="2" t="str">
        <x:v>LiDA-1</x:v>
      </x:c>
      <x:c r="B321" s="4" t="str">
        <x:v>NaCl</x:v>
      </x:c>
      <x:c r="C321" s="23" t="n">
        <x:v>1.771316</x:v>
      </x:c>
      <x:c r="D321" s="23" t="n">
        <x:v>-10.45884</x:v>
      </x:c>
      <x:c r="E321" s="23" t="n">
        <x:f>'Parameters'!$B$2*'Parameters'!$B$3*LN(4*PI()*C321^2)</x:f>
        <x:v>9.108852724083055</x:v>
      </x:c>
      <x:c r="F321" s="23" t="n">
        <x:f>D321+E321</x:f>
        <x:v>-1.349987275916945</x:v>
      </x:c>
      <x:c r="G321" s="23" t="n">
        <x:f>AVERAGE($F$325:$F$348)</x:f>
        <x:v>-1.7098851300581774</x:v>
      </x:c>
      <x:c r="H321" s="24" t="n">
        <x:f>F321-G321</x:f>
        <x:v>0.35989785414123254</x:v>
      </x:c>
    </x:row>
    <x:row r="322">
      <x:c r="A322" s="2" t="str">
        <x:v>LiDA-1</x:v>
      </x:c>
      <x:c r="B322" s="4" t="str">
        <x:v>NaCl</x:v>
      </x:c>
      <x:c r="C322" s="23" t="n">
        <x:v>1.784053</x:v>
      </x:c>
      <x:c r="D322" s="23" t="n">
        <x:v>-10.63578</x:v>
      </x:c>
      <x:c r="E322" s="23" t="n">
        <x:f>'Parameters'!$B$2*'Parameters'!$B$3*LN(4*PI()*C322^2)</x:f>
        <x:v>9.144376025055298</x:v>
      </x:c>
      <x:c r="F322" s="23" t="n">
        <x:f>D322+E322</x:f>
        <x:v>-1.4914039749447028</x:v>
      </x:c>
      <x:c r="G322" s="23" t="n">
        <x:f>AVERAGE($F$325:$F$348)</x:f>
        <x:v>-1.7098851300581774</x:v>
      </x:c>
      <x:c r="H322" s="24" t="n">
        <x:f>F322-G322</x:f>
        <x:v>0.21848115511347466</x:v>
      </x:c>
    </x:row>
    <x:row r="323">
      <x:c r="A323" s="2" t="str">
        <x:v>LiDA-1</x:v>
      </x:c>
      <x:c r="B323" s="4" t="str">
        <x:v>NaCl</x:v>
      </x:c>
      <x:c r="C323" s="23" t="n">
        <x:v>1.79679</x:v>
      </x:c>
      <x:c r="D323" s="23" t="n">
        <x:v>-10.71084</x:v>
      </x:c>
      <x:c r="E323" s="23" t="n">
        <x:f>'Parameters'!$B$2*'Parameters'!$B$3*LN(4*PI()*C323^2)</x:f>
        <x:v>9.1796466122869</x:v>
      </x:c>
      <x:c r="F323" s="23" t="n">
        <x:f>D323+E323</x:f>
        <x:v>-1.531193387713099</x:v>
      </x:c>
      <x:c r="G323" s="23" t="n">
        <x:f>AVERAGE($F$325:$F$348)</x:f>
        <x:v>-1.7098851300581774</x:v>
      </x:c>
      <x:c r="H323" s="24" t="n">
        <x:f>F323-G323</x:f>
        <x:v>0.17869174234507845</x:v>
      </x:c>
    </x:row>
    <x:row r="324">
      <x:c r="A324" s="2" t="str">
        <x:v>LiDA-1</x:v>
      </x:c>
      <x:c r="B324" s="4" t="str">
        <x:v>NaCl</x:v>
      </x:c>
      <x:c r="C324" s="23" t="n">
        <x:v>1.809528</x:v>
      </x:c>
      <x:c r="D324" s="23" t="n">
        <x:v>-10.77426</x:v>
      </x:c>
      <x:c r="E324" s="23" t="n">
        <x:f>'Parameters'!$B$2*'Parameters'!$B$3*LN(4*PI()*C324^2)</x:f>
        <x:v>9.214670795913314</x:v>
      </x:c>
      <x:c r="F324" s="23" t="n">
        <x:f>D324+E324</x:f>
        <x:v>-1.559589204086686</x:v>
      </x:c>
      <x:c r="G324" s="23" t="n">
        <x:f>AVERAGE($F$325:$F$348)</x:f>
        <x:v>-1.7098851300581774</x:v>
      </x:c>
      <x:c r="H324" s="24" t="n">
        <x:f>F324-G324</x:f>
        <x:v>0.15029592597149133</x:v>
      </x:c>
    </x:row>
    <x:row r="325">
      <x:c r="A325" s="2" t="str">
        <x:v>LiDA-1</x:v>
      </x:c>
      <x:c r="B325" s="4" t="str">
        <x:v>NaCl</x:v>
      </x:c>
      <x:c r="C325" s="23" t="n">
        <x:v>1.822265</x:v>
      </x:c>
      <x:c r="D325" s="23" t="n">
        <x:v>-11.03822</x:v>
      </x:c>
      <x:c r="E325" s="23" t="n">
        <x:f>'Parameters'!$B$2*'Parameters'!$B$3*LN(4*PI()*C325^2)</x:f>
        <x:v>9.249446572108134</x:v>
      </x:c>
      <x:c r="F325" s="23" t="n">
        <x:f>D325+E325</x:f>
        <x:v>-1.7887734278918668</x:v>
      </x:c>
      <x:c r="G325" s="23" t="n">
        <x:f>AVERAGE($F$325:$F$348)</x:f>
        <x:v>-1.7098851300581774</x:v>
      </x:c>
      <x:c r="H325" s="24" t="n">
        <x:f>F325-G325</x:f>
        <x:v>-0.07888829783368934</x:v>
      </x:c>
    </x:row>
    <x:row r="326">
      <x:c r="A326" s="2" t="str">
        <x:v>LiDA-1</x:v>
      </x:c>
      <x:c r="B326" s="4" t="str">
        <x:v>NaCl</x:v>
      </x:c>
      <x:c r="C326" s="23" t="n">
        <x:v>1.835002</x:v>
      </x:c>
      <x:c r="D326" s="23" t="n">
        <x:v>-11.09383</x:v>
      </x:c>
      <x:c r="E326" s="23" t="n">
        <x:f>'Parameters'!$B$2*'Parameters'!$B$3*LN(4*PI()*C326^2)</x:f>
        <x:v>9.283980122260633</x:v>
      </x:c>
      <x:c r="F326" s="23" t="n">
        <x:f>D326+E326</x:f>
        <x:v>-1.8098498777393672</x:v>
      </x:c>
      <x:c r="G326" s="23" t="n">
        <x:f>AVERAGE($F$325:$F$348)</x:f>
        <x:v>-1.7098851300581774</x:v>
      </x:c>
      <x:c r="H326" s="24" t="n">
        <x:f>F326-G326</x:f>
        <x:v>-0.09996474768118979</x:v>
      </x:c>
    </x:row>
    <x:row r="327">
      <x:c r="A327" s="2" t="str">
        <x:v>LiDA-1</x:v>
      </x:c>
      <x:c r="B327" s="4" t="str">
        <x:v>NaCl</x:v>
      </x:c>
      <x:c r="C327" s="23" t="n">
        <x:v>1.847739</x:v>
      </x:c>
      <x:c r="D327" s="23" t="n">
        <x:v>-11.10337</x:v>
      </x:c>
      <x:c r="E327" s="23" t="n">
        <x:f>'Parameters'!$B$2*'Parameters'!$B$3*LN(4*PI()*C327^2)</x:f>
        <x:v>9.318274797429451</x:v>
      </x:c>
      <x:c r="F327" s="23" t="n">
        <x:f>D327+E327</x:f>
        <x:v>-1.7850952025705489</x:v>
      </x:c>
      <x:c r="G327" s="23" t="n">
        <x:f>AVERAGE($F$325:$F$348)</x:f>
        <x:v>-1.7098851300581774</x:v>
      </x:c>
      <x:c r="H327" s="24" t="n">
        <x:f>F327-G327</x:f>
        <x:v>-0.07521007251237144</x:v>
      </x:c>
    </x:row>
    <x:row r="328">
      <x:c r="A328" s="2" t="str">
        <x:v>LiDA-1</x:v>
      </x:c>
      <x:c r="B328" s="4" t="str">
        <x:v>NaCl</x:v>
      </x:c>
      <x:c r="C328" s="23" t="n">
        <x:v>1.860476</x:v>
      </x:c>
      <x:c r="D328" s="23" t="n">
        <x:v>-11.1126</x:v>
      </x:c>
      <x:c r="E328" s="23" t="n">
        <x:f>'Parameters'!$B$2*'Parameters'!$B$3*LN(4*PI()*C328^2)</x:f>
        <x:v>9.352333879610711</x:v>
      </x:c>
      <x:c r="F328" s="23" t="n">
        <x:f>D328+E328</x:f>
        <x:v>-1.7602661203892893</x:v>
      </x:c>
      <x:c r="G328" s="23" t="n">
        <x:f>AVERAGE($F$325:$F$348)</x:f>
        <x:v>-1.7098851300581774</x:v>
      </x:c>
      <x:c r="H328" s="24" t="n">
        <x:f>F328-G328</x:f>
        <x:v>-0.050380990331111875</x:v>
      </x:c>
    </x:row>
    <x:row r="329">
      <x:c r="A329" s="2" t="str">
        <x:v>LiDA-1</x:v>
      </x:c>
      <x:c r="B329" s="4" t="str">
        <x:v>NaCl</x:v>
      </x:c>
      <x:c r="C329" s="23" t="n">
        <x:v>1.873213</x:v>
      </x:c>
      <x:c r="D329" s="23" t="n">
        <x:v>-11.29533</x:v>
      </x:c>
      <x:c r="E329" s="23" t="n">
        <x:f>'Parameters'!$B$2*'Parameters'!$B$3*LN(4*PI()*C329^2)</x:f>
        <x:v>9.386160583622836</x:v>
      </x:c>
      <x:c r="F329" s="23" t="n">
        <x:f>D329+E329</x:f>
        <x:v>-1.9091694163771642</x:v>
      </x:c>
      <x:c r="G329" s="23" t="n">
        <x:f>AVERAGE($F$325:$F$348)</x:f>
        <x:v>-1.7098851300581774</x:v>
      </x:c>
      <x:c r="H329" s="24" t="n">
        <x:f>F329-G329</x:f>
        <x:v>-0.19928428631898676</x:v>
      </x:c>
    </x:row>
    <x:row r="330">
      <x:c r="A330" s="2" t="str">
        <x:v>LiDA-1</x:v>
      </x:c>
      <x:c r="B330" s="4" t="str">
        <x:v>NaCl</x:v>
      </x:c>
      <x:c r="C330" s="23" t="n">
        <x:v>1.885951</x:v>
      </x:c>
      <x:c r="D330" s="23" t="n">
        <x:v>-11.37573</x:v>
      </x:c>
      <x:c r="E330" s="23" t="n">
        <x:f>'Parameters'!$B$2*'Parameters'!$B$3*LN(4*PI()*C330^2)</x:f>
        <x:v>9.419760687795048</x:v>
      </x:c>
      <x:c r="F330" s="23" t="n">
        <x:f>D330+E330</x:f>
        <x:v>-1.955969312204953</x:v>
      </x:c>
      <x:c r="G330" s="23" t="n">
        <x:f>AVERAGE($F$325:$F$348)</x:f>
        <x:v>-1.7098851300581774</x:v>
      </x:c>
      <x:c r="H330" s="24" t="n">
        <x:f>F330-G330</x:f>
        <x:v>-0.24608418214677563</x:v>
      </x:c>
    </x:row>
    <x:row r="331">
      <x:c r="A331" s="2" t="str">
        <x:v>LiDA-1</x:v>
      </x:c>
      <x:c r="B331" s="4" t="str">
        <x:v>NaCl</x:v>
      </x:c>
      <x:c r="C331" s="23" t="n">
        <x:v>1.898688</x:v>
      </x:c>
      <x:c r="D331" s="23" t="n">
        <x:v>-11.18821</x:v>
      </x:c>
      <x:c r="E331" s="23" t="n">
        <x:f>'Parameters'!$B$2*'Parameters'!$B$3*LN(4*PI()*C331^2)</x:f>
        <x:v>9.453132002621585</x:v>
      </x:c>
      <x:c r="F331" s="23" t="n">
        <x:f>D331+E331</x:f>
        <x:v>-1.735077997378415</x:v>
      </x:c>
      <x:c r="G331" s="23" t="n">
        <x:f>AVERAGE($F$325:$F$348)</x:f>
        <x:v>-1.7098851300581774</x:v>
      </x:c>
      <x:c r="H331" s="24" t="n">
        <x:f>F331-G331</x:f>
        <x:v>-0.02519286732023751</x:v>
      </x:c>
    </x:row>
    <x:row r="332">
      <x:c r="A332" s="2" t="str">
        <x:v>LiDA-1</x:v>
      </x:c>
      <x:c r="B332" s="4" t="str">
        <x:v>NaCl</x:v>
      </x:c>
      <x:c r="C332" s="23" t="n">
        <x:v>1.911425</x:v>
      </x:c>
      <x:c r="D332" s="23" t="n">
        <x:v>-11.32454</x:v>
      </x:c>
      <x:c r="E332" s="23" t="n">
        <x:f>'Parameters'!$B$2*'Parameters'!$B$3*LN(4*PI()*C332^2)</x:f>
        <x:v>9.486280198808679</x:v>
      </x:c>
      <x:c r="F332" s="23" t="n">
        <x:f>D332+E332</x:f>
        <x:v>-1.838259801191322</x:v>
      </x:c>
      <x:c r="G332" s="23" t="n">
        <x:f>AVERAGE($F$325:$F$348)</x:f>
        <x:v>-1.7098851300581774</x:v>
      </x:c>
      <x:c r="H332" s="24" t="n">
        <x:f>F332-G332</x:f>
        <x:v>-0.1283746711331446</x:v>
      </x:c>
    </x:row>
    <x:row r="333">
      <x:c r="A333" s="2" t="str">
        <x:v>LiDA-1</x:v>
      </x:c>
      <x:c r="B333" s="4" t="str">
        <x:v>NaCl</x:v>
      </x:c>
      <x:c r="C333" s="23" t="n">
        <x:v>1.924162</x:v>
      </x:c>
      <x:c r="D333" s="23" t="n">
        <x:v>-11.2489</x:v>
      </x:c>
      <x:c r="E333" s="23" t="n">
        <x:f>'Parameters'!$B$2*'Parameters'!$B$3*LN(4*PI()*C333^2)</x:f>
        <x:v>9.51920824006818</x:v>
      </x:c>
      <x:c r="F333" s="23" t="n">
        <x:f>D333+E333</x:f>
        <x:v>-1.7296917599318213</x:v>
      </x:c>
      <x:c r="G333" s="23" t="n">
        <x:f>AVERAGE($F$325:$F$348)</x:f>
        <x:v>-1.7098851300581774</x:v>
      </x:c>
      <x:c r="H333" s="24" t="n">
        <x:f>F333-G333</x:f>
        <x:v>-0.0198066298736439</x:v>
      </x:c>
    </x:row>
    <x:row r="334">
      <x:c r="A334" s="2" t="str">
        <x:v>LiDA-1</x:v>
      </x:c>
      <x:c r="B334" s="4" t="str">
        <x:v>NaCl</x:v>
      </x:c>
      <x:c r="C334" s="23" t="n">
        <x:v>1.936899</x:v>
      </x:c>
      <x:c r="D334" s="23" t="n">
        <x:v>-11.30417</x:v>
      </x:c>
      <x:c r="E334" s="23" t="n">
        <x:f>'Parameters'!$B$2*'Parameters'!$B$3*LN(4*PI()*C334^2)</x:f>
        <x:v>9.551919031450312</x:v>
      </x:c>
      <x:c r="F334" s="23" t="n">
        <x:f>D334+E334</x:f>
        <x:v>-1.7522509685496868</x:v>
      </x:c>
      <x:c r="G334" s="23" t="n">
        <x:f>AVERAGE($F$325:$F$348)</x:f>
        <x:v>-1.7098851300581774</x:v>
      </x:c>
      <x:c r="H334" s="24" t="n">
        <x:f>F334-G334</x:f>
        <x:v>-0.04236583849150932</x:v>
      </x:c>
    </x:row>
    <x:row r="335">
      <x:c r="A335" s="2" t="str">
        <x:v>LiDA-1</x:v>
      </x:c>
      <x:c r="B335" s="4" t="str">
        <x:v>NaCl</x:v>
      </x:c>
      <x:c r="C335" s="23" t="n">
        <x:v>1.949637</x:v>
      </x:c>
      <x:c r="D335" s="23" t="n">
        <x:v>-11.18859</x:v>
      </x:c>
      <x:c r="E335" s="23" t="n">
        <x:f>'Parameters'!$B$2*'Parameters'!$B$3*LN(4*PI()*C335^2)</x:f>
        <x:v>9.58441796387575</x:v>
      </x:c>
      <x:c r="F335" s="23" t="n">
        <x:f>D335+E335</x:f>
        <x:v>-1.6041720361242504</x:v>
      </x:c>
      <x:c r="G335" s="23" t="n">
        <x:f>AVERAGE($F$325:$F$348)</x:f>
        <x:v>-1.7098851300581774</x:v>
      </x:c>
      <x:c r="H335" s="24" t="n">
        <x:f>F335-G335</x:f>
        <x:v>0.10571309393392703</x:v>
      </x:c>
    </x:row>
    <x:row r="336">
      <x:c r="A336" s="2" t="str">
        <x:v>LiDA-1</x:v>
      </x:c>
      <x:c r="B336" s="4" t="str">
        <x:v>NaCl</x:v>
      </x:c>
      <x:c r="C336" s="23" t="n">
        <x:v>1.962374</x:v>
      </x:c>
      <x:c r="D336" s="23" t="n">
        <x:v>-11.40535</x:v>
      </x:c>
      <x:c r="E336" s="23" t="n">
        <x:f>'Parameters'!$B$2*'Parameters'!$B$3*LN(4*PI()*C336^2)</x:f>
        <x:v>9.616702727141673</x:v>
      </x:c>
      <x:c r="F336" s="23" t="n">
        <x:f>D336+E336</x:f>
        <x:v>-1.7886472728583271</x:v>
      </x:c>
      <x:c r="G336" s="23" t="n">
        <x:f>AVERAGE($F$325:$F$348)</x:f>
        <x:v>-1.7098851300581774</x:v>
      </x:c>
      <x:c r="H336" s="24" t="n">
        <x:f>F336-G336</x:f>
        <x:v>-0.0787621428001497</x:v>
      </x:c>
    </x:row>
    <x:row r="337">
      <x:c r="A337" s="2" t="str">
        <x:v>LiDA-1</x:v>
      </x:c>
      <x:c r="B337" s="4" t="str">
        <x:v>NaCl</x:v>
      </x:c>
      <x:c r="C337" s="23" t="n">
        <x:v>1.975111</x:v>
      </x:c>
      <x:c r="D337" s="23" t="n">
        <x:v>-11.43673</x:v>
      </x:c>
      <x:c r="E337" s="23" t="n">
        <x:f>'Parameters'!$B$2*'Parameters'!$B$3*LN(4*PI()*C337^2)</x:f>
        <x:v>9.648778619055612</x:v>
      </x:c>
      <x:c r="F337" s="23" t="n">
        <x:f>D337+E337</x:f>
        <x:v>-1.7879513809443885</x:v>
      </x:c>
      <x:c r="G337" s="23" t="n">
        <x:f>AVERAGE($F$325:$F$348)</x:f>
        <x:v>-1.7098851300581774</x:v>
      </x:c>
      <x:c r="H337" s="24" t="n">
        <x:f>F337-G337</x:f>
        <x:v>-0.07806625088621111</x:v>
      </x:c>
    </x:row>
    <x:row r="338">
      <x:c r="A338" s="2" t="str">
        <x:v>LiDA-1</x:v>
      </x:c>
      <x:c r="B338" s="4" t="str">
        <x:v>NaCl</x:v>
      </x:c>
      <x:c r="C338" s="23" t="n">
        <x:v>1.987848</x:v>
      </x:c>
      <x:c r="D338" s="23" t="n">
        <x:v>-11.19636</x:v>
      </x:c>
      <x:c r="E338" s="23" t="n">
        <x:f>'Parameters'!$B$2*'Parameters'!$B$3*LN(4*PI()*C338^2)</x:f>
        <x:v>9.680648324906082</x:v>
      </x:c>
      <x:c r="F338" s="23" t="n">
        <x:f>D338+E338</x:f>
        <x:v>-1.5157116750939181</x:v>
      </x:c>
      <x:c r="G338" s="23" t="n">
        <x:f>AVERAGE($F$325:$F$348)</x:f>
        <x:v>-1.7098851300581774</x:v>
      </x:c>
      <x:c r="H338" s="24" t="n">
        <x:f>F338-G338</x:f>
        <x:v>0.1941734549642593</x:v>
      </x:c>
    </x:row>
    <x:row r="339">
      <x:c r="A339" s="2" t="str">
        <x:v>LiDA-1</x:v>
      </x:c>
      <x:c r="B339" s="4" t="str">
        <x:v>NaCl</x:v>
      </x:c>
      <x:c r="C339" s="23" t="n">
        <x:v>2.000585</x:v>
      </x:c>
      <x:c r="D339" s="23" t="n">
        <x:v>-11.31314</x:v>
      </x:c>
      <x:c r="E339" s="23" t="n">
        <x:f>'Parameters'!$B$2*'Parameters'!$B$3*LN(4*PI()*C339^2)</x:f>
        <x:v>9.712314478528318</x:v>
      </x:c>
      <x:c r="F339" s="23" t="n">
        <x:f>D339+E339</x:f>
        <x:v>-1.6008255214716822</x:v>
      </x:c>
      <x:c r="G339" s="23" t="n">
        <x:f>AVERAGE($F$325:$F$348)</x:f>
        <x:v>-1.7098851300581774</x:v>
      </x:c>
      <x:c r="H339" s="24" t="n">
        <x:f>F339-G339</x:f>
        <x:v>0.10905960858649522</x:v>
      </x:c>
    </x:row>
    <x:row r="340">
      <x:c r="A340" s="2" t="str">
        <x:v>LiDA-1</x:v>
      </x:c>
      <x:c r="B340" s="4" t="str">
        <x:v>NaCl</x:v>
      </x:c>
      <x:c r="C340" s="23" t="n">
        <x:v>2.013322</x:v>
      </x:c>
      <x:c r="D340" s="23" t="n">
        <x:v>-11.29586</x:v>
      </x:c>
      <x:c r="E340" s="23" t="n">
        <x:f>'Parameters'!$B$2*'Parameters'!$B$3*LN(4*PI()*C340^2)</x:f>
        <x:v>9.743779663610491</x:v>
      </x:c>
      <x:c r="F340" s="23" t="n">
        <x:f>D340+E340</x:f>
        <x:v>-1.5520803363895084</x:v>
      </x:c>
      <x:c r="G340" s="23" t="n">
        <x:f>AVERAGE($F$325:$F$348)</x:f>
        <x:v>-1.7098851300581774</x:v>
      </x:c>
      <x:c r="H340" s="24" t="n">
        <x:f>F340-G340</x:f>
        <x:v>0.15780479366866906</x:v>
      </x:c>
    </x:row>
    <x:row r="341">
      <x:c r="A341" s="2" t="str">
        <x:v>LiDA-1</x:v>
      </x:c>
      <x:c r="B341" s="4" t="str">
        <x:v>NaCl</x:v>
      </x:c>
      <x:c r="C341" s="23" t="n">
        <x:v>2.02606</x:v>
      </x:c>
      <x:c r="D341" s="23" t="n">
        <x:v>-11.40476</x:v>
      </x:c>
      <x:c r="E341" s="23" t="n">
        <x:f>'Parameters'!$B$2*'Parameters'!$B$3*LN(4*PI()*C341^2)</x:f>
        <x:v>9.775048862030998</x:v>
      </x:c>
      <x:c r="F341" s="23" t="n">
        <x:f>D341+E341</x:f>
        <x:v>-1.629711137969002</x:v>
      </x:c>
      <x:c r="G341" s="23" t="n">
        <x:f>AVERAGE($F$325:$F$348)</x:f>
        <x:v>-1.7098851300581774</x:v>
      </x:c>
      <x:c r="H341" s="24" t="n">
        <x:f>F341-G341</x:f>
        <x:v>0.08017399208917553</x:v>
      </x:c>
    </x:row>
    <x:row r="342">
      <x:c r="A342" s="2" t="str">
        <x:v>LiDA-1</x:v>
      </x:c>
      <x:c r="B342" s="4" t="str">
        <x:v>NaCl</x:v>
      </x:c>
      <x:c r="C342" s="23" t="n">
        <x:v>2.038797</x:v>
      </x:c>
      <x:c r="D342" s="23" t="n">
        <x:v>-11.44166</x:v>
      </x:c>
      <x:c r="E342" s="23" t="n">
        <x:f>'Parameters'!$B$2*'Parameters'!$B$3*LN(4*PI()*C342^2)</x:f>
        <x:v>9.806119651507057</x:v>
      </x:c>
      <x:c r="F342" s="23" t="n">
        <x:f>D342+E342</x:f>
        <x:v>-1.6355403484929436</x:v>
      </x:c>
      <x:c r="G342" s="23" t="n">
        <x:f>AVERAGE($F$325:$F$348)</x:f>
        <x:v>-1.7098851300581774</x:v>
      </x:c>
      <x:c r="H342" s="24" t="n">
        <x:f>F342-G342</x:f>
        <x:v>0.07434478156523383</x:v>
      </x:c>
    </x:row>
    <x:row r="343">
      <x:c r="A343" s="2" t="str">
        <x:v>LiDA-1</x:v>
      </x:c>
      <x:c r="B343" s="4" t="str">
        <x:v>NaCl</x:v>
      </x:c>
      <x:c r="C343" s="23" t="n">
        <x:v>2.051534</x:v>
      </x:c>
      <x:c r="D343" s="23" t="n">
        <x:v>-11.47621</x:v>
      </x:c>
      <x:c r="E343" s="23" t="n">
        <x:f>'Parameters'!$B$2*'Parameters'!$B$3*LN(4*PI()*C343^2)</x:f>
        <x:v>9.836996935268363</x:v>
      </x:c>
      <x:c r="F343" s="23" t="n">
        <x:f>D343+E343</x:f>
        <x:v>-1.6392130647316367</x:v>
      </x:c>
      <x:c r="G343" s="23" t="n">
        <x:f>AVERAGE($F$325:$F$348)</x:f>
        <x:v>-1.7098851300581774</x:v>
      </x:c>
      <x:c r="H343" s="24" t="n">
        <x:f>F343-G343</x:f>
        <x:v>0.07067206532654069</x:v>
      </x:c>
    </x:row>
    <x:row r="344">
      <x:c r="A344" s="2" t="str">
        <x:v>LiDA-1</x:v>
      </x:c>
      <x:c r="B344" s="4" t="str">
        <x:v>NaCl</x:v>
      </x:c>
      <x:c r="C344" s="23" t="n">
        <x:v>2.064271</x:v>
      </x:c>
      <x:c r="D344" s="23" t="n">
        <x:v>-11.52619</x:v>
      </x:c>
      <x:c r="E344" s="23" t="n">
        <x:f>'Parameters'!$B$2*'Parameters'!$B$3*LN(4*PI()*C344^2)</x:f>
        <x:v>9.86768310867237</x:v>
      </x:c>
      <x:c r="F344" s="23" t="n">
        <x:f>D344+E344</x:f>
        <x:v>-1.6585068913276295</x:v>
      </x:c>
      <x:c r="G344" s="23" t="n">
        <x:f>AVERAGE($F$325:$F$348)</x:f>
        <x:v>-1.7098851300581774</x:v>
      </x:c>
      <x:c r="H344" s="24" t="n">
        <x:f>F344-G344</x:f>
        <x:v>0.05137823873054792</x:v>
      </x:c>
    </x:row>
    <x:row r="345">
      <x:c r="A345" s="2" t="str">
        <x:v>LiDA-1</x:v>
      </x:c>
      <x:c r="B345" s="4" t="str">
        <x:v>NaCl</x:v>
      </x:c>
      <x:c r="C345" s="23" t="n">
        <x:v>2.077008</x:v>
      </x:c>
      <x:c r="D345" s="23" t="n">
        <x:v>-11.55825</x:v>
      </x:c>
      <x:c r="E345" s="23" t="n">
        <x:f>'Parameters'!$B$2*'Parameters'!$B$3*LN(4*PI()*C345^2)</x:f>
        <x:v>9.898180522872707</x:v>
      </x:c>
      <x:c r="F345" s="23" t="n">
        <x:f>D345+E345</x:f>
        <x:v>-1.6600694771272924</x:v>
      </x:c>
      <x:c r="G345" s="23" t="n">
        <x:f>AVERAGE($F$325:$F$348)</x:f>
        <x:v>-1.7098851300581774</x:v>
      </x:c>
      <x:c r="H345" s="24" t="n">
        <x:f>F345-G345</x:f>
        <x:v>0.04981565293088508</x:v>
      </x:c>
    </x:row>
    <x:row r="346">
      <x:c r="A346" s="2" t="str">
        <x:v>LiDA-1</x:v>
      </x:c>
      <x:c r="B346" s="4" t="str">
        <x:v>NaCl</x:v>
      </x:c>
      <x:c r="C346" s="23" t="n">
        <x:v>2.089746</x:v>
      </x:c>
      <x:c r="D346" s="23" t="n">
        <x:v>-11.58881</x:v>
      </x:c>
      <x:c r="E346" s="23" t="n">
        <x:f>'Parameters'!$B$2*'Parameters'!$B$3*LN(4*PI()*C346^2)</x:f>
        <x:v>9.92849385839677</x:v>
      </x:c>
      <x:c r="F346" s="23" t="n">
        <x:f>D346+E346</x:f>
        <x:v>-1.6603161416032304</x:v>
      </x:c>
      <x:c r="G346" s="23" t="n">
        <x:f>AVERAGE($F$325:$F$348)</x:f>
        <x:v>-1.7098851300581774</x:v>
      </x:c>
      <x:c r="H346" s="24" t="n">
        <x:f>F346-G346</x:f>
        <x:v>0.04956898845494706</x:v>
      </x:c>
    </x:row>
    <x:row r="347">
      <x:c r="A347" s="2" t="str">
        <x:v>LiDA-1</x:v>
      </x:c>
      <x:c r="B347" s="4" t="str">
        <x:v>NaCl</x:v>
      </x:c>
      <x:c r="C347" s="23" t="n">
        <x:v>2.102483</x:v>
      </x:c>
      <x:c r="D347" s="23" t="n">
        <x:v>-11.6034</x:v>
      </x:c>
      <x:c r="E347" s="23" t="n">
        <x:f>'Parameters'!$B$2*'Parameters'!$B$3*LN(4*PI()*C347^2)</x:f>
        <x:v>9.958620621834788</x:v>
      </x:c>
      <x:c r="F347" s="23" t="n">
        <x:f>D347+E347</x:f>
        <x:v>-1.6447793781652127</x:v>
      </x:c>
      <x:c r="G347" s="23" t="n">
        <x:f>AVERAGE($F$325:$F$348)</x:f>
        <x:v>-1.7098851300581774</x:v>
      </x:c>
      <x:c r="H347" s="24" t="n">
        <x:f>F347-G347</x:f>
        <x:v>0.06510575189296475</x:v>
      </x:c>
    </x:row>
    <x:row r="348">
      <x:c r="A348" s="2" t="str">
        <x:v>LiDA-1</x:v>
      </x:c>
      <x:c r="B348" s="4" t="str">
        <x:v>NaCl</x:v>
      </x:c>
      <x:c r="C348" s="23" t="n">
        <x:v>2.11522</x:v>
      </x:c>
      <x:c r="D348" s="23" t="n">
        <x:v>-11.58388</x:v>
      </x:c>
      <x:c r="E348" s="23" t="n">
        <x:f>'Parameters'!$B$2*'Parameters'!$B$3*LN(4*PI()*C348^2)</x:f>
        <x:v>9.988565425127202</x:v>
      </x:c>
      <x:c r="F348" s="23" t="n">
        <x:f>D348+E348</x:f>
        <x:v>-1.5953145748727984</x:v>
      </x:c>
      <x:c r="G348" s="23" t="n">
        <x:f>AVERAGE($F$325:$F$348)</x:f>
        <x:v>-1.7098851300581774</x:v>
      </x:c>
      <x:c r="H348" s="24" t="n">
        <x:f>F348-G348</x:f>
        <x:v>0.11457055518537906</x:v>
      </x:c>
    </x:row>
    <x:row r="349">
      <x:c r="A349" s="2" t="str">
        <x:v>LiDA-1</x:v>
      </x:c>
      <x:c r="B349" s="4" t="str">
        <x:v>NaCl</x:v>
      </x:c>
      <x:c r="C349" s="23" t="n">
        <x:v>2.127957</x:v>
      </x:c>
      <x:c r="D349" s="23" t="n">
        <x:v>-11.65542</x:v>
      </x:c>
      <x:c r="E349" s="23" t="n">
        <x:f>'Parameters'!$B$2*'Parameters'!$B$3*LN(4*PI()*C349^2)</x:f>
        <x:v>10.018330453096743</x:v>
      </x:c>
      <x:c r="F349" s="23" t="n">
        <x:f>D349+E349</x:f>
        <x:v>-1.6370895469032565</x:v>
      </x:c>
      <x:c r="G349" s="23" t="n">
        <x:f>AVERAGE($F$325:$F$348)</x:f>
        <x:v>-1.7098851300581774</x:v>
      </x:c>
      <x:c r="H349" s="24" t="n">
        <x:f>F349-G349</x:f>
        <x:v>0.07279558315492096</x:v>
      </x:c>
    </x:row>
    <x:row r="350">
      <x:c r="A350" s="2" t="str">
        <x:v>LiDA-1</x:v>
      </x:c>
      <x:c r="B350" s="4" t="str">
        <x:v>NaCl</x:v>
      </x:c>
      <x:c r="C350" s="23" t="n">
        <x:v>2.140694</x:v>
      </x:c>
      <x:c r="D350" s="23" t="n">
        <x:v>-11.73338</x:v>
      </x:c>
      <x:c r="E350" s="23" t="n">
        <x:f>'Parameters'!$B$2*'Parameters'!$B$3*LN(4*PI()*C350^2)</x:f>
        <x:v>10.047917851450606</x:v>
      </x:c>
      <x:c r="F350" s="23" t="n">
        <x:f>D350+E350</x:f>
        <x:v>-1.6854621485493944</x:v>
      </x:c>
      <x:c r="G350" s="23" t="n">
        <x:f>AVERAGE($F$325:$F$348)</x:f>
        <x:v>-1.7098851300581774</x:v>
      </x:c>
      <x:c r="H350" s="24" t="n">
        <x:f>F350-G350</x:f>
        <x:v>0.02442298150878308</x:v>
      </x:c>
    </x:row>
    <x:row r="351">
      <x:c r="A351" s="2" t="str">
        <x:v>LiDA-1</x:v>
      </x:c>
      <x:c r="B351" s="4" t="str">
        <x:v>NaCl</x:v>
      </x:c>
      <x:c r="C351" s="23" t="n">
        <x:v>2.153431</x:v>
      </x:c>
      <x:c r="D351" s="23" t="n">
        <x:v>-11.84451</x:v>
      </x:c>
      <x:c r="E351" s="23" t="n">
        <x:f>'Parameters'!$B$2*'Parameters'!$B$3*LN(4*PI()*C351^2)</x:f>
        <x:v>10.07732972770866</x:v>
      </x:c>
      <x:c r="F351" s="23" t="n">
        <x:f>D351+E351</x:f>
        <x:v>-1.7671802722913394</x:v>
      </x:c>
      <x:c r="G351" s="23" t="n">
        <x:f>AVERAGE($F$325:$F$348)</x:f>
        <x:v>-1.7098851300581774</x:v>
      </x:c>
      <x:c r="H351" s="24" t="n">
        <x:f>F351-G351</x:f>
        <x:v>-0.05729514223316201</x:v>
      </x:c>
    </x:row>
    <x:row r="352">
      <x:c r="A352" s="2" t="str">
        <x:v>LiDA-1</x:v>
      </x:c>
      <x:c r="B352" s="4" t="str">
        <x:v>NaCl</x:v>
      </x:c>
      <x:c r="C352" s="23" t="n">
        <x:v>2.166169</x:v>
      </x:c>
      <x:c r="D352" s="23" t="n">
        <x:v>-11.75762</x:v>
      </x:c>
      <x:c r="E352" s="23" t="n">
        <x:f>'Parameters'!$B$2*'Parameters'!$B$3*LN(4*PI()*C352^2)</x:f>
        <x:v>10.10657044089854</x:v>
      </x:c>
      <x:c r="F352" s="23" t="n">
        <x:f>D352+E352</x:f>
        <x:v>-1.651049559101459</x:v>
      </x:c>
      <x:c r="G352" s="23" t="n">
        <x:f>AVERAGE($F$325:$F$348)</x:f>
        <x:v>-1.7098851300581774</x:v>
      </x:c>
      <x:c r="H352" s="24" t="n">
        <x:f>F352-G352</x:f>
        <x:v>0.05883557095671854</x:v>
      </x:c>
    </x:row>
    <x:row r="353">
      <x:c r="A353" s="2" t="str">
        <x:v>LiDA-1</x:v>
      </x:c>
      <x:c r="B353" s="4" t="str">
        <x:v>NaCl</x:v>
      </x:c>
      <x:c r="C353" s="23" t="n">
        <x:v>2.178906</x:v>
      </x:c>
      <x:c r="D353" s="23" t="n">
        <x:v>-11.75227</x:v>
      </x:c>
      <x:c r="E353" s="23" t="n">
        <x:f>'Parameters'!$B$2*'Parameters'!$B$3*LN(4*PI()*C353^2)</x:f>
        <x:v>10.135637433873603</x:v>
      </x:c>
      <x:c r="F353" s="23" t="n">
        <x:f>D353+E353</x:f>
        <x:v>-1.6166325661263965</x:v>
      </x:c>
      <x:c r="G353" s="23" t="n">
        <x:f>AVERAGE($F$325:$F$348)</x:f>
        <x:v>-1.7098851300581774</x:v>
      </x:c>
      <x:c r="H353" s="24" t="n">
        <x:f>F353-G353</x:f>
        <x:v>0.09325256393178094</x:v>
      </x:c>
    </x:row>
    <x:row r="354">
      <x:c r="A354" s="2" t="str">
        <x:v>LiDA-1</x:v>
      </x:c>
      <x:c r="B354" s="4" t="str">
        <x:v>NaCl</x:v>
      </x:c>
      <x:c r="C354" s="23" t="n">
        <x:v>2.191643</x:v>
      </x:c>
      <x:c r="D354" s="23" t="n">
        <x:v>-11.81209</x:v>
      </x:c>
      <x:c r="E354" s="23" t="n">
        <x:f>'Parameters'!$B$2*'Parameters'!$B$3*LN(4*PI()*C354^2)</x:f>
        <x:v>10.164535007221103</x:v>
      </x:c>
      <x:c r="F354" s="23" t="n">
        <x:f>D354+E354</x:f>
        <x:v>-1.6475549927788968</x:v>
      </x:c>
      <x:c r="G354" s="23" t="n">
        <x:f>AVERAGE($F$325:$F$348)</x:f>
        <x:v>-1.7098851300581774</x:v>
      </x:c>
      <x:c r="H354" s="24" t="n">
        <x:f>F354-G354</x:f>
        <x:v>0.062330137279280606</x:v>
      </x:c>
    </x:row>
    <x:row r="355">
      <x:c r="A355" s="2" t="str">
        <x:v>LiDA-1</x:v>
      </x:c>
      <x:c r="B355" s="4" t="str">
        <x:v>NaCl</x:v>
      </x:c>
      <x:c r="C355" s="23" t="n">
        <x:v>2.20438</x:v>
      </x:c>
      <x:c r="D355" s="23" t="n">
        <x:v>-11.81489</x:v>
      </x:c>
      <x:c r="E355" s="23" t="n">
        <x:f>'Parameters'!$B$2*'Parameters'!$B$3*LN(4*PI()*C355^2)</x:f>
        <x:v>10.193265124457627</x:v>
      </x:c>
      <x:c r="F355" s="23" t="n">
        <x:f>D355+E355</x:f>
        <x:v>-1.6216248755423734</x:v>
      </x:c>
      <x:c r="G355" s="23" t="n">
        <x:f>AVERAGE($F$325:$F$348)</x:f>
        <x:v>-1.7098851300581774</x:v>
      </x:c>
      <x:c r="H355" s="24" t="n">
        <x:f>F355-G355</x:f>
        <x:v>0.08826025451580399</x:v>
      </x:c>
    </x:row>
    <x:row r="356">
      <x:c r="A356" s="2" t="str">
        <x:v>LiDA-1</x:v>
      </x:c>
      <x:c r="B356" s="4" t="str">
        <x:v>NaCl</x:v>
      </x:c>
      <x:c r="C356" s="23" t="n">
        <x:v>2.217117</x:v>
      </x:c>
      <x:c r="D356" s="23" t="n">
        <x:v>-11.86969</x:v>
      </x:c>
      <x:c r="E356" s="23" t="n">
        <x:f>'Parameters'!$B$2*'Parameters'!$B$3*LN(4*PI()*C356^2)</x:f>
        <x:v>10.221829715161585</x:v>
      </x:c>
      <x:c r="F356" s="23" t="n">
        <x:f>D356+E356</x:f>
        <x:v>-1.6478602848384156</x:v>
      </x:c>
      <x:c r="G356" s="23" t="n">
        <x:f>AVERAGE($F$325:$F$348)</x:f>
        <x:v>-1.7098851300581774</x:v>
      </x:c>
      <x:c r="H356" s="24" t="n">
        <x:f>F356-G356</x:f>
        <x:v>0.062024845219761815</x:v>
      </x:c>
    </x:row>
    <x:row r="357">
      <x:c r="A357" s="2" t="str">
        <x:v>LiDA-1</x:v>
      </x:c>
      <x:c r="B357" s="4" t="str">
        <x:v>NaCl</x:v>
      </x:c>
      <x:c r="C357" s="23" t="n">
        <x:v>2.229854</x:v>
      </x:c>
      <x:c r="D357" s="23" t="n">
        <x:v>-11.9584</x:v>
      </x:c>
      <x:c r="E357" s="23" t="n">
        <x:f>'Parameters'!$B$2*'Parameters'!$B$3*LN(4*PI()*C357^2)</x:f>
        <x:v>10.250230675750867</x:v>
      </x:c>
      <x:c r="F357" s="23" t="n">
        <x:f>D357+E357</x:f>
        <x:v>-1.7081693242491323</x:v>
      </x:c>
      <x:c r="G357" s="23" t="n">
        <x:f>AVERAGE($F$325:$F$348)</x:f>
        <x:v>-1.7098851300581774</x:v>
      </x:c>
      <x:c r="H357" s="24" t="n">
        <x:f>F357-G357</x:f>
        <x:v>0.0017158058090451789</x:v>
      </x:c>
    </x:row>
    <x:row r="358">
      <x:c r="A358" s="2" t="str">
        <x:v>LiDA-1</x:v>
      </x:c>
      <x:c r="B358" s="4" t="str">
        <x:v>NaCl</x:v>
      </x:c>
      <x:c r="C358" s="23" t="n">
        <x:v>2.242592</x:v>
      </x:c>
      <x:c r="D358" s="23" t="n">
        <x:v>-12.0893</x:v>
      </x:c>
      <x:c r="E358" s="23" t="n">
        <x:f>'Parameters'!$B$2*'Parameters'!$B$3*LN(4*PI()*C358^2)</x:f>
        <x:v>10.278472081035133</x:v>
      </x:c>
      <x:c r="F358" s="23" t="n">
        <x:f>D358+E358</x:f>
        <x:v>-1.8108279189648666</x:v>
      </x:c>
      <x:c r="G358" s="23" t="n">
        <x:f>AVERAGE($F$325:$F$348)</x:f>
        <x:v>-1.7098851300581774</x:v>
      </x:c>
      <x:c r="H358" s="24" t="n">
        <x:f>F358-G358</x:f>
        <x:v>-0.10094278890668917</x:v>
      </x:c>
    </x:row>
    <x:row r="359">
      <x:c r="A359" s="2" t="str">
        <x:v>LiDA-1</x:v>
      </x:c>
      <x:c r="B359" s="4" t="str">
        <x:v>NaCl</x:v>
      </x:c>
      <x:c r="C359" s="23" t="n">
        <x:v>2.255329</x:v>
      </x:c>
      <x:c r="D359" s="23" t="n">
        <x:v>-12.11792</x:v>
      </x:c>
      <x:c r="E359" s="23" t="n">
        <x:f>'Parameters'!$B$2*'Parameters'!$B$3*LN(4*PI()*C359^2)</x:f>
        <x:v>10.306551329277303</x:v>
      </x:c>
      <x:c r="F359" s="23" t="n">
        <x:f>D359+E359</x:f>
        <x:v>-1.8113686707226968</x:v>
      </x:c>
      <x:c r="G359" s="23" t="n">
        <x:f>AVERAGE($F$325:$F$348)</x:f>
        <x:v>-1.7098851300581774</x:v>
      </x:c>
      <x:c r="H359" s="24" t="n">
        <x:f>F359-G359</x:f>
        <x:v>-0.10148354066451937</x:v>
      </x:c>
    </x:row>
    <x:row r="360">
      <x:c r="A360" s="2" t="str">
        <x:v>LiDA-1</x:v>
      </x:c>
      <x:c r="B360" s="4" t="str">
        <x:v>NaCl</x:v>
      </x:c>
      <x:c r="C360" s="23" t="n">
        <x:v>2.268066</x:v>
      </x:c>
      <x:c r="D360" s="23" t="n">
        <x:v>-12.19808</x:v>
      </x:c>
      <x:c r="E360" s="23" t="n">
        <x:f>'Parameters'!$B$2*'Parameters'!$B$3*LN(4*PI()*C360^2)</x:f>
        <x:v>10.334472445284419</x:v>
      </x:c>
      <x:c r="F360" s="23" t="n">
        <x:f>D360+E360</x:f>
        <x:v>-1.8636075547155802</x:v>
      </x:c>
      <x:c r="G360" s="23" t="n">
        <x:f>AVERAGE($F$325:$F$348)</x:f>
        <x:v>-1.7098851300581774</x:v>
      </x:c>
      <x:c r="H360" s="24" t="n">
        <x:f>F360-G360</x:f>
        <x:v>-0.1537224246574027</x:v>
      </x:c>
    </x:row>
    <x:row r="361">
      <x:c r="A361" s="2" t="str">
        <x:v>LiDA-1</x:v>
      </x:c>
      <x:c r="B361" s="4" t="str">
        <x:v>NaCl</x:v>
      </x:c>
      <x:c r="C361" s="23" t="n">
        <x:v>2.280803</x:v>
      </x:c>
      <x:c r="D361" s="23" t="n">
        <x:v>-12.26916</x:v>
      </x:c>
      <x:c r="E361" s="23" t="n">
        <x:f>'Parameters'!$B$2*'Parameters'!$B$3*LN(4*PI()*C361^2)</x:f>
        <x:v>10.362237200174679</x:v>
      </x:c>
      <x:c r="F361" s="23" t="n">
        <x:f>D361+E361</x:f>
        <x:v>-1.9069227998253204</x:v>
      </x:c>
      <x:c r="G361" s="23" t="n">
        <x:f>AVERAGE($F$325:$F$348)</x:f>
        <x:v>-1.7098851300581774</x:v>
      </x:c>
      <x:c r="H361" s="24" t="n">
        <x:f>F361-G361</x:f>
        <x:v>-0.197037669767143</x:v>
      </x:c>
    </x:row>
    <x:row r="362">
      <x:c r="A362" s="2" t="str">
        <x:v>LiDA-1</x:v>
      </x:c>
      <x:c r="B362" s="4" t="str">
        <x:v>NaCl</x:v>
      </x:c>
      <x:c r="C362" s="23" t="n">
        <x:v>2.29354</x:v>
      </x:c>
      <x:c r="D362" s="23" t="n">
        <x:v>-12.38349</x:v>
      </x:c>
      <x:c r="E362" s="23" t="n">
        <x:f>'Parameters'!$B$2*'Parameters'!$B$3*LN(4*PI()*C362^2)</x:f>
        <x:v>10.38984733547649</x:v>
      </x:c>
      <x:c r="F362" s="23" t="n">
        <x:f>D362+E362</x:f>
        <x:v>-1.9936426645235095</x:v>
      </x:c>
      <x:c r="G362" s="23" t="n">
        <x:f>AVERAGE($F$325:$F$348)</x:f>
        <x:v>-1.7098851300581774</x:v>
      </x:c>
      <x:c r="H362" s="24" t="n">
        <x:f>F362-G362</x:f>
        <x:v>-0.28375753446533203</x:v>
      </x:c>
    </x:row>
    <x:row r="363">
      <x:c r="A363" s="2" t="str">
        <x:v>LiDA-1</x:v>
      </x:c>
      <x:c r="B363" s="4" t="str">
        <x:v>NaCl</x:v>
      </x:c>
      <x:c r="C363" s="23" t="n">
        <x:v>2.306278</x:v>
      </x:c>
      <x:c r="D363" s="23" t="n">
        <x:v>-12.27089</x:v>
      </x:c>
      <x:c r="E363" s="23" t="n">
        <x:f>'Parameters'!$B$2*'Parameters'!$B$3*LN(4*PI()*C363^2)</x:f>
        <x:v>10.417306713531366</x:v>
      </x:c>
      <x:c r="F363" s="23" t="n">
        <x:f>D363+E363</x:f>
        <x:v>-1.8535832864686341</x:v>
      </x:c>
      <x:c r="G363" s="23" t="n">
        <x:f>AVERAGE($F$325:$F$348)</x:f>
        <x:v>-1.7098851300581774</x:v>
      </x:c>
      <x:c r="H363" s="24" t="n">
        <x:f>F363-G363</x:f>
        <x:v>-0.1436981564104567</x:v>
      </x:c>
    </x:row>
    <x:row r="364">
      <x:c r="A364" s="2" t="str">
        <x:v>LiDA-1</x:v>
      </x:c>
      <x:c r="B364" s="4" t="str">
        <x:v>NaCl</x:v>
      </x:c>
      <x:c r="C364" s="23" t="n">
        <x:v>2.319015</x:v>
      </x:c>
      <x:c r="D364" s="23" t="n">
        <x:v>-12.40785</x:v>
      </x:c>
      <x:c r="E364" s="23" t="n">
        <x:f>'Parameters'!$B$2*'Parameters'!$B$3*LN(4*PI()*C364^2)</x:f>
        <x:v>10.444612707334455</x:v>
      </x:c>
      <x:c r="F364" s="23" t="n">
        <x:f>D364+E364</x:f>
        <x:v>-1.9632372926655446</x:v>
      </x:c>
      <x:c r="G364" s="23" t="n">
        <x:f>AVERAGE($F$325:$F$348)</x:f>
        <x:v>-1.7098851300581774</x:v>
      </x:c>
      <x:c r="H364" s="24" t="n">
        <x:f>F364-G364</x:f>
        <x:v>-0.25335216260736715</x:v>
      </x:c>
    </x:row>
    <x:row r="365">
      <x:c r="A365" s="2" t="str">
        <x:v>LiDA-1</x:v>
      </x:c>
      <x:c r="B365" s="4" t="str">
        <x:v>NaCl</x:v>
      </x:c>
      <x:c r="C365" s="23" t="n">
        <x:v>2.331752</x:v>
      </x:c>
      <x:c r="D365" s="23" t="n">
        <x:v>-12.34939</x:v>
      </x:c>
      <x:c r="E365" s="23" t="n">
        <x:f>'Parameters'!$B$2*'Parameters'!$B$3*LN(4*PI()*C365^2)</x:f>
        <x:v>10.471769135189843</x:v>
      </x:c>
      <x:c r="F365" s="23" t="n">
        <x:f>D365+E365</x:f>
        <x:v>-1.8776208648101562</x:v>
      </x:c>
      <x:c r="G365" s="23" t="n">
        <x:f>AVERAGE($F$325:$F$348)</x:f>
        <x:v>-1.7098851300581774</x:v>
      </x:c>
      <x:c r="H365" s="24" t="n">
        <x:f>F365-G365</x:f>
        <x:v>-0.16773573475197878</x:v>
      </x:c>
    </x:row>
    <x:row r="366">
      <x:c r="A366" s="2" t="str">
        <x:v>LiDA-1</x:v>
      </x:c>
      <x:c r="B366" s="4" t="str">
        <x:v>NaCl</x:v>
      </x:c>
      <x:c r="C366" s="23" t="n">
        <x:v>2.344489</x:v>
      </x:c>
      <x:c r="D366" s="23" t="n">
        <x:v>-12.40813</x:v>
      </x:c>
      <x:c r="E366" s="23" t="n">
        <x:f>'Parameters'!$B$2*'Parameters'!$B$3*LN(4*PI()*C366^2)</x:f>
        <x:v>10.498777626642015</x:v>
      </x:c>
      <x:c r="F366" s="23" t="n">
        <x:f>D366+E366</x:f>
        <x:v>-1.9093523733579847</x:v>
      </x:c>
      <x:c r="G366" s="23" t="n">
        <x:f>AVERAGE($F$325:$F$348)</x:f>
        <x:v>-1.7098851300581774</x:v>
      </x:c>
      <x:c r="H366" s="24" t="n">
        <x:f>F366-G366</x:f>
        <x:v>-0.19946724329980725</x:v>
      </x:c>
    </x:row>
    <x:row r="367">
      <x:c r="A367" s="2" t="str">
        <x:v>LiDA-1</x:v>
      </x:c>
      <x:c r="B367" s="4" t="str">
        <x:v>NaCl</x:v>
      </x:c>
      <x:c r="C367" s="23" t="n">
        <x:v>2.357226</x:v>
      </x:c>
      <x:c r="D367" s="23" t="n">
        <x:v>-12.28681</x:v>
      </x:c>
      <x:c r="E367" s="23" t="n">
        <x:f>'Parameters'!$B$2*'Parameters'!$B$3*LN(4*PI()*C367^2)</x:f>
        <x:v>10.525639784748474</x:v>
      </x:c>
      <x:c r="F367" s="23" t="n">
        <x:f>D367+E367</x:f>
        <x:v>-1.761170215251525</x:v>
      </x:c>
      <x:c r="G367" s="23" t="n">
        <x:f>AVERAGE($F$325:$F$348)</x:f>
        <x:v>-1.7098851300581774</x:v>
      </x:c>
      <x:c r="H367" s="24" t="n">
        <x:f>F367-G367</x:f>
        <x:v>-0.05128508519334751</x:v>
      </x:c>
    </x:row>
    <x:row r="368">
      <x:c r="A368" s="2" t="str">
        <x:v>LiDA-1</x:v>
      </x:c>
      <x:c r="B368" s="4" t="str">
        <x:v>NaCl</x:v>
      </x:c>
      <x:c r="C368" s="23" t="n">
        <x:v>2.369963</x:v>
      </x:c>
      <x:c r="D368" s="23" t="n">
        <x:v>-12.47403</x:v>
      </x:c>
      <x:c r="E368" s="23" t="n">
        <x:f>'Parameters'!$B$2*'Parameters'!$B$3*LN(4*PI()*C368^2)</x:f>
        <x:v>10.552357186650669</x:v>
      </x:c>
      <x:c r="F368" s="23" t="n">
        <x:f>D368+E368</x:f>
        <x:v>-1.921672813349332</x:v>
      </x:c>
      <x:c r="G368" s="23" t="n">
        <x:f>AVERAGE($F$325:$F$348)</x:f>
        <x:v>-1.7098851300581774</x:v>
      </x:c>
      <x:c r="H368" s="24" t="n">
        <x:f>F368-G368</x:f>
        <x:v>-0.2117876832911545</x:v>
      </x:c>
    </x:row>
    <x:row r="369">
      <x:c r="A369" s="2" t="str">
        <x:v>LiDA-1</x:v>
      </x:c>
      <x:c r="B369" s="4" t="str">
        <x:v>NaCl</x:v>
      </x:c>
      <x:c r="C369" s="23" t="n">
        <x:v>2.382701</x:v>
      </x:c>
      <x:c r="D369" s="23" t="n">
        <x:v>-12.49289</x:v>
      </x:c>
      <x:c r="E369" s="23" t="n">
        <x:f>'Parameters'!$B$2*'Parameters'!$B$3*LN(4*PI()*C369^2)</x:f>
        <x:v>10.578933464925804</x:v>
      </x:c>
      <x:c r="F369" s="23" t="n">
        <x:f>D369+E369</x:f>
        <x:v>-1.9139565350741954</x:v>
      </x:c>
      <x:c r="G369" s="23" t="n">
        <x:f>AVERAGE($F$325:$F$348)</x:f>
        <x:v>-1.7098851300581774</x:v>
      </x:c>
      <x:c r="H369" s="24" t="n">
        <x:f>F369-G369</x:f>
        <x:v>-0.20407140501601795</x:v>
      </x:c>
    </x:row>
    <x:row r="370">
      <x:c r="A370" s="2" t="str">
        <x:v>LiDA-1</x:v>
      </x:c>
      <x:c r="B370" s="4" t="str">
        <x:v>NaCl</x:v>
      </x:c>
      <x:c r="C370" s="23" t="n">
        <x:v>2.395438</x:v>
      </x:c>
      <x:c r="D370" s="23" t="n">
        <x:v>-12.47466</x:v>
      </x:c>
      <x:c r="E370" s="23" t="n">
        <x:f>'Parameters'!$B$2*'Parameters'!$B$3*LN(4*PI()*C370^2)</x:f>
        <x:v>10.605365973879032</x:v>
      </x:c>
      <x:c r="F370" s="23" t="n">
        <x:f>D370+E370</x:f>
        <x:v>-1.8692940261209685</x:v>
      </x:c>
      <x:c r="G370" s="23" t="n">
        <x:f>AVERAGE($F$325:$F$348)</x:f>
        <x:v>-1.7098851300581774</x:v>
      </x:c>
      <x:c r="H370" s="24" t="n">
        <x:f>F370-G370</x:f>
        <x:v>-0.15940889606279107</x:v>
      </x:c>
    </x:row>
    <x:row r="371">
      <x:c r="A371" s="2" t="str">
        <x:v>LiDA-1</x:v>
      </x:c>
      <x:c r="B371" s="4" t="str">
        <x:v>NaCl</x:v>
      </x:c>
      <x:c r="C371" s="23" t="n">
        <x:v>2.408175</x:v>
      </x:c>
      <x:c r="D371" s="23" t="n">
        <x:v>-12.51774</x:v>
      </x:c>
      <x:c r="E371" s="23" t="n">
        <x:f>'Parameters'!$B$2*'Parameters'!$B$3*LN(4*PI()*C371^2)</x:f>
        <x:v>10.631658308155915</x:v>
      </x:c>
      <x:c r="F371" s="23" t="n">
        <x:f>D371+E371</x:f>
        <x:v>-1.886081691844085</x:v>
      </x:c>
      <x:c r="G371" s="23" t="n">
        <x:f>AVERAGE($F$325:$F$348)</x:f>
        <x:v>-1.7098851300581774</x:v>
      </x:c>
      <x:c r="H371" s="24" t="n">
        <x:f>F371-G371</x:f>
        <x:v>-0.1761965617859076</x:v>
      </x:c>
    </x:row>
    <x:row r="372">
      <x:c r="A372" s="2" t="str">
        <x:v>LiDA-1</x:v>
      </x:c>
      <x:c r="B372" s="4" t="str">
        <x:v>NaCl</x:v>
      </x:c>
      <x:c r="C372" s="23" t="n">
        <x:v>2.420912</x:v>
      </x:c>
      <x:c r="D372" s="23" t="n">
        <x:v>-12.65616</x:v>
      </x:c>
      <x:c r="E372" s="23" t="n">
        <x:f>'Parameters'!$B$2*'Parameters'!$B$3*LN(4*PI()*C372^2)</x:f>
        <x:v>10.657811946642498</x:v>
      </x:c>
      <x:c r="F372" s="23" t="n">
        <x:f>D372+E372</x:f>
        <x:v>-1.9983480533575015</x:v>
      </x:c>
      <x:c r="G372" s="23" t="n">
        <x:f>AVERAGE($F$325:$F$348)</x:f>
        <x:v>-1.7098851300581774</x:v>
      </x:c>
      <x:c r="H372" s="24" t="n">
        <x:f>F372-G372</x:f>
        <x:v>-0.2884629232993241</x:v>
      </x:c>
    </x:row>
    <x:row r="373">
      <x:c r="A373" s="2" t="str">
        <x:v>LiDA-1</x:v>
      </x:c>
      <x:c r="B373" s="4" t="str">
        <x:v>NaCl</x:v>
      </x:c>
      <x:c r="C373" s="23" t="n">
        <x:v>2.433649</x:v>
      </x:c>
      <x:c r="D373" s="23" t="n">
        <x:v>-12.53713</x:v>
      </x:c>
      <x:c r="E373" s="23" t="n">
        <x:f>'Parameters'!$B$2*'Parameters'!$B$3*LN(4*PI()*C373^2)</x:f>
        <x:v>10.683828344943525</x:v>
      </x:c>
      <x:c r="F373" s="23" t="n">
        <x:f>D373+E373</x:f>
        <x:v>-1.853301655056475</x:v>
      </x:c>
      <x:c r="G373" s="23" t="n">
        <x:f>AVERAGE($F$325:$F$348)</x:f>
        <x:v>-1.7098851300581774</x:v>
      </x:c>
      <x:c r="H373" s="24" t="n">
        <x:f>F373-G373</x:f>
        <x:v>-0.1434165249982975</x:v>
      </x:c>
    </x:row>
    <x:row r="374">
      <x:c r="A374" s="2" t="str">
        <x:v>LiDA-1</x:v>
      </x:c>
      <x:c r="B374" s="4" t="str">
        <x:v>NaCl</x:v>
      </x:c>
      <x:c r="C374" s="23" t="n">
        <x:v>2.446387</x:v>
      </x:c>
      <x:c r="D374" s="23" t="n">
        <x:v>-12.64815</x:v>
      </x:c>
      <x:c r="E374" s="23" t="n">
        <x:f>'Parameters'!$B$2*'Parameters'!$B$3*LN(4*PI()*C374^2)</x:f>
        <x:v>10.70971096249603</x:v>
      </x:c>
      <x:c r="F374" s="23" t="n">
        <x:f>D374+E374</x:f>
        <x:v>-1.9384390375039686</x:v>
      </x:c>
      <x:c r="G374" s="23" t="n">
        <x:f>AVERAGE($F$325:$F$348)</x:f>
        <x:v>-1.7098851300581774</x:v>
      </x:c>
      <x:c r="H374" s="24" t="n">
        <x:f>F374-G374</x:f>
        <x:v>-0.22855390744579118</x:v>
      </x:c>
    </x:row>
    <x:row r="375">
      <x:c r="A375" s="2" t="str">
        <x:v>LiDA-1</x:v>
      </x:c>
      <x:c r="B375" s="4" t="str">
        <x:v>NaCl</x:v>
      </x:c>
      <x:c r="C375" s="23" t="n">
        <x:v>2.459124</x:v>
      </x:c>
      <x:c r="D375" s="23" t="n">
        <x:v>-12.64071</x:v>
      </x:c>
      <x:c r="E375" s="23" t="n">
        <x:f>'Parameters'!$B$2*'Parameters'!$B$3*LN(4*PI()*C375^2)</x:f>
        <x:v>10.735457146036097</x:v>
      </x:c>
      <x:c r="F375" s="23" t="n">
        <x:f>D375+E375</x:f>
        <x:v>-1.905252853963903</x:v>
      </x:c>
      <x:c r="G375" s="23" t="n">
        <x:f>AVERAGE($F$325:$F$348)</x:f>
        <x:v>-1.7098851300581774</x:v>
      </x:c>
      <x:c r="H375" s="24" t="n">
        <x:f>F375-G375</x:f>
        <x:v>-0.19536772390572565</x:v>
      </x:c>
    </x:row>
    <x:row r="376">
      <x:c r="A376" s="2" t="str">
        <x:v>LiDA-1</x:v>
      </x:c>
      <x:c r="B376" s="4" t="str">
        <x:v>NaCl</x:v>
      </x:c>
      <x:c r="C376" s="23" t="n">
        <x:v>2.471861</x:v>
      </x:c>
      <x:c r="D376" s="23" t="n">
        <x:v>-12.73734</x:v>
      </x:c>
      <x:c r="E376" s="23" t="n">
        <x:f>'Parameters'!$B$2*'Parameters'!$B$3*LN(4*PI()*C376^2)</x:f>
        <x:v>10.76107032142375</x:v>
      </x:c>
      <x:c r="F376" s="23" t="n">
        <x:f>D376+E376</x:f>
        <x:v>-1.9762696785762497</x:v>
      </x:c>
      <x:c r="G376" s="23" t="n">
        <x:f>AVERAGE($F$325:$F$348)</x:f>
        <x:v>-1.7098851300581774</x:v>
      </x:c>
      <x:c r="H376" s="24" t="n">
        <x:f>F376-G376</x:f>
        <x:v>-0.26638454851807225</x:v>
      </x:c>
    </x:row>
    <x:row r="377">
      <x:c r="A377" s="2" t="str">
        <x:v>LiDA-1</x:v>
      </x:c>
      <x:c r="B377" s="4" t="str">
        <x:v>NaCl</x:v>
      </x:c>
      <x:c r="C377" s="23" t="n">
        <x:v>2.484598</x:v>
      </x:c>
      <x:c r="D377" s="23" t="n">
        <x:v>-12.74189</x:v>
      </x:c>
      <x:c r="E377" s="23" t="n">
        <x:f>'Parameters'!$B$2*'Parameters'!$B$3*LN(4*PI()*C377^2)</x:f>
        <x:v>10.786551855873839</x:v>
      </x:c>
      <x:c r="F377" s="23" t="n">
        <x:f>D377+E377</x:f>
        <x:v>-1.955338144126161</x:v>
      </x:c>
      <x:c r="G377" s="23" t="n">
        <x:f>AVERAGE($F$325:$F$348)</x:f>
        <x:v>-1.7098851300581774</x:v>
      </x:c>
      <x:c r="H377" s="24" t="n">
        <x:f>F377-G377</x:f>
        <x:v>-0.2454530140679836</x:v>
      </x:c>
    </x:row>
    <x:row r="378">
      <x:c r="A378" s="2" t="str">
        <x:v>LiDA-1</x:v>
      </x:c>
      <x:c r="B378" s="4" t="str">
        <x:v>NaCl</x:v>
      </x:c>
      <x:c r="C378" s="23" t="n">
        <x:v>2.497335</x:v>
      </x:c>
      <x:c r="D378" s="23" t="n">
        <x:v>-12.80436</x:v>
      </x:c>
      <x:c r="E378" s="23" t="n">
        <x:f>'Parameters'!$B$2*'Parameters'!$B$3*LN(4*PI()*C378^2)</x:f>
        <x:v>10.811903095628182</x:v>
      </x:c>
      <x:c r="F378" s="23" t="n">
        <x:f>D378+E378</x:f>
        <x:v>-1.992456904371819</x:v>
      </x:c>
      <x:c r="G378" s="23" t="n">
        <x:f>AVERAGE($F$325:$F$348)</x:f>
        <x:v>-1.7098851300581774</x:v>
      </x:c>
      <x:c r="H378" s="24" t="n">
        <x:f>F378-G378</x:f>
        <x:v>-0.28257177431364155</x:v>
      </x:c>
    </x:row>
    <x:row r="379">
      <x:c r="A379" s="2" t="str">
        <x:v>LiDA-1</x:v>
      </x:c>
      <x:c r="B379" s="4" t="str">
        <x:v>NaCl</x:v>
      </x:c>
      <x:c r="C379" s="23" t="n">
        <x:v>2.510072</x:v>
      </x:c>
      <x:c r="D379" s="23" t="n">
        <x:v>-12.78214</x:v>
      </x:c>
      <x:c r="E379" s="23" t="n">
        <x:f>'Parameters'!$B$2*'Parameters'!$B$3*LN(4*PI()*C379^2)</x:f>
        <x:v>10.837125366382363</x:v>
      </x:c>
      <x:c r="F379" s="23" t="n">
        <x:f>D379+E379</x:f>
        <x:v>-1.945014633617637</x:v>
      </x:c>
      <x:c r="G379" s="23" t="n">
        <x:f>AVERAGE($F$325:$F$348)</x:f>
        <x:v>-1.7098851300581774</x:v>
      </x:c>
      <x:c r="H379" s="24" t="n">
        <x:f>F379-G379</x:f>
        <x:v>-0.2351295035594596</x:v>
      </x:c>
    </x:row>
    <x:row r="380">
      <x:c r="A380" s="2" t="str">
        <x:v>LiDA-1</x:v>
      </x:c>
      <x:c r="B380" s="4" t="str">
        <x:v>NaCl</x:v>
      </x:c>
      <x:c r="C380" s="23" t="n">
        <x:v>2.52281</x:v>
      </x:c>
      <x:c r="D380" s="23" t="n">
        <x:v>-12.88657</x:v>
      </x:c>
      <x:c r="E380" s="23" t="n">
        <x:f>'Parameters'!$B$2*'Parameters'!$B$3*LN(4*PI()*C380^2)</x:f>
        <x:v>10.862221938936912</x:v>
      </x:c>
      <x:c r="F380" s="23" t="n">
        <x:f>D380+E380</x:f>
        <x:v>-2.0243480610630886</x:v>
      </x:c>
      <x:c r="G380" s="23" t="n">
        <x:f>AVERAGE($F$325:$F$348)</x:f>
        <x:v>-1.7098851300581774</x:v>
      </x:c>
      <x:c r="H380" s="24" t="n">
        <x:f>F380-G380</x:f>
        <x:v>-0.3144629310049112</x:v>
      </x:c>
    </x:row>
    <x:row r="381">
      <x:c r="A381" s="2" t="str">
        <x:v>LiDA-1</x:v>
      </x:c>
      <x:c r="B381" s="4" t="str">
        <x:v>NaCl</x:v>
      </x:c>
      <x:c r="C381" s="23" t="n">
        <x:v>2.535547</x:v>
      </x:c>
      <x:c r="D381" s="23" t="n">
        <x:v>-12.76962</x:v>
      </x:c>
      <x:c r="E381" s="23" t="n">
        <x:f>'Parameters'!$B$2*'Parameters'!$B$3*LN(4*PI()*C381^2)</x:f>
        <x:v>10.88719015878988</x:v>
      </x:c>
      <x:c r="F381" s="23" t="n">
        <x:f>D381+E381</x:f>
        <x:v>-1.8824298412101204</x:v>
      </x:c>
      <x:c r="G381" s="23" t="n">
        <x:f>AVERAGE($F$325:$F$348)</x:f>
        <x:v>-1.7098851300581774</x:v>
      </x:c>
      <x:c r="H381" s="24" t="n">
        <x:f>F381-G381</x:f>
        <x:v>-0.17254471115194292</x:v>
      </x:c>
    </x:row>
    <x:row r="382">
      <x:c r="A382" s="2" t="str">
        <x:v>LiDA-1</x:v>
      </x:c>
      <x:c r="B382" s="4" t="str">
        <x:v>NaCl</x:v>
      </x:c>
      <x:c r="C382" s="23" t="n">
        <x:v>2.548284</x:v>
      </x:c>
      <x:c r="D382" s="23" t="n">
        <x:v>-12.94086</x:v>
      </x:c>
      <x:c r="E382" s="23" t="n">
        <x:f>'Parameters'!$B$2*'Parameters'!$B$3*LN(4*PI()*C382^2)</x:f>
        <x:v>10.91203326765846</x:v>
      </x:c>
      <x:c r="F382" s="23" t="n">
        <x:f>D382+E382</x:f>
        <x:v>-2.0288267323415408</x:v>
      </x:c>
      <x:c r="G382" s="23" t="n">
        <x:f>AVERAGE($F$325:$F$348)</x:f>
        <x:v>-1.7098851300581774</x:v>
      </x:c>
      <x:c r="H382" s="24" t="n">
        <x:f>F382-G382</x:f>
        <x:v>-0.3189416022833633</x:v>
      </x:c>
    </x:row>
    <x:row r="383">
      <x:c r="A383" s="2" t="str">
        <x:v>LiDA-1</x:v>
      </x:c>
      <x:c r="B383" s="4" t="str">
        <x:v>NaCl</x:v>
      </x:c>
      <x:c r="C383" s="23" t="n">
        <x:v>2.561021</x:v>
      </x:c>
      <x:c r="D383" s="23" t="n">
        <x:v>-12.87387</x:v>
      </x:c>
      <x:c r="E383" s="23" t="n">
        <x:f>'Parameters'!$B$2*'Parameters'!$B$3*LN(4*PI()*C383^2)</x:f>
        <x:v>10.936752513108466</x:v>
      </x:c>
      <x:c r="F383" s="23" t="n">
        <x:f>D383+E383</x:f>
        <x:v>-1.937117486891534</x:v>
      </x:c>
      <x:c r="G383" s="23" t="n">
        <x:f>AVERAGE($F$325:$F$348)</x:f>
        <x:v>-1.7098851300581774</x:v>
      </x:c>
      <x:c r="H383" s="24" t="n">
        <x:f>F383-G383</x:f>
        <x:v>-0.22723235683335652</x:v>
      </x:c>
    </x:row>
    <x:row r="384">
      <x:c r="A384" s="2" t="str">
        <x:v>LiDA-1</x:v>
      </x:c>
      <x:c r="B384" s="4" t="str">
        <x:v>NaCl</x:v>
      </x:c>
      <x:c r="C384" s="23" t="n">
        <x:v>2.573758</x:v>
      </x:c>
      <x:c r="D384" s="23" t="n">
        <x:v>-12.86407</x:v>
      </x:c>
      <x:c r="E384" s="23" t="n">
        <x:f>'Parameters'!$B$2*'Parameters'!$B$3*LN(4*PI()*C384^2)</x:f>
        <x:v>10.961349124137772</x:v>
      </x:c>
      <x:c r="F384" s="23" t="n">
        <x:f>D384+E384</x:f>
        <x:v>-1.9027208758622276</x:v>
      </x:c>
      <x:c r="G384" s="23" t="n">
        <x:f>AVERAGE($F$325:$F$348)</x:f>
        <x:v>-1.7098851300581774</x:v>
      </x:c>
      <x:c r="H384" s="24" t="n">
        <x:f>F384-G384</x:f>
        <x:v>-0.19283574580405016</x:v>
      </x:c>
    </x:row>
    <x:row r="385">
      <x:c r="A385" s="2" t="str">
        <x:v>LiDA-1</x:v>
      </x:c>
      <x:c r="B385" s="4" t="str">
        <x:v>NaCl</x:v>
      </x:c>
      <x:c r="C385" s="23" t="n">
        <x:v>2.586496</x:v>
      </x:c>
      <x:c r="D385" s="23" t="n">
        <x:v>-12.89778</x:v>
      </x:c>
      <x:c r="E385" s="23" t="n">
        <x:f>'Parameters'!$B$2*'Parameters'!$B$3*LN(4*PI()*C385^2)</x:f>
        <x:v>10.985826228389158</x:v>
      </x:c>
      <x:c r="F385" s="23" t="n">
        <x:f>D385+E385</x:f>
        <x:v>-1.9119537716108415</x:v>
      </x:c>
      <x:c r="G385" s="23" t="n">
        <x:f>AVERAGE($F$325:$F$348)</x:f>
        <x:v>-1.7098851300581774</x:v>
      </x:c>
      <x:c r="H385" s="24" t="n">
        <x:f>F385-G385</x:f>
        <x:v>-0.20206864155266402</x:v>
      </x:c>
    </x:row>
    <x:row r="386">
      <x:c r="A386" s="2" t="str">
        <x:v>LiDA-1</x:v>
      </x:c>
      <x:c r="B386" s="4" t="str">
        <x:v>NaCl</x:v>
      </x:c>
      <x:c r="C386" s="23" t="n">
        <x:v>2.599233</x:v>
      </x:c>
      <x:c r="D386" s="23" t="n">
        <x:v>-12.87998</x:v>
      </x:c>
      <x:c r="E386" s="23" t="n">
        <x:f>'Parameters'!$B$2*'Parameters'!$B$3*LN(4*PI()*C386^2)</x:f>
        <x:v>11.010181175730077</x:v>
      </x:c>
      <x:c r="F386" s="23" t="n">
        <x:f>D386+E386</x:f>
        <x:v>-1.8697988242699228</x:v>
      </x:c>
      <x:c r="G386" s="23" t="n">
        <x:f>AVERAGE($F$325:$F$348)</x:f>
        <x:v>-1.7098851300581774</x:v>
      </x:c>
      <x:c r="H386" s="24" t="n">
        <x:f>F386-G386</x:f>
        <x:v>-0.1599136942117454</x:v>
      </x:c>
    </x:row>
    <x:row r="387">
      <x:c r="A387" s="2" t="str">
        <x:v>LiDA-1</x:v>
      </x:c>
      <x:c r="B387" s="4" t="str">
        <x:v>NaCl</x:v>
      </x:c>
      <x:c r="C387" s="23" t="n">
        <x:v>2.61197</x:v>
      </x:c>
      <x:c r="D387" s="23" t="n">
        <x:v>-13.05839</x:v>
      </x:c>
      <x:c r="E387" s="23" t="n">
        <x:f>'Parameters'!$B$2*'Parameters'!$B$3*LN(4*PI()*C387^2)</x:f>
        <x:v>11.034417067949647</x:v>
      </x:c>
      <x:c r="F387" s="23" t="n">
        <x:f>D387+E387</x:f>
        <x:v>-2.023972932050352</x:v>
      </x:c>
      <x:c r="G387" s="23" t="n">
        <x:f>AVERAGE($F$325:$F$348)</x:f>
        <x:v>-1.7098851300581774</x:v>
      </x:c>
      <x:c r="H387" s="24" t="n">
        <x:f>F387-G387</x:f>
        <x:v>-0.3140878019921747</x:v>
      </x:c>
    </x:row>
    <x:row r="388">
      <x:c r="A388" s="2" t="str">
        <x:v>LiDA-1</x:v>
      </x:c>
      <x:c r="B388" s="4" t="str">
        <x:v>NaCl</x:v>
      </x:c>
      <x:c r="C388" s="23" t="n">
        <x:v>2.624707</x:v>
      </x:c>
      <x:c r="D388" s="23" t="n">
        <x:v>-12.9144</x:v>
      </x:c>
      <x:c r="E388" s="23" t="n">
        <x:f>'Parameters'!$B$2*'Parameters'!$B$3*LN(4*PI()*C388^2)</x:f>
        <x:v>11.058535063350435</x:v>
      </x:c>
      <x:c r="F388" s="23" t="n">
        <x:f>D388+E388</x:f>
        <x:v>-1.8558649366495654</x:v>
      </x:c>
      <x:c r="G388" s="23" t="n">
        <x:f>AVERAGE($F$325:$F$348)</x:f>
        <x:v>-1.7098851300581774</x:v>
      </x:c>
      <x:c r="H388" s="24" t="n">
        <x:f>F388-G388</x:f>
        <x:v>-0.14597980659138798</x:v>
      </x:c>
    </x:row>
    <x:row r="389">
      <x:c r="A389" s="2" t="str">
        <x:v>LiDA-1</x:v>
      </x:c>
      <x:c r="B389" s="4" t="str">
        <x:v>NaCl</x:v>
      </x:c>
      <x:c r="C389" s="23" t="n">
        <x:v>2.637444</x:v>
      </x:c>
      <x:c r="D389" s="23" t="n">
        <x:v>-12.87949</x:v>
      </x:c>
      <x:c r="E389" s="23" t="n">
        <x:f>'Parameters'!$B$2*'Parameters'!$B$3*LN(4*PI()*C389^2)</x:f>
        <x:v>11.082536303412887</x:v>
      </x:c>
      <x:c r="F389" s="23" t="n">
        <x:f>D389+E389</x:f>
        <x:v>-1.7969536965871136</x:v>
      </x:c>
      <x:c r="G389" s="23" t="n">
        <x:f>AVERAGE($F$325:$F$348)</x:f>
        <x:v>-1.7098851300581774</x:v>
      </x:c>
      <x:c r="H389" s="24" t="n">
        <x:f>F389-G389</x:f>
        <x:v>-0.08706856652893613</x:v>
      </x:c>
    </x:row>
    <x:row r="390">
      <x:c r="A390" s="2" t="str">
        <x:v>LiDA-1</x:v>
      </x:c>
      <x:c r="B390" s="4" t="str">
        <x:v>NaCl</x:v>
      </x:c>
      <x:c r="C390" s="23" t="n">
        <x:v>2.650181</x:v>
      </x:c>
      <x:c r="D390" s="23" t="n">
        <x:v>-12.80156</x:v>
      </x:c>
      <x:c r="E390" s="23" t="n">
        <x:f>'Parameters'!$B$2*'Parameters'!$B$3*LN(4*PI()*C390^2)</x:f>
        <x:v>11.106421913119519</x:v>
      </x:c>
      <x:c r="F390" s="23" t="n">
        <x:f>D390+E390</x:f>
        <x:v>-1.6951380868804815</x:v>
      </x:c>
      <x:c r="G390" s="23" t="n">
        <x:f>AVERAGE($F$325:$F$348)</x:f>
        <x:v>-1.7098851300581774</x:v>
      </x:c>
      <x:c r="H390" s="24" t="n">
        <x:f>F390-G390</x:f>
        <x:v>0.014747043177695929</x:v>
      </x:c>
    </x:row>
    <x:row r="391">
      <x:c r="A391" s="2" t="str">
        <x:v>LiDA-1</x:v>
      </x:c>
      <x:c r="B391" s="4" t="str">
        <x:v>NaCl</x:v>
      </x:c>
      <x:c r="C391" s="23" t="n">
        <x:v>2.662919</x:v>
      </x:c>
      <x:c r="D391" s="23" t="n">
        <x:v>-12.83692</x:v>
      </x:c>
      <x:c r="E391" s="23" t="n">
        <x:f>'Parameters'!$B$2*'Parameters'!$B$3*LN(4*PI()*C391^2)</x:f>
        <x:v>11.130194863106006</x:v>
      </x:c>
      <x:c r="F391" s="23" t="n">
        <x:f>D391+E391</x:f>
        <x:v>-1.7067251368939935</x:v>
      </x:c>
      <x:c r="G391" s="23" t="n">
        <x:f>AVERAGE($F$325:$F$348)</x:f>
        <x:v>-1.7098851300581774</x:v>
      </x:c>
      <x:c r="H391" s="24" t="n">
        <x:f>F391-G391</x:f>
        <x:v>0.0031599931641839163</x:v>
      </x:c>
    </x:row>
    <x:row r="392">
      <x:c r="A392" s="2" t="str">
        <x:v>LiDA-1</x:v>
      </x:c>
      <x:c r="B392" s="4" t="str">
        <x:v>NaCl</x:v>
      </x:c>
      <x:c r="C392" s="23" t="n">
        <x:v>2.675656</x:v>
      </x:c>
      <x:c r="D392" s="23" t="n">
        <x:v>-12.24965</x:v>
      </x:c>
      <x:c r="E392" s="23" t="n">
        <x:f>'Parameters'!$B$2*'Parameters'!$B$3*LN(4*PI()*C392^2)</x:f>
        <x:v>11.153852513768316</x:v>
      </x:c>
      <x:c r="F392" s="23" t="n">
        <x:f>D392+E392</x:f>
        <x:v>-1.0957974862316853</x:v>
      </x:c>
      <x:c r="G392" s="23" t="n">
        <x:f>AVERAGE($F$325:$F$348)</x:f>
        <x:v>-1.7098851300581774</x:v>
      </x:c>
      <x:c r="H392" s="24" t="n">
        <x:f>F392-G392</x:f>
        <x:v>0.6140876438264922</x:v>
      </x:c>
    </x:row>
    <x:row r="393">
      <x:c r="A393" s="2" t="str">
        <x:v>LiDA-1</x:v>
      </x:c>
      <x:c r="B393" s="4" t="str">
        <x:v>NaCl</x:v>
      </x:c>
      <x:c r="C393" s="23" t="n">
        <x:v>2.688393</x:v>
      </x:c>
      <x:c r="D393" s="23" t="n">
        <x:v>-12.95844</x:v>
      </x:c>
      <x:c r="E393" s="23" t="n">
        <x:f>'Parameters'!$B$2*'Parameters'!$B$3*LN(4*PI()*C393^2)</x:f>
        <x:v>11.177397813245227</x:v>
      </x:c>
      <x:c r="F393" s="23" t="n">
        <x:f>D393+E393</x:f>
        <x:v>-1.7810421867547728</x:v>
      </x:c>
      <x:c r="G393" s="23" t="n">
        <x:f>AVERAGE($F$325:$F$348)</x:f>
        <x:v>-1.7098851300581774</x:v>
      </x:c>
      <x:c r="H393" s="24" t="n">
        <x:f>F393-G393</x:f>
        <x:v>-0.07115705669659533</x:v>
      </x:c>
    </x:row>
    <x:row r="394">
      <x:c r="A394" s="2" t="str">
        <x:v>LiDA-1</x:v>
      </x:c>
      <x:c r="B394" s="4" t="str">
        <x:v>NaCl</x:v>
      </x:c>
      <x:c r="C394" s="23" t="n">
        <x:v>2.70113</x:v>
      </x:c>
      <x:c r="D394" s="23" t="n">
        <x:v>-12.5122</x:v>
      </x:c>
      <x:c r="E394" s="23" t="n">
        <x:f>'Parameters'!$B$2*'Parameters'!$B$3*LN(4*PI()*C394^2)</x:f>
        <x:v>11.200831823615946</x:v>
      </x:c>
      <x:c r="F394" s="23" t="n">
        <x:f>D394+E394</x:f>
        <x:v>-1.311368176384054</x:v>
      </x:c>
      <x:c r="G394" s="23" t="n">
        <x:f>AVERAGE($F$325:$F$348)</x:f>
        <x:v>-1.7098851300581774</x:v>
      </x:c>
      <x:c r="H394" s="24" t="n">
        <x:f>F394-G394</x:f>
        <x:v>0.39851695367412354</x:v>
      </x:c>
    </x:row>
    <x:row r="395">
      <x:c r="A395" s="2" t="str">
        <x:v>LiDA-1</x:v>
      </x:c>
      <x:c r="B395" s="4" t="str">
        <x:v>NaCl</x:v>
      </x:c>
      <x:c r="C395" s="23" t="n">
        <x:v>2.713867</x:v>
      </x:c>
      <x:c r="D395" s="23" t="n">
        <x:v>-12.801</x:v>
      </x:c>
      <x:c r="E395" s="23" t="n">
        <x:f>'Parameters'!$B$2*'Parameters'!$B$3*LN(4*PI()*C395^2)</x:f>
        <x:v>11.224155591970417</x:v>
      </x:c>
      <x:c r="F395" s="23" t="n">
        <x:f>D395+E395</x:f>
        <x:v>-1.576844408029583</x:v>
      </x:c>
      <x:c r="G395" s="23" t="n">
        <x:f>AVERAGE($F$325:$F$348)</x:f>
        <x:v>-1.7098851300581774</x:v>
      </x:c>
      <x:c r="H395" s="24" t="n">
        <x:f>F395-G395</x:f>
        <x:v>0.13304072202859452</x:v>
      </x:c>
    </x:row>
    <x:row r="396">
      <x:c r="A396" s="2" t="str">
        <x:v>LiDA-1</x:v>
      </x:c>
      <x:c r="B396" s="4" t="str">
        <x:v>NaCl</x:v>
      </x:c>
      <x:c r="C396" s="23" t="n">
        <x:v>2.726605</x:v>
      </x:c>
      <x:c r="D396" s="23" t="n">
        <x:v>-13.18695</x:v>
      </x:c>
      <x:c r="E396" s="23" t="n">
        <x:f>'Parameters'!$B$2*'Parameters'!$B$3*LN(4*PI()*C396^2)</x:f>
        <x:v>11.247371969037406</x:v>
      </x:c>
      <x:c r="F396" s="23" t="n">
        <x:f>D396+E396</x:f>
        <x:v>-1.9395780309625934</x:v>
      </x:c>
      <x:c r="G396" s="23" t="n">
        <x:f>AVERAGE($F$325:$F$348)</x:f>
        <x:v>-1.7098851300581774</x:v>
      </x:c>
      <x:c r="H396" s="24" t="n">
        <x:f>F396-G396</x:f>
        <x:v>-0.22969290090441596</x:v>
      </x:c>
    </x:row>
    <x:row r="397">
      <x:c r="A397" s="2" t="str">
        <x:v>LiDA-1</x:v>
      </x:c>
      <x:c r="B397" s="4" t="str">
        <x:v>NaCl</x:v>
      </x:c>
      <x:c r="C397" s="23" t="n">
        <x:v>2.739342</x:v>
      </x:c>
      <x:c r="D397" s="23" t="n">
        <x:v>-12.60468</x:v>
      </x:c>
      <x:c r="E397" s="23" t="n">
        <x:f>'Parameters'!$B$2*'Parameters'!$B$3*LN(4*PI()*C397^2)</x:f>
        <x:v>11.270478327614617</x:v>
      </x:c>
      <x:c r="F397" s="23" t="n">
        <x:f>D397+E397</x:f>
        <x:v>-1.3342016723853831</x:v>
      </x:c>
      <x:c r="G397" s="23" t="n">
        <x:f>AVERAGE($F$325:$F$348)</x:f>
        <x:v>-1.7098851300581774</x:v>
      </x:c>
      <x:c r="H397" s="24" t="n">
        <x:f>F397-G397</x:f>
        <x:v>0.3756834576727943</x:v>
      </x:c>
    </x:row>
    <x:row r="398">
      <x:c r="A398" s="2" t="str">
        <x:v>LiDA-1</x:v>
      </x:c>
      <x:c r="B398" s="4" t="str">
        <x:v>NaCl</x:v>
      </x:c>
      <x:c r="C398" s="23" t="n">
        <x:v>2.752079</x:v>
      </x:c>
      <x:c r="D398" s="23" t="n">
        <x:v>-13.46925</x:v>
      </x:c>
      <x:c r="E398" s="23" t="n">
        <x:f>'Parameters'!$B$2*'Parameters'!$B$3*LN(4*PI()*C398^2)</x:f>
        <x:v>11.293477498362963</x:v>
      </x:c>
      <x:c r="F398" s="23" t="n">
        <x:f>D398+E398</x:f>
        <x:v>-2.175772501637038</x:v>
      </x:c>
      <x:c r="G398" s="23" t="n">
        <x:f>AVERAGE($F$325:$F$348)</x:f>
        <x:v>-1.7098851300581774</x:v>
      </x:c>
      <x:c r="H398" s="24" t="n">
        <x:f>F398-G398</x:f>
        <x:v>-0.4658873715788605</x:v>
      </x:c>
    </x:row>
    <x:row r="399">
      <x:c r="A399" s="2" t="str">
        <x:v>LiDA-1</x:v>
      </x:c>
      <x:c r="B399" s="4" t="str">
        <x:v>NaCl</x:v>
      </x:c>
      <x:c r="C399" s="23" t="n">
        <x:v>2.764816</x:v>
      </x:c>
      <x:c r="D399" s="23" t="n">
        <x:v>-14.75656</x:v>
      </x:c>
      <x:c r="E399" s="23" t="n">
        <x:f>'Parameters'!$B$2*'Parameters'!$B$3*LN(4*PI()*C399^2)</x:f>
        <x:v>11.316370471157134</x:v>
      </x:c>
      <x:c r="F399" s="23" t="n">
        <x:f>D399+E399</x:f>
        <x:v>-3.4401895288428666</x:v>
      </x:c>
      <x:c r="G399" s="23" t="n">
        <x:f>AVERAGE($F$325:$F$348)</x:f>
        <x:v>-1.7098851300581774</x:v>
      </x:c>
      <x:c r="H399" s="24" t="n">
        <x:f>F399-G399</x:f>
        <x:v>-1.7303043987846891</x:v>
      </x:c>
    </x:row>
    <x:row r="400">
      <x:c r="A400" s="2" t="str">
        <x:v>LiDA-1</x:v>
      </x:c>
      <x:c r="B400" s="4" t="str">
        <x:v>NaCl</x:v>
      </x:c>
      <x:c r="C400" s="23" t="n">
        <x:v>2.777553</x:v>
      </x:c>
      <x:c r="D400" s="23" t="n">
        <x:v>-15.49293</x:v>
      </x:c>
      <x:c r="E400" s="23" t="n">
        <x:f>'Parameters'!$B$2*'Parameters'!$B$3*LN(4*PI()*C400^2)</x:f>
        <x:v>11.339158222222652</x:v>
      </x:c>
      <x:c r="F400" s="23" t="n">
        <x:f>D400+E400</x:f>
        <x:v>-4.153771777777347</x:v>
      </x:c>
      <x:c r="G400" s="23" t="n">
        <x:f>AVERAGE($F$325:$F$348)</x:f>
        <x:v>-1.7098851300581774</x:v>
      </x:c>
      <x:c r="H400" s="24" t="n">
        <x:f>F400-G400</x:f>
        <x:v>-2.44388664771917</x:v>
      </x:c>
    </x:row>
    <x:row r="401">
      <x:c r="A401" s="2" t="str">
        <x:v>LiDA-1</x:v>
      </x:c>
      <x:c r="B401" s="4" t="str">
        <x:v>NaCl</x:v>
      </x:c>
      <x:c r="C401" s="23" t="n">
        <x:v>2.79029</x:v>
      </x:c>
      <x:c r="D401" s="23" t="n">
        <x:v>-18.1087</x:v>
      </x:c>
      <x:c r="E401" s="23" t="n">
        <x:f>'Parameters'!$B$2*'Parameters'!$B$3*LN(4*PI()*C401^2)</x:f>
        <x:v>11.361841714385667</x:v>
      </x:c>
      <x:c r="F401" s="23" t="n">
        <x:f>D401+E401</x:f>
        <x:v>-6.746858285614332</x:v>
      </x:c>
      <x:c r="G401" s="23" t="n">
        <x:f>AVERAGE($F$325:$F$348)</x:f>
        <x:v>-1.7098851300581774</x:v>
      </x:c>
      <x:c r="H401" s="24" t="n">
        <x:f>F401-G401</x:f>
        <x:v>-5.036973155556154</x:v>
      </x:c>
    </x:row>
    <x:row r="402">
      <x:c r="A402" s="2" t="str">
        <x:v>LiDS-1</x:v>
      </x:c>
      <x:c r="B402" s="4" t="str">
        <x:v>LiCl</x:v>
      </x:c>
      <x:c r="C402" s="23" t="n">
        <x:v>0.3556034</x:v>
      </x:c>
      <x:c r="D402" s="23" t="n">
        <x:v>0</x:v>
      </x:c>
      <x:c r="E402" s="23" t="n">
        <x:f>'Parameters'!$B$2*'Parameters'!$B$3*LN(4*PI()*C402^2)</x:f>
        <x:v>1.1481185832520844</x:v>
      </x:c>
      <x:c r="F402" s="23" t="n">
        <x:f>D402+E402</x:f>
        <x:v>1.1481185832520844</x:v>
      </x:c>
      <x:c r="G402" s="23" t="n">
        <x:f>AVERAGE($F$544:$F$568)</x:f>
        <x:v>20.52163326430316</x:v>
      </x:c>
      <x:c r="H402" s="24" t="n">
        <x:f>F402-G402</x:f>
        <x:v>-19.373514681051073</x:v>
      </x:c>
    </x:row>
    <x:row r="403">
      <x:c r="A403" s="2" t="str">
        <x:v>LiDS-1</x:v>
      </x:c>
      <x:c r="B403" s="4" t="str">
        <x:v>LiCl</x:v>
      </x:c>
      <x:c r="C403" s="23" t="n">
        <x:v>0.3679501</x:v>
      </x:c>
      <x:c r="D403" s="23" t="n">
        <x:v>9.648355</x:v>
      </x:c>
      <x:c r="E403" s="23" t="n">
        <x:f>'Parameters'!$B$2*'Parameters'!$B$3*LN(4*PI()*C403^2)</x:f>
        <x:v>1.3173384680501823</x:v>
      </x:c>
      <x:c r="F403" s="23" t="n">
        <x:f>D403+E403</x:f>
        <x:v>10.965693468050183</x:v>
      </x:c>
      <x:c r="G403" s="23" t="n">
        <x:f>AVERAGE($F$544:$F$568)</x:f>
        <x:v>20.52163326430316</x:v>
      </x:c>
      <x:c r="H403" s="24" t="n">
        <x:f>F403-G403</x:f>
        <x:v>-9.555939796252975</x:v>
      </x:c>
    </x:row>
    <x:row r="404">
      <x:c r="A404" s="2" t="str">
        <x:v>LiDS-1</x:v>
      </x:c>
      <x:c r="B404" s="4" t="str">
        <x:v>LiCl</x:v>
      </x:c>
      <x:c r="C404" s="23" t="n">
        <x:v>0.3802969</x:v>
      </x:c>
      <x:c r="D404" s="23" t="n">
        <x:v>5.194924</x:v>
      </x:c>
      <x:c r="E404" s="23" t="n">
        <x:f>'Parameters'!$B$2*'Parameters'!$B$3*LN(4*PI()*C404^2)</x:f>
        <x:v>1.4809740858886937</x:v>
      </x:c>
      <x:c r="F404" s="23" t="n">
        <x:f>D404+E404</x:f>
        <x:v>6.675898085888694</x:v>
      </x:c>
      <x:c r="G404" s="23" t="n">
        <x:f>AVERAGE($F$544:$F$568)</x:f>
        <x:v>20.52163326430316</x:v>
      </x:c>
      <x:c r="H404" s="24" t="n">
        <x:f>F404-G404</x:f>
        <x:v>-13.845735178414465</x:v>
      </x:c>
    </x:row>
    <x:row r="405">
      <x:c r="A405" s="2" t="str">
        <x:v>LiDS-1</x:v>
      </x:c>
      <x:c r="B405" s="4" t="str">
        <x:v>LiCl</x:v>
      </x:c>
      <x:c r="C405" s="23" t="n">
        <x:v>0.3926436</x:v>
      </x:c>
      <x:c r="D405" s="23" t="n">
        <x:v>3.109396</x:v>
      </x:c>
      <x:c r="E405" s="23" t="n">
        <x:f>'Parameters'!$B$2*'Parameters'!$B$3*LN(4*PI()*C405^2)</x:f>
        <x:v>1.6393797709866131</x:v>
      </x:c>
      <x:c r="F405" s="23" t="n">
        <x:f>D405+E405</x:f>
        <x:v>4.748775770986613</x:v>
      </x:c>
      <x:c r="G405" s="23" t="n">
        <x:f>AVERAGE($F$544:$F$568)</x:f>
        <x:v>20.52163326430316</x:v>
      </x:c>
      <x:c r="H405" s="24" t="n">
        <x:f>F405-G405</x:f>
        <x:v>-15.772857493316545</x:v>
      </x:c>
    </x:row>
    <x:row r="406">
      <x:c r="A406" s="2" t="str">
        <x:v>LiDS-1</x:v>
      </x:c>
      <x:c r="B406" s="4" t="str">
        <x:v>LiCl</x:v>
      </x:c>
      <x:c r="C406" s="23" t="n">
        <x:v>0.4049903</x:v>
      </x:c>
      <x:c r="D406" s="23" t="n">
        <x:v>1.373333</x:v>
      </x:c>
      <x:c r="E406" s="23" t="n">
        <x:f>'Parameters'!$B$2*'Parameters'!$B$3*LN(4*PI()*C406^2)</x:f>
        <x:v>1.7928806872681153</x:v>
      </x:c>
      <x:c r="F406" s="23" t="n">
        <x:f>D406+E406</x:f>
        <x:v>3.1662136872681153</x:v>
      </x:c>
      <x:c r="G406" s="23" t="n">
        <x:f>AVERAGE($F$544:$F$568)</x:f>
        <x:v>20.52163326430316</x:v>
      </x:c>
      <x:c r="H406" s="24" t="n">
        <x:f>F406-G406</x:f>
        <x:v>-17.355419577035043</x:v>
      </x:c>
    </x:row>
    <x:row r="407">
      <x:c r="A407" s="2" t="str">
        <x:v>LiDS-1</x:v>
      </x:c>
      <x:c r="B407" s="4" t="str">
        <x:v>LiCl</x:v>
      </x:c>
      <x:c r="C407" s="23" t="n">
        <x:v>0.4173371</x:v>
      </x:c>
      <x:c r="D407" s="23" t="n">
        <x:v>-0.2909841</x:v>
      </x:c>
      <x:c r="E407" s="23" t="n">
        <x:f>'Parameters'!$B$2*'Parameters'!$B$3*LN(4*PI()*C407^2)</x:f>
        <x:v>1.9417726586677297</x:v>
      </x:c>
      <x:c r="F407" s="23" t="n">
        <x:f>D407+E407</x:f>
        <x:v>1.6507885586677298</x:v>
      </x:c>
      <x:c r="G407" s="23" t="n">
        <x:f>AVERAGE($F$544:$F$568)</x:f>
        <x:v>20.52163326430316</x:v>
      </x:c>
      <x:c r="H407" s="24" t="n">
        <x:f>F407-G407</x:f>
        <x:v>-18.870844705635427</x:v>
      </x:c>
    </x:row>
    <x:row r="408">
      <x:c r="A408" s="2" t="str">
        <x:v>LiDS-1</x:v>
      </x:c>
      <x:c r="B408" s="4" t="str">
        <x:v>LiCl</x:v>
      </x:c>
      <x:c r="C408" s="23" t="n">
        <x:v>0.4296838</x:v>
      </x:c>
      <x:c r="D408" s="23" t="n">
        <x:v>-1.792975</x:v>
      </x:c>
      <x:c r="E408" s="23" t="n">
        <x:f>'Parameters'!$B$2*'Parameters'!$B$3*LN(4*PI()*C408^2)</x:f>
        <x:v>2.0863221345953544</x:v>
      </x:c>
      <x:c r="F408" s="23" t="n">
        <x:f>D408+E408</x:f>
        <x:v>0.29334713459535444</x:v>
      </x:c>
      <x:c r="G408" s="23" t="n">
        <x:f>AVERAGE($F$544:$F$568)</x:f>
        <x:v>20.52163326430316</x:v>
      </x:c>
      <x:c r="H408" s="24" t="n">
        <x:f>F408-G408</x:f>
        <x:v>-20.228286129707804</x:v>
      </x:c>
    </x:row>
    <x:row r="409">
      <x:c r="A409" s="2" t="str">
        <x:v>LiDS-1</x:v>
      </x:c>
      <x:c r="B409" s="4" t="str">
        <x:v>LiCl</x:v>
      </x:c>
      <x:c r="C409" s="23" t="n">
        <x:v>0.4420306</x:v>
      </x:c>
      <x:c r="D409" s="23" t="n">
        <x:v>-3.1138</x:v>
      </x:c>
      <x:c r="E409" s="23" t="n">
        <x:f>'Parameters'!$B$2*'Parameters'!$B$3*LN(4*PI()*C409^2)</x:f>
        <x:v>2.226777465556329</x:v>
      </x:c>
      <x:c r="F409" s="23" t="n">
        <x:f>D409+E409</x:f>
        <x:v>-0.8870225344436711</x:v>
      </x:c>
      <x:c r="G409" s="23" t="n">
        <x:f>AVERAGE($F$544:$F$568)</x:f>
        <x:v>20.52163326430316</x:v>
      </x:c>
      <x:c r="H409" s="24" t="n">
        <x:f>F409-G409</x:f>
        <x:v>-21.40865579874683</x:v>
      </x:c>
    </x:row>
    <x:row r="410">
      <x:c r="A410" s="2" t="str">
        <x:v>LiDS-1</x:v>
      </x:c>
      <x:c r="B410" s="4" t="str">
        <x:v>LiCl</x:v>
      </x:c>
      <x:c r="C410" s="23" t="n">
        <x:v>0.4543773</x:v>
      </x:c>
      <x:c r="D410" s="23" t="n">
        <x:v>-3.570029</x:v>
      </x:c>
      <x:c r="E410" s="23" t="n">
        <x:f>'Parameters'!$B$2*'Parameters'!$B$3*LN(4*PI()*C410^2)</x:f>
        <x:v>2.363362047015196</x:v>
      </x:c>
      <x:c r="F410" s="23" t="n">
        <x:f>D410+E410</x:f>
        <x:v>-1.2066669529848038</x:v>
      </x:c>
      <x:c r="G410" s="23" t="n">
        <x:f>AVERAGE($F$544:$F$568)</x:f>
        <x:v>20.52163326430316</x:v>
      </x:c>
      <x:c r="H410" s="24" t="n">
        <x:f>F410-G410</x:f>
        <x:v>-21.728300217287963</x:v>
      </x:c>
    </x:row>
    <x:row r="411">
      <x:c r="A411" s="2" t="str">
        <x:v>LiDS-1</x:v>
      </x:c>
      <x:c r="B411" s="4" t="str">
        <x:v>LiCl</x:v>
      </x:c>
      <x:c r="C411" s="23" t="n">
        <x:v>0.4667241</x:v>
      </x:c>
      <x:c r="D411" s="23" t="n">
        <x:v>-2.962302</x:v>
      </x:c>
      <x:c r="E411" s="23" t="n">
        <x:f>'Parameters'!$B$2*'Parameters'!$B$3*LN(4*PI()*C411^2)</x:f>
        <x:v>2.4962856100136133</x:v>
      </x:c>
      <x:c r="F411" s="23" t="n">
        <x:f>D411+E411</x:f>
        <x:v>-0.46601638998638695</x:v>
      </x:c>
      <x:c r="G411" s="23" t="n">
        <x:f>AVERAGE($F$544:$F$568)</x:f>
        <x:v>20.52163326430316</x:v>
      </x:c>
      <x:c r="H411" s="24" t="n">
        <x:f>F411-G411</x:f>
        <x:v>-20.987649654289545</x:v>
      </x:c>
    </x:row>
    <x:row r="412">
      <x:c r="A412" s="2" t="str">
        <x:v>LiDS-1</x:v>
      </x:c>
      <x:c r="B412" s="4" t="str">
        <x:v>LiCl</x:v>
      </x:c>
      <x:c r="C412" s="23" t="n">
        <x:v>0.4790708</x:v>
      </x:c>
      <x:c r="D412" s="23" t="n">
        <x:v>-1.286763</x:v>
      </x:c>
      <x:c r="E412" s="23" t="n">
        <x:f>'Parameters'!$B$2*'Parameters'!$B$3*LN(4*PI()*C412^2)</x:f>
        <x:v>2.6257372598903075</x:v>
      </x:c>
      <x:c r="F412" s="23" t="n">
        <x:f>D412+E412</x:f>
        <x:v>1.3389742598903074</x:v>
      </x:c>
      <x:c r="G412" s="23" t="n">
        <x:f>AVERAGE($F$544:$F$568)</x:f>
        <x:v>20.52163326430316</x:v>
      </x:c>
      <x:c r="H412" s="24" t="n">
        <x:f>F412-G412</x:f>
        <x:v>-19.18265900441285</x:v>
      </x:c>
    </x:row>
    <x:row r="413">
      <x:c r="A413" s="2" t="str">
        <x:v>LiDS-1</x:v>
      </x:c>
      <x:c r="B413" s="4" t="str">
        <x:v>LiCl</x:v>
      </x:c>
      <x:c r="C413" s="23" t="n">
        <x:v>0.4914176</x:v>
      </x:c>
      <x:c r="D413" s="23" t="n">
        <x:v>0.7907485</x:v>
      </x:c>
      <x:c r="E413" s="23" t="n">
        <x:f>'Parameters'!$B$2*'Parameters'!$B$3*LN(4*PI()*C413^2)</x:f>
        <x:v>2.7518957513461513</x:v>
      </x:c>
      <x:c r="F413" s="23" t="n">
        <x:f>D413+E413</x:f>
        <x:v>3.542644251346151</x:v>
      </x:c>
      <x:c r="G413" s="23" t="n">
        <x:f>AVERAGE($F$544:$F$568)</x:f>
        <x:v>20.52163326430316</x:v>
      </x:c>
      <x:c r="H413" s="24" t="n">
        <x:f>F413-G413</x:f>
        <x:v>-16.97898901295701</x:v>
      </x:c>
    </x:row>
    <x:row r="414">
      <x:c r="A414" s="2" t="str">
        <x:v>LiDS-1</x:v>
      </x:c>
      <x:c r="B414" s="4" t="str">
        <x:v>LiCl</x:v>
      </x:c>
      <x:c r="C414" s="23" t="n">
        <x:v>0.5037643</x:v>
      </x:c>
      <x:c r="D414" s="23" t="n">
        <x:v>2.686382</x:v>
      </x:c>
      <x:c r="E414" s="23" t="n">
        <x:f>'Parameters'!$B$2*'Parameters'!$B$3*LN(4*PI()*C414^2)</x:f>
        <x:v>2.8749225437303165</x:v>
      </x:c>
      <x:c r="F414" s="23" t="n">
        <x:f>D414+E414</x:f>
        <x:v>5.561304543730317</x:v>
      </x:c>
      <x:c r="G414" s="23" t="n">
        <x:f>AVERAGE($F$544:$F$568)</x:f>
        <x:v>20.52163326430316</x:v>
      </x:c>
      <x:c r="H414" s="24" t="n">
        <x:f>F414-G414</x:f>
        <x:v>-14.960328720572843</x:v>
      </x:c>
    </x:row>
    <x:row r="415">
      <x:c r="A415" s="2" t="str">
        <x:v>LiDS-1</x:v>
      </x:c>
      <x:c r="B415" s="4" t="str">
        <x:v>LiCl</x:v>
      </x:c>
      <x:c r="C415" s="23" t="n">
        <x:v>0.516111</x:v>
      </x:c>
      <x:c r="D415" s="23" t="n">
        <x:v>4.383269</x:v>
      </x:c>
      <x:c r="E415" s="23" t="n">
        <x:f>'Parameters'!$B$2*'Parameters'!$B$3*LN(4*PI()*C415^2)</x:f>
        <x:v>2.9949702951092183</x:v>
      </x:c>
      <x:c r="F415" s="23" t="n">
        <x:f>D415+E415</x:f>
        <x:v>7.378239295109219</x:v>
      </x:c>
      <x:c r="G415" s="23" t="n">
        <x:f>AVERAGE($F$544:$F$568)</x:f>
        <x:v>20.52163326430316</x:v>
      </x:c>
      <x:c r="H415" s="24" t="n">
        <x:f>F415-G415</x:f>
        <x:v>-13.14339396919394</x:v>
      </x:c>
    </x:row>
    <x:row r="416">
      <x:c r="A416" s="2" t="str">
        <x:v>LiDS-1</x:v>
      </x:c>
      <x:c r="B416" s="4" t="str">
        <x:v>LiCl</x:v>
      </x:c>
      <x:c r="C416" s="23" t="n">
        <x:v>0.5284578</x:v>
      </x:c>
      <x:c r="D416" s="23" t="n">
        <x:v>6.619335</x:v>
      </x:c>
      <x:c r="E416" s="23" t="n">
        <x:f>'Parameters'!$B$2*'Parameters'!$B$3*LN(4*PI()*C416^2)</x:f>
        <x:v>3.1121808117282086</x:v>
      </x:c>
      <x:c r="F416" s="23" t="n">
        <x:f>D416+E416</x:f>
        <x:v>9.731515811728208</x:v>
      </x:c>
      <x:c r="G416" s="23" t="n">
        <x:f>AVERAGE($F$544:$F$568)</x:f>
        <x:v>20.52163326430316</x:v>
      </x:c>
      <x:c r="H416" s="24" t="n">
        <x:f>F416-G416</x:f>
        <x:v>-10.79011745257495</x:v>
      </x:c>
    </x:row>
    <x:row r="417">
      <x:c r="A417" s="2" t="str">
        <x:v>LiDS-1</x:v>
      </x:c>
      <x:c r="B417" s="4" t="str">
        <x:v>LiCl</x:v>
      </x:c>
      <x:c r="C417" s="23" t="n">
        <x:v>0.5408045</x:v>
      </x:c>
      <x:c r="D417" s="23" t="n">
        <x:v>9.752133</x:v>
      </x:c>
      <x:c r="E417" s="23" t="n">
        <x:f>'Parameters'!$B$2*'Parameters'!$B$3*LN(4*PI()*C417^2)</x:f>
        <x:v>3.2266833024922756</x:v>
      </x:c>
      <x:c r="F417" s="23" t="n">
        <x:f>D417+E417</x:f>
        <x:v>12.978816302492277</x:v>
      </x:c>
      <x:c r="G417" s="23" t="n">
        <x:f>AVERAGE($F$544:$F$568)</x:f>
        <x:v>20.52163326430316</x:v>
      </x:c>
      <x:c r="H417" s="24" t="n">
        <x:f>F417-G417</x:f>
        <x:v>-7.542816961810882</x:v>
      </x:c>
    </x:row>
    <x:row r="418">
      <x:c r="A418" s="2" t="str">
        <x:v>LiDS-1</x:v>
      </x:c>
      <x:c r="B418" s="4" t="str">
        <x:v>LiCl</x:v>
      </x:c>
      <x:c r="C418" s="23" t="n">
        <x:v>0.5531513</x:v>
      </x:c>
      <x:c r="D418" s="23" t="n">
        <x:v>13.75779</x:v>
      </x:c>
      <x:c r="E418" s="23" t="n">
        <x:f>'Parameters'!$B$2*'Parameters'!$B$3*LN(4*PI()*C418^2)</x:f>
        <x:v>3.338601851148853</x:v>
      </x:c>
      <x:c r="F418" s="23" t="n">
        <x:f>D418+E418</x:f>
        <x:v>17.09639185114885</x:v>
      </x:c>
      <x:c r="G418" s="23" t="n">
        <x:f>AVERAGE($F$544:$F$568)</x:f>
        <x:v>20.52163326430316</x:v>
      </x:c>
      <x:c r="H418" s="24" t="n">
        <x:f>F418-G418</x:f>
        <x:v>-3.425241413154307</x:v>
      </x:c>
    </x:row>
    <x:row r="419">
      <x:c r="A419" s="2" t="str">
        <x:v>LiDS-1</x:v>
      </x:c>
      <x:c r="B419" s="4" t="str">
        <x:v>LiCl</x:v>
      </x:c>
      <x:c r="C419" s="23" t="n">
        <x:v>0.565498</x:v>
      </x:c>
      <x:c r="D419" s="23" t="n">
        <x:v>16.60173</x:v>
      </x:c>
      <x:c r="E419" s="23" t="n">
        <x:f>'Parameters'!$B$2*'Parameters'!$B$3*LN(4*PI()*C419^2)</x:f>
        <x:v>3.448048776759977</x:v>
      </x:c>
      <x:c r="F419" s="23" t="n">
        <x:f>D419+E419</x:f>
        <x:v>20.049778776759975</x:v>
      </x:c>
      <x:c r="G419" s="23" t="n">
        <x:f>AVERAGE($F$544:$F$568)</x:f>
        <x:v>20.52163326430316</x:v>
      </x:c>
      <x:c r="H419" s="24" t="n">
        <x:f>F419-G419</x:f>
        <x:v>-0.47185448754318315</x:v>
      </x:c>
    </x:row>
    <x:row r="420">
      <x:c r="A420" s="2" t="str">
        <x:v>LiDS-1</x:v>
      </x:c>
      <x:c r="B420" s="4" t="str">
        <x:v>LiCl</x:v>
      </x:c>
      <x:c r="C420" s="23" t="n">
        <x:v>0.5778448</x:v>
      </x:c>
      <x:c r="D420" s="23" t="n">
        <x:v>16.5915</x:v>
      </x:c>
      <x:c r="E420" s="23" t="n">
        <x:f>'Parameters'!$B$2*'Parameters'!$B$3*LN(4*PI()*C420^2)</x:f>
        <x:v>3.555132589218605</x:v>
      </x:c>
      <x:c r="F420" s="23" t="n">
        <x:f>D420+E420</x:f>
        <x:v>20.146632589218605</x:v>
      </x:c>
      <x:c r="G420" s="23" t="n">
        <x:f>AVERAGE($F$544:$F$568)</x:f>
        <x:v>20.52163326430316</x:v>
      </x:c>
      <x:c r="H420" s="24" t="n">
        <x:f>F420-G420</x:f>
        <x:v>-0.3750006750845536</x:v>
      </x:c>
    </x:row>
    <x:row r="421">
      <x:c r="A421" s="2" t="str">
        <x:v>LiDS-1</x:v>
      </x:c>
      <x:c r="B421" s="4" t="str">
        <x:v>LiCl</x:v>
      </x:c>
      <x:c r="C421" s="23" t="n">
        <x:v>0.5901915</x:v>
      </x:c>
      <x:c r="D421" s="23" t="n">
        <x:v>16.27272</x:v>
      </x:c>
      <x:c r="E421" s="23" t="n">
        <x:f>'Parameters'!$B$2*'Parameters'!$B$3*LN(4*PI()*C421^2)</x:f>
        <x:v>3.659951519208833</x:v>
      </x:c>
      <x:c r="F421" s="23" t="n">
        <x:f>D421+E421</x:f>
        <x:v>19.93267151920883</x:v>
      </x:c>
      <x:c r="G421" s="23" t="n">
        <x:f>AVERAGE($F$544:$F$568)</x:f>
        <x:v>20.52163326430316</x:v>
      </x:c>
      <x:c r="H421" s="24" t="n">
        <x:f>F421-G421</x:f>
        <x:v>-0.588961745094327</x:v>
      </x:c>
    </x:row>
    <x:row r="422">
      <x:c r="A422" s="2" t="str">
        <x:v>LiDS-1</x:v>
      </x:c>
      <x:c r="B422" s="4" t="str">
        <x:v>LiCl</x:v>
      </x:c>
      <x:c r="C422" s="23" t="n">
        <x:v>0.6025383</x:v>
      </x:c>
      <x:c r="D422" s="23" t="n">
        <x:v>15.84506</x:v>
      </x:c>
      <x:c r="E422" s="23" t="n">
        <x:f>'Parameters'!$B$2*'Parameters'!$B$3*LN(4*PI()*C422^2)</x:f>
        <x:v>3.7626010211896275</x:v>
      </x:c>
      <x:c r="F422" s="23" t="n">
        <x:f>D422+E422</x:f>
        <x:v>19.607661021189628</x:v>
      </x:c>
      <x:c r="G422" s="23" t="n">
        <x:f>AVERAGE($F$544:$F$568)</x:f>
        <x:v>20.52163326430316</x:v>
      </x:c>
      <x:c r="H422" s="24" t="n">
        <x:f>F422-G422</x:f>
        <x:v>-0.9139722431135304</x:v>
      </x:c>
    </x:row>
    <x:row r="423">
      <x:c r="A423" s="2" t="str">
        <x:v>LiDS-1</x:v>
      </x:c>
      <x:c r="B423" s="4" t="str">
        <x:v>LiCl</x:v>
      </x:c>
      <x:c r="C423" s="23" t="n">
        <x:v>0.614885</x:v>
      </x:c>
      <x:c r="D423" s="23" t="n">
        <x:v>15.61583</x:v>
      </x:c>
      <x:c r="E423" s="23" t="n">
        <x:f>'Parameters'!$B$2*'Parameters'!$B$3*LN(4*PI()*C423^2)</x:f>
        <x:v>3.8631674820567152</x:v>
      </x:c>
      <x:c r="F423" s="23" t="n">
        <x:f>D423+E423</x:f>
        <x:v>19.478997482056716</x:v>
      </x:c>
      <x:c r="G423" s="23" t="n">
        <x:f>AVERAGE($F$544:$F$568)</x:f>
        <x:v>20.52163326430316</x:v>
      </x:c>
      <x:c r="H423" s="24" t="n">
        <x:f>F423-G423</x:f>
        <x:v>-1.0426357822464425</x:v>
      </x:c>
    </x:row>
    <x:row r="424">
      <x:c r="A424" s="2" t="str">
        <x:v>LiDS-1</x:v>
      </x:c>
      <x:c r="B424" s="4" t="str">
        <x:v>LiCl</x:v>
      </x:c>
      <x:c r="C424" s="23" t="n">
        <x:v>0.6272317</x:v>
      </x:c>
      <x:c r="D424" s="23" t="n">
        <x:v>15.19987</x:v>
      </x:c>
      <x:c r="E424" s="23" t="n">
        <x:f>'Parameters'!$B$2*'Parameters'!$B$3*LN(4*PI()*C424^2)</x:f>
        <x:v>3.961734538927288</x:v>
      </x:c>
      <x:c r="F424" s="23" t="n">
        <x:f>D424+E424</x:f>
        <x:v>19.16160453892729</x:v>
      </x:c>
      <x:c r="G424" s="23" t="n">
        <x:f>AVERAGE($F$544:$F$568)</x:f>
        <x:v>20.52163326430316</x:v>
      </x:c>
      <x:c r="H424" s="24" t="n">
        <x:f>F424-G424</x:f>
        <x:v>-1.3600287253758694</x:v>
      </x:c>
    </x:row>
    <x:row r="425">
      <x:c r="A425" s="2" t="str">
        <x:v>LiDS-1</x:v>
      </x:c>
      <x:c r="B425" s="4" t="str">
        <x:v>LiCl</x:v>
      </x:c>
      <x:c r="C425" s="23" t="n">
        <x:v>0.6395785</x:v>
      </x:c>
      <x:c r="D425" s="23" t="n">
        <x:v>14.92003</x:v>
      </x:c>
      <x:c r="E425" s="23" t="n">
        <x:f>'Parameters'!$B$2*'Parameters'!$B$3*LN(4*PI()*C425^2)</x:f>
        <x:v>4.0583809216336295</x:v>
      </x:c>
      <x:c r="F425" s="23" t="n">
        <x:f>D425+E425</x:f>
        <x:v>18.978410921633632</x:v>
      </x:c>
      <x:c r="G425" s="23" t="n">
        <x:f>AVERAGE($F$544:$F$568)</x:f>
        <x:v>20.52163326430316</x:v>
      </x:c>
      <x:c r="H425" s="24" t="n">
        <x:f>F425-G425</x:f>
        <x:v>-1.5432223426695266</x:v>
      </x:c>
    </x:row>
    <x:row r="426">
      <x:c r="A426" s="2" t="str">
        <x:v>LiDS-1</x:v>
      </x:c>
      <x:c r="B426" s="4" t="str">
        <x:v>LiCl</x:v>
      </x:c>
      <x:c r="C426" s="23" t="n">
        <x:v>0.6519252</x:v>
      </x:c>
      <x:c r="D426" s="23" t="n">
        <x:v>14.79225</x:v>
      </x:c>
      <x:c r="E426" s="23" t="n">
        <x:f>'Parameters'!$B$2*'Parameters'!$B$3*LN(4*PI()*C426^2)</x:f>
        <x:v>4.15317854775966</x:v>
      </x:c>
      <x:c r="F426" s="23" t="n">
        <x:f>D426+E426</x:f>
        <x:v>18.94542854775966</x:v>
      </x:c>
      <x:c r="G426" s="23" t="n">
        <x:f>AVERAGE($F$544:$F$568)</x:f>
        <x:v>20.52163326430316</x:v>
      </x:c>
      <x:c r="H426" s="24" t="n">
        <x:f>F426-G426</x:f>
        <x:v>-1.5762047165434971</x:v>
      </x:c>
    </x:row>
    <x:row r="427">
      <x:c r="A427" s="2" t="str">
        <x:v>LiDS-1</x:v>
      </x:c>
      <x:c r="B427" s="4" t="str">
        <x:v>LiCl</x:v>
      </x:c>
      <x:c r="C427" s="23" t="n">
        <x:v>0.664272</x:v>
      </x:c>
      <x:c r="D427" s="23" t="n">
        <x:v>14.93267</x:v>
      </x:c>
      <x:c r="E427" s="23" t="n">
        <x:f>'Parameters'!$B$2*'Parameters'!$B$3*LN(4*PI()*C427^2)</x:f>
        <x:v>4.246198300358147</x:v>
      </x:c>
      <x:c r="F427" s="23" t="n">
        <x:f>D427+E427</x:f>
        <x:v>19.178868300358147</x:v>
      </x:c>
      <x:c r="G427" s="23" t="n">
        <x:f>AVERAGE($F$544:$F$568)</x:f>
        <x:v>20.52163326430316</x:v>
      </x:c>
      <x:c r="H427" s="24" t="n">
        <x:f>F427-G427</x:f>
        <x:v>-1.3427649639450117</x:v>
      </x:c>
    </x:row>
    <x:row r="428">
      <x:c r="A428" s="2" t="str">
        <x:v>LiDS-1</x:v>
      </x:c>
      <x:c r="B428" s="4" t="str">
        <x:v>LiCl</x:v>
      </x:c>
      <x:c r="C428" s="23" t="n">
        <x:v>0.6766187</x:v>
      </x:c>
      <x:c r="D428" s="23" t="n">
        <x:v>14.6545</x:v>
      </x:c>
      <x:c r="E428" s="23" t="n">
        <x:f>'Parameters'!$B$2*'Parameters'!$B$3*LN(4*PI()*C428^2)</x:f>
        <x:v>4.337504187695722</x:v>
      </x:c>
      <x:c r="F428" s="23" t="n">
        <x:f>D428+E428</x:f>
        <x:v>18.992004187695724</x:v>
      </x:c>
      <x:c r="G428" s="23" t="n">
        <x:f>AVERAGE($F$544:$F$568)</x:f>
        <x:v>20.52163326430316</x:v>
      </x:c>
      <x:c r="H428" s="24" t="n">
        <x:f>F428-G428</x:f>
        <x:v>-1.529629076607435</x:v>
      </x:c>
    </x:row>
    <x:row r="429">
      <x:c r="A429" s="2" t="str">
        <x:v>LiDS-1</x:v>
      </x:c>
      <x:c r="B429" s="4" t="str">
        <x:v>LiCl</x:v>
      </x:c>
      <x:c r="C429" s="23" t="n">
        <x:v>0.6889655</x:v>
      </x:c>
      <x:c r="D429" s="23" t="n">
        <x:v>14.61669</x:v>
      </x:c>
      <x:c r="E429" s="23" t="n">
        <x:f>'Parameters'!$B$2*'Parameters'!$B$3*LN(4*PI()*C429^2)</x:f>
        <x:v>4.427159650051842</x:v>
      </x:c>
      <x:c r="F429" s="23" t="n">
        <x:f>D429+E429</x:f>
        <x:v>19.043849650051843</x:v>
      </x:c>
      <x:c r="G429" s="23" t="n">
        <x:f>AVERAGE($F$544:$F$568)</x:f>
        <x:v>20.52163326430316</x:v>
      </x:c>
      <x:c r="H429" s="24" t="n">
        <x:f>F429-G429</x:f>
        <x:v>-1.4777836142513152</x:v>
      </x:c>
    </x:row>
    <x:row r="430">
      <x:c r="A430" s="2" t="str">
        <x:v>LiDS-1</x:v>
      </x:c>
      <x:c r="B430" s="4" t="str">
        <x:v>LiCl</x:v>
      </x:c>
      <x:c r="C430" s="23" t="n">
        <x:v>0.7013122</x:v>
      </x:c>
      <x:c r="D430" s="23" t="n">
        <x:v>14.61066</x:v>
      </x:c>
      <x:c r="E430" s="23" t="n">
        <x:f>'Parameters'!$B$2*'Parameters'!$B$3*LN(4*PI()*C430^2)</x:f>
        <x:v>4.515221893810775</x:v>
      </x:c>
      <x:c r="F430" s="23" t="n">
        <x:f>D430+E430</x:f>
        <x:v>19.125881893810774</x:v>
      </x:c>
      <x:c r="G430" s="23" t="n">
        <x:f>AVERAGE($F$544:$F$568)</x:f>
        <x:v>20.52163326430316</x:v>
      </x:c>
      <x:c r="H430" s="24" t="n">
        <x:f>F430-G430</x:f>
        <x:v>-1.395751370492384</x:v>
      </x:c>
    </x:row>
    <x:row r="431">
      <x:c r="A431" s="2" t="str">
        <x:v>LiDS-1</x:v>
      </x:c>
      <x:c r="B431" s="4" t="str">
        <x:v>LiCl</x:v>
      </x:c>
      <x:c r="C431" s="23" t="n">
        <x:v>0.713659</x:v>
      </x:c>
      <x:c r="D431" s="23" t="n">
        <x:v>14.68423</x:v>
      </x:c>
      <x:c r="E431" s="23" t="n">
        <x:f>'Parameters'!$B$2*'Parameters'!$B$3*LN(4*PI()*C431^2)</x:f>
        <x:v>4.601747933352298</x:v>
      </x:c>
      <x:c r="F431" s="23" t="n">
        <x:f>D431+E431</x:f>
        <x:v>19.2859779333523</x:v>
      </x:c>
      <x:c r="G431" s="23" t="n">
        <x:f>AVERAGE($F$544:$F$568)</x:f>
        <x:v>20.52163326430316</x:v>
      </x:c>
      <x:c r="H431" s="24" t="n">
        <x:f>F431-G431</x:f>
        <x:v>-1.235655330950859</x:v>
      </x:c>
    </x:row>
    <x:row r="432">
      <x:c r="A432" s="2" t="str">
        <x:v>LiDS-1</x:v>
      </x:c>
      <x:c r="B432" s="4" t="str">
        <x:v>LiCl</x:v>
      </x:c>
      <x:c r="C432" s="23" t="n">
        <x:v>0.7260057</x:v>
      </x:c>
      <x:c r="D432" s="23" t="n">
        <x:v>15.0086</x:v>
      </x:c>
      <x:c r="E432" s="23" t="n">
        <x:f>'Parameters'!$B$2*'Parameters'!$B$3*LN(4*PI()*C432^2)</x:f>
        <x:v>4.686789093740287</x:v>
      </x:c>
      <x:c r="F432" s="23" t="n">
        <x:f>D432+E432</x:f>
        <x:v>19.695389093740285</x:v>
      </x:c>
      <x:c r="G432" s="23" t="n">
        <x:f>AVERAGE($F$544:$F$568)</x:f>
        <x:v>20.52163326430316</x:v>
      </x:c>
      <x:c r="H432" s="24" t="n">
        <x:f>F432-G432</x:f>
        <x:v>-0.8262441705628731</x:v>
      </x:c>
    </x:row>
    <x:row r="433">
      <x:c r="A433" s="2" t="str">
        <x:v>LiDS-1</x:v>
      </x:c>
      <x:c r="B433" s="4" t="str">
        <x:v>LiCl</x:v>
      </x:c>
      <x:c r="C433" s="23" t="n">
        <x:v>0.7383524</x:v>
      </x:c>
      <x:c r="D433" s="23" t="n">
        <x:v>15.00312</x:v>
      </x:c>
      <x:c r="E433" s="23" t="n">
        <x:f>'Parameters'!$B$2*'Parameters'!$B$3*LN(4*PI()*C433^2)</x:f>
        <x:v>4.770396140591918</x:v>
      </x:c>
      <x:c r="F433" s="23" t="n">
        <x:f>D433+E433</x:f>
        <x:v>19.773516140591916</x:v>
      </x:c>
      <x:c r="G433" s="23" t="n">
        <x:f>AVERAGE($F$544:$F$568)</x:f>
        <x:v>20.52163326430316</x:v>
      </x:c>
      <x:c r="H433" s="24" t="n">
        <x:f>F433-G433</x:f>
        <x:v>-0.7481171237112427</x:v>
      </x:c>
    </x:row>
    <x:row r="434">
      <x:c r="A434" s="2" t="str">
        <x:v>LiDS-1</x:v>
      </x:c>
      <x:c r="B434" s="4" t="str">
        <x:v>LiCl</x:v>
      </x:c>
      <x:c r="C434" s="23" t="n">
        <x:v>0.7506992</x:v>
      </x:c>
      <x:c r="D434" s="23" t="n">
        <x:v>15.20501</x:v>
      </x:c>
      <x:c r="E434" s="23" t="n">
        <x:f>'Parameters'!$B$2*'Parameters'!$B$3*LN(4*PI()*C434^2)</x:f>
        <x:v>4.8526173023665224</x:v>
      </x:c>
      <x:c r="F434" s="23" t="n">
        <x:f>D434+E434</x:f>
        <x:v>20.057627302366523</x:v>
      </x:c>
      <x:c r="G434" s="23" t="n">
        <x:f>AVERAGE($F$544:$F$568)</x:f>
        <x:v>20.52163326430316</x:v>
      </x:c>
      <x:c r="H434" s="24" t="n">
        <x:f>F434-G434</x:f>
        <x:v>-0.46400596193663546</x:v>
      </x:c>
    </x:row>
    <x:row r="435">
      <x:c r="A435" s="2" t="str">
        <x:v>LiDS-1</x:v>
      </x:c>
      <x:c r="B435" s="4" t="str">
        <x:v>LiCl</x:v>
      </x:c>
      <x:c r="C435" s="23" t="n">
        <x:v>0.7630459</x:v>
      </x:c>
      <x:c r="D435" s="23" t="n">
        <x:v>15.21676</x:v>
      </x:c>
      <x:c r="E435" s="23" t="n">
        <x:f>'Parameters'!$B$2*'Parameters'!$B$3*LN(4*PI()*C435^2)</x:f>
        <x:v>4.933496487405484</x:v>
      </x:c>
      <x:c r="F435" s="23" t="n">
        <x:f>D435+E435</x:f>
        <x:v>20.150256487405485</x:v>
      </x:c>
      <x:c r="G435" s="23" t="n">
        <x:f>AVERAGE($F$544:$F$568)</x:f>
        <x:v>20.52163326430316</x:v>
      </x:c>
      <x:c r="H435" s="24" t="n">
        <x:f>F435-G435</x:f>
        <x:v>-0.371376776897673</x:v>
      </x:c>
    </x:row>
    <x:row r="436">
      <x:c r="A436" s="2" t="str">
        <x:v>LiDS-1</x:v>
      </x:c>
      <x:c r="B436" s="4" t="str">
        <x:v>LiCl</x:v>
      </x:c>
      <x:c r="C436" s="23" t="n">
        <x:v>0.7753927</x:v>
      </x:c>
      <x:c r="D436" s="23" t="n">
        <x:v>15.19196</x:v>
      </x:c>
      <x:c r="E436" s="23" t="n">
        <x:f>'Parameters'!$B$2*'Parameters'!$B$3*LN(4*PI()*C436^2)</x:f>
        <x:v>5.013078067866382</x:v>
      </x:c>
      <x:c r="F436" s="23" t="n">
        <x:f>D436+E436</x:f>
        <x:v>20.205038067866383</x:v>
      </x:c>
      <x:c r="G436" s="23" t="n">
        <x:f>AVERAGE($F$544:$F$568)</x:f>
        <x:v>20.52163326430316</x:v>
      </x:c>
      <x:c r="H436" s="24" t="n">
        <x:f>F436-G436</x:f>
        <x:v>-0.3165951964367757</x:v>
      </x:c>
    </x:row>
    <x:row r="437">
      <x:c r="A437" s="2" t="str">
        <x:v>LiDS-1</x:v>
      </x:c>
      <x:c r="B437" s="4" t="str">
        <x:v>LiCl</x:v>
      </x:c>
      <x:c r="C437" s="23" t="n">
        <x:v>0.7877394</x:v>
      </x:c>
      <x:c r="D437" s="23" t="n">
        <x:v>15.19124</x:v>
      </x:c>
      <x:c r="E437" s="23" t="n">
        <x:f>'Parameters'!$B$2*'Parameters'!$B$3*LN(4*PI()*C437^2)</x:f>
        <x:v>5.091401775240424</x:v>
      </x:c>
      <x:c r="F437" s="23" t="n">
        <x:f>D437+E437</x:f>
        <x:v>20.282641775240425</x:v>
      </x:c>
      <x:c r="G437" s="23" t="n">
        <x:f>AVERAGE($F$544:$F$568)</x:f>
        <x:v>20.52163326430316</x:v>
      </x:c>
      <x:c r="H437" s="24" t="n">
        <x:f>F437-G437</x:f>
        <x:v>-0.23899148906273382</x:v>
      </x:c>
    </x:row>
    <x:row r="438">
      <x:c r="A438" s="2" t="str">
        <x:v>LiDS-1</x:v>
      </x:c>
      <x:c r="B438" s="4" t="str">
        <x:v>LiCl</x:v>
      </x:c>
      <x:c r="C438" s="23" t="n">
        <x:v>0.8000862</x:v>
      </x:c>
      <x:c r="D438" s="23" t="n">
        <x:v>15.04503</x:v>
      </x:c>
      <x:c r="E438" s="23" t="n">
        <x:f>'Parameters'!$B$2*'Parameters'!$B$3*LN(4*PI()*C438^2)</x:f>
        <x:v>5.168507985298112</x:v>
      </x:c>
      <x:c r="F438" s="23" t="n">
        <x:f>D438+E438</x:f>
        <x:v>20.213537985298114</x:v>
      </x:c>
      <x:c r="G438" s="23" t="n">
        <x:f>AVERAGE($F$544:$F$568)</x:f>
        <x:v>20.52163326430316</x:v>
      </x:c>
      <x:c r="H438" s="24" t="n">
        <x:f>F438-G438</x:f>
        <x:v>-0.30809527900504463</x:v>
      </x:c>
    </x:row>
    <x:row r="439">
      <x:c r="A439" s="2" t="str">
        <x:v>LiDS-1</x:v>
      </x:c>
      <x:c r="B439" s="4" t="str">
        <x:v>LiCl</x:v>
      </x:c>
      <x:c r="C439" s="23" t="n">
        <x:v>0.8124329</x:v>
      </x:c>
      <x:c r="D439" s="23" t="n">
        <x:v>15.00836</x:v>
      </x:c>
      <x:c r="E439" s="23" t="n">
        <x:f>'Parameters'!$B$2*'Parameters'!$B$3*LN(4*PI()*C439^2)</x:f>
        <x:v>5.244432758906558</x:v>
      </x:c>
      <x:c r="F439" s="23" t="n">
        <x:f>D439+E439</x:f>
        <x:v>20.25279275890656</x:v>
      </x:c>
      <x:c r="G439" s="23" t="n">
        <x:f>AVERAGE($F$544:$F$568)</x:f>
        <x:v>20.52163326430316</x:v>
      </x:c>
      <x:c r="H439" s="24" t="n">
        <x:f>F439-G439</x:f>
        <x:v>-0.2688405053966001</x:v>
      </x:c>
    </x:row>
    <x:row r="440">
      <x:c r="A440" s="2" t="str">
        <x:v>LiDS-1</x:v>
      </x:c>
      <x:c r="B440" s="4" t="str">
        <x:v>LiCl</x:v>
      </x:c>
      <x:c r="C440" s="23" t="n">
        <x:v>0.8247797</x:v>
      </x:c>
      <x:c r="D440" s="23" t="n">
        <x:v>14.88588</x:v>
      </x:c>
      <x:c r="E440" s="23" t="n">
        <x:f>'Parameters'!$B$2*'Parameters'!$B$3*LN(4*PI()*C440^2)</x:f>
        <x:v>5.319212947878375</x:v>
      </x:c>
      <x:c r="F440" s="23" t="n">
        <x:f>D440+E440</x:f>
        <x:v>20.205092947878377</x:v>
      </x:c>
      <x:c r="G440" s="23" t="n">
        <x:f>AVERAGE($F$544:$F$568)</x:f>
        <x:v>20.52163326430316</x:v>
      </x:c>
      <x:c r="H440" s="24" t="n">
        <x:f>F440-G440</x:f>
        <x:v>-0.3165403164247813</x:v>
      </x:c>
    </x:row>
    <x:row r="441">
      <x:c r="A441" s="2" t="str">
        <x:v>LiDS-1</x:v>
      </x:c>
      <x:c r="B441" s="4" t="str">
        <x:v>LiCl</x:v>
      </x:c>
      <x:c r="C441" s="23" t="n">
        <x:v>0.8371264</x:v>
      </x:c>
      <x:c r="D441" s="23" t="n">
        <x:v>14.71123</x:v>
      </x:c>
      <x:c r="E441" s="23" t="n">
        <x:f>'Parameters'!$B$2*'Parameters'!$B$3*LN(4*PI()*C441^2)</x:f>
        <x:v>5.392881374460493</x:v>
      </x:c>
      <x:c r="F441" s="23" t="n">
        <x:f>D441+E441</x:f>
        <x:v>20.104111374460494</x:v>
      </x:c>
      <x:c r="G441" s="23" t="n">
        <x:f>AVERAGE($F$544:$F$568)</x:f>
        <x:v>20.52163326430316</x:v>
      </x:c>
      <x:c r="H441" s="24" t="n">
        <x:f>F441-G441</x:f>
        <x:v>-0.41752188984266425</x:v>
      </x:c>
    </x:row>
    <x:row r="442">
      <x:c r="A442" s="2" t="str">
        <x:v>LiDS-1</x:v>
      </x:c>
      <x:c r="B442" s="4" t="str">
        <x:v>LiCl</x:v>
      </x:c>
      <x:c r="C442" s="23" t="n">
        <x:v>0.8494731</x:v>
      </x:c>
      <x:c r="D442" s="23" t="n">
        <x:v>14.72492</x:v>
      </x:c>
      <x:c r="E442" s="23" t="n">
        <x:f>'Parameters'!$B$2*'Parameters'!$B$3*LN(4*PI()*C442^2)</x:f>
        <x:v>5.465471187298677</x:v>
      </x:c>
      <x:c r="F442" s="23" t="n">
        <x:f>D442+E442</x:f>
        <x:v>20.190391187298676</x:v>
      </x:c>
      <x:c r="G442" s="23" t="n">
        <x:f>AVERAGE($F$544:$F$568)</x:f>
        <x:v>20.52163326430316</x:v>
      </x:c>
      <x:c r="H442" s="24" t="n">
        <x:f>F442-G442</x:f>
        <x:v>-0.3312420770044824</x:v>
      </x:c>
    </x:row>
    <x:row r="443">
      <x:c r="A443" s="2" t="str">
        <x:v>LiDS-1</x:v>
      </x:c>
      <x:c r="B443" s="4" t="str">
        <x:v>LiCl</x:v>
      </x:c>
      <x:c r="C443" s="23" t="n">
        <x:v>0.8618199</x:v>
      </x:c>
      <x:c r="D443" s="23" t="n">
        <x:v>14.63306</x:v>
      </x:c>
      <x:c r="E443" s="23" t="n">
        <x:f>'Parameters'!$B$2*'Parameters'!$B$3*LN(4*PI()*C443^2)</x:f>
        <x:v>5.537014091412661</x:v>
      </x:c>
      <x:c r="F443" s="23" t="n">
        <x:f>D443+E443</x:f>
        <x:v>20.170074091412662</x:v>
      </x:c>
      <x:c r="G443" s="23" t="n">
        <x:f>AVERAGE($F$544:$F$568)</x:f>
        <x:v>20.52163326430316</x:v>
      </x:c>
      <x:c r="H443" s="24" t="n">
        <x:f>F443-G443</x:f>
        <x:v>-0.35155917289049654</x:v>
      </x:c>
    </x:row>
    <x:row r="444">
      <x:c r="A444" s="2" t="str">
        <x:v>LiDS-1</x:v>
      </x:c>
      <x:c r="B444" s="4" t="str">
        <x:v>LiCl</x:v>
      </x:c>
      <x:c r="C444" s="23" t="n">
        <x:v>0.8741666</x:v>
      </x:c>
      <x:c r="D444" s="23" t="n">
        <x:v>14.47191</x:v>
      </x:c>
      <x:c r="E444" s="23" t="n">
        <x:f>'Parameters'!$B$2*'Parameters'!$B$3*LN(4*PI()*C444^2)</x:f>
        <x:v>5.607538729345092</x:v>
      </x:c>
      <x:c r="F444" s="23" t="n">
        <x:f>D444+E444</x:f>
        <x:v>20.079448729345092</x:v>
      </x:c>
      <x:c r="G444" s="23" t="n">
        <x:f>AVERAGE($F$544:$F$568)</x:f>
        <x:v>20.52163326430316</x:v>
      </x:c>
      <x:c r="H444" s="24" t="n">
        <x:f>F444-G444</x:f>
        <x:v>-0.4421845349580664</x:v>
      </x:c>
    </x:row>
    <x:row r="445">
      <x:c r="A445" s="2" t="str">
        <x:v>LiDS-1</x:v>
      </x:c>
      <x:c r="B445" s="4" t="str">
        <x:v>LiCl</x:v>
      </x:c>
      <x:c r="C445" s="23" t="n">
        <x:v>0.8865134</x:v>
      </x:c>
      <x:c r="D445" s="23" t="n">
        <x:v>14.50574</x:v>
      </x:c>
      <x:c r="E445" s="23" t="n">
        <x:f>'Parameters'!$B$2*'Parameters'!$B$3*LN(4*PI()*C445^2)</x:f>
        <x:v>5.677074791264018</x:v>
      </x:c>
      <x:c r="F445" s="23" t="n">
        <x:f>D445+E445</x:f>
        <x:v>20.18281479126402</x:v>
      </x:c>
      <x:c r="G445" s="23" t="n">
        <x:f>AVERAGE($F$544:$F$568)</x:f>
        <x:v>20.52163326430316</x:v>
      </x:c>
      <x:c r="H445" s="24" t="n">
        <x:f>F445-G445</x:f>
        <x:v>-0.33881847303914014</x:v>
      </x:c>
    </x:row>
    <x:row r="446">
      <x:c r="A446" s="2" t="str">
        <x:v>LiDS-1</x:v>
      </x:c>
      <x:c r="B446" s="4" t="str">
        <x:v>LiCl</x:v>
      </x:c>
      <x:c r="C446" s="23" t="n">
        <x:v>0.8988601</x:v>
      </x:c>
      <x:c r="D446" s="23" t="n">
        <x:v>14.45546</x:v>
      </x:c>
      <x:c r="E446" s="23" t="n">
        <x:f>'Parameters'!$B$2*'Parameters'!$B$3*LN(4*PI()*C446^2)</x:f>
        <x:v>5.745648513645917</x:v>
      </x:c>
      <x:c r="F446" s="23" t="n">
        <x:f>D446+E446</x:f>
        <x:v>20.201108513645917</x:v>
      </x:c>
      <x:c r="G446" s="23" t="n">
        <x:f>AVERAGE($F$544:$F$568)</x:f>
        <x:v>20.52163326430316</x:v>
      </x:c>
      <x:c r="H446" s="24" t="n">
        <x:f>F446-G446</x:f>
        <x:v>-0.32052475065724195</x:v>
      </x:c>
    </x:row>
    <x:row r="447">
      <x:c r="A447" s="2" t="str">
        <x:v>LiDS-1</x:v>
      </x:c>
      <x:c r="B447" s="4" t="str">
        <x:v>LiCl</x:v>
      </x:c>
      <x:c r="C447" s="23" t="n">
        <x:v>0.9112069</x:v>
      </x:c>
      <x:c r="D447" s="23" t="n">
        <x:v>14.49388</x:v>
      </x:c>
      <x:c r="E447" s="23" t="n">
        <x:f>'Parameters'!$B$2*'Parameters'!$B$3*LN(4*PI()*C447^2)</x:f>
        <x:v>5.813287250486104</x:v>
      </x:c>
      <x:c r="F447" s="23" t="n">
        <x:f>D447+E447</x:f>
        <x:v>20.307167250486103</x:v>
      </x:c>
      <x:c r="G447" s="23" t="n">
        <x:f>AVERAGE($F$544:$F$568)</x:f>
        <x:v>20.52163326430316</x:v>
      </x:c>
      <x:c r="H447" s="24" t="n">
        <x:f>F447-G447</x:f>
        <x:v>-0.21446601381705577</x:v>
      </x:c>
    </x:row>
    <x:row r="448">
      <x:c r="A448" s="2" t="str">
        <x:v>LiDS-1</x:v>
      </x:c>
      <x:c r="B448" s="4" t="str">
        <x:v>LiCl</x:v>
      </x:c>
      <x:c r="C448" s="23" t="n">
        <x:v>0.9235536</x:v>
      </x:c>
      <x:c r="D448" s="23" t="n">
        <x:v>14.47822</x:v>
      </x:c>
      <x:c r="E448" s="23" t="n">
        <x:f>'Parameters'!$B$2*'Parameters'!$B$3*LN(4*PI()*C448^2)</x:f>
        <x:v>5.880015089393945</x:v>
      </x:c>
      <x:c r="F448" s="23" t="n">
        <x:f>D448+E448</x:f>
        <x:v>20.358235089393943</x:v>
      </x:c>
      <x:c r="G448" s="23" t="n">
        <x:f>AVERAGE($F$544:$F$568)</x:f>
        <x:v>20.52163326430316</x:v>
      </x:c>
      <x:c r="H448" s="24" t="n">
        <x:f>F448-G448</x:f>
        <x:v>-0.16339817490921504</x:v>
      </x:c>
    </x:row>
    <x:row r="449">
      <x:c r="A449" s="2" t="str">
        <x:v>LiDS-1</x:v>
      </x:c>
      <x:c r="B449" s="4" t="str">
        <x:v>LiCl</x:v>
      </x:c>
      <x:c r="C449" s="23" t="n">
        <x:v>0.9359004</x:v>
      </x:c>
      <x:c r="D449" s="23" t="n">
        <x:v>14.59557</x:v>
      </x:c>
      <x:c r="E449" s="23" t="n">
        <x:f>'Parameters'!$B$2*'Parameters'!$B$3*LN(4*PI()*C449^2)</x:f>
        <x:v>5.945857291430428</x:v>
      </x:c>
      <x:c r="F449" s="23" t="n">
        <x:f>D449+E449</x:f>
        <x:v>20.54142729143043</x:v>
      </x:c>
      <x:c r="G449" s="23" t="n">
        <x:f>AVERAGE($F$544:$F$568)</x:f>
        <x:v>20.52163326430316</x:v>
      </x:c>
      <x:c r="H449" s="24" t="n">
        <x:f>F449-G449</x:f>
        <x:v>0.019794027127272074</x:v>
      </x:c>
    </x:row>
    <x:row r="450">
      <x:c r="A450" s="2" t="str">
        <x:v>LiDS-1</x:v>
      </x:c>
      <x:c r="B450" s="4" t="str">
        <x:v>LiCl</x:v>
      </x:c>
      <x:c r="C450" s="23" t="n">
        <x:v>0.9482471</x:v>
      </x:c>
      <x:c r="D450" s="23" t="n">
        <x:v>14.63846</x:v>
      </x:c>
      <x:c r="E450" s="23" t="n">
        <x:f>'Parameters'!$B$2*'Parameters'!$B$3*LN(4*PI()*C450^2)</x:f>
        <x:v>6.010836019191474</x:v>
      </x:c>
      <x:c r="F450" s="23" t="n">
        <x:f>D450+E450</x:f>
        <x:v>20.649296019191475</x:v>
      </x:c>
      <x:c r="G450" s="23" t="n">
        <x:f>AVERAGE($F$544:$F$568)</x:f>
        <x:v>20.52163326430316</x:v>
      </x:c>
      <x:c r="H450" s="24" t="n">
        <x:f>F450-G450</x:f>
        <x:v>0.12766275488831624</x:v>
      </x:c>
    </x:row>
    <x:row r="451">
      <x:c r="A451" s="2" t="str">
        <x:v>LiDS-1</x:v>
      </x:c>
      <x:c r="B451" s="4" t="str">
        <x:v>LiCl</x:v>
      </x:c>
      <x:c r="C451" s="23" t="n">
        <x:v>0.9605938</x:v>
      </x:c>
      <x:c r="D451" s="23" t="n">
        <x:v>14.86636</x:v>
      </x:c>
      <x:c r="E451" s="23" t="n">
        <x:f>'Parameters'!$B$2*'Parameters'!$B$3*LN(4*PI()*C451^2)</x:f>
        <x:v>6.074974136944575</x:v>
      </x:c>
      <x:c r="F451" s="23" t="n">
        <x:f>D451+E451</x:f>
        <x:v>20.941334136944576</x:v>
      </x:c>
      <x:c r="G451" s="23" t="n">
        <x:f>AVERAGE($F$544:$F$568)</x:f>
        <x:v>20.52163326430316</x:v>
      </x:c>
      <x:c r="H451" s="24" t="n">
        <x:f>F451-G451</x:f>
        <x:v>0.41970087264141753</x:v>
      </x:c>
    </x:row>
    <x:row r="452">
      <x:c r="A452" s="2" t="str">
        <x:v>LiDS-1</x:v>
      </x:c>
      <x:c r="B452" s="4" t="str">
        <x:v>LiCl</x:v>
      </x:c>
      <x:c r="C452" s="23" t="n">
        <x:v>0.9729406</x:v>
      </x:c>
      <x:c r="D452" s="23" t="n">
        <x:v>14.73603</x:v>
      </x:c>
      <x:c r="E452" s="23" t="n">
        <x:f>'Parameters'!$B$2*'Parameters'!$B$3*LN(4*PI()*C452^2)</x:f>
        <x:v>6.13829362622087</x:v>
      </x:c>
      <x:c r="F452" s="23" t="n">
        <x:f>D452+E452</x:f>
        <x:v>20.87432362622087</x:v>
      </x:c>
      <x:c r="G452" s="23" t="n">
        <x:f>AVERAGE($F$544:$F$568)</x:f>
        <x:v>20.52163326430316</x:v>
      </x:c>
      <x:c r="H452" s="24" t="n">
        <x:f>F452-G452</x:f>
        <x:v>0.35269036191771264</x:v>
      </x:c>
    </x:row>
    <x:row r="453">
      <x:c r="A453" s="2" t="str">
        <x:v>LiDS-1</x:v>
      </x:c>
      <x:c r="B453" s="4" t="str">
        <x:v>LiCl</x:v>
      </x:c>
      <x:c r="C453" s="23" t="n">
        <x:v>0.9852873</x:v>
      </x:c>
      <x:c r="D453" s="23" t="n">
        <x:v>14.86569</x:v>
      </x:c>
      <x:c r="E453" s="23" t="n">
        <x:f>'Parameters'!$B$2*'Parameters'!$B$3*LN(4*PI()*C453^2)</x:f>
        <x:v>6.200814121092112</x:v>
      </x:c>
      <x:c r="F453" s="23" t="n">
        <x:f>D453+E453</x:f>
        <x:v>21.066504121092112</x:v>
      </x:c>
      <x:c r="G453" s="23" t="n">
        <x:f>AVERAGE($F$544:$F$568)</x:f>
        <x:v>20.52163326430316</x:v>
      </x:c>
      <x:c r="H453" s="24" t="n">
        <x:f>F453-G453</x:f>
        <x:v>0.544870856788954</x:v>
      </x:c>
    </x:row>
    <x:row r="454">
      <x:c r="A454" s="2" t="str">
        <x:v>LiDS-1</x:v>
      </x:c>
      <x:c r="B454" s="4" t="str">
        <x:v>LiCl</x:v>
      </x:c>
      <x:c r="C454" s="23" t="n">
        <x:v>0.9976341</x:v>
      </x:c>
      <x:c r="D454" s="23" t="n">
        <x:v>14.9783</x:v>
      </x:c>
      <x:c r="E454" s="23" t="n">
        <x:f>'Parameters'!$B$2*'Parameters'!$B$3*LN(4*PI()*C454^2)</x:f>
        <x:v>6.262556522401648</x:v>
      </x:c>
      <x:c r="F454" s="23" t="n">
        <x:f>D454+E454</x:f>
        <x:v>21.24085652240165</x:v>
      </x:c>
      <x:c r="G454" s="23" t="n">
        <x:f>AVERAGE($F$544:$F$568)</x:f>
        <x:v>20.52163326430316</x:v>
      </x:c>
      <x:c r="H454" s="24" t="n">
        <x:f>F454-G454</x:f>
        <x:v>0.7192232580984914</x:v>
      </x:c>
    </x:row>
    <x:row r="455">
      <x:c r="A455" s="2" t="str">
        <x:v>LiDS-1</x:v>
      </x:c>
      <x:c r="B455" s="4" t="str">
        <x:v>LiCl</x:v>
      </x:c>
      <x:c r="C455" s="23" t="n">
        <x:v>1.009981</x:v>
      </x:c>
      <x:c r="D455" s="23" t="n">
        <x:v>14.84352</x:v>
      </x:c>
      <x:c r="E455" s="23" t="n">
        <x:f>'Parameters'!$B$2*'Parameters'!$B$3*LN(4*PI()*C455^2)</x:f>
        <x:v>6.323539965781772</x:v>
      </x:c>
      <x:c r="F455" s="23" t="n">
        <x:f>D455+E455</x:f>
        <x:v>21.16705996578177</x:v>
      </x:c>
      <x:c r="G455" s="23" t="n">
        <x:f>AVERAGE($F$544:$F$568)</x:f>
        <x:v>20.52163326430316</x:v>
      </x:c>
      <x:c r="H455" s="24" t="n">
        <x:f>F455-G455</x:f>
        <x:v>0.6454267014786126</x:v>
      </x:c>
    </x:row>
    <x:row r="456">
      <x:c r="A456" s="2" t="str">
        <x:v>LiDS-1</x:v>
      </x:c>
      <x:c r="B456" s="4" t="str">
        <x:v>LiCl</x:v>
      </x:c>
      <x:c r="C456" s="23" t="n">
        <x:v>1.022328</x:v>
      </x:c>
      <x:c r="D456" s="23" t="n">
        <x:v>14.79309</x:v>
      </x:c>
      <x:c r="E456" s="23" t="n">
        <x:f>'Parameters'!$B$2*'Parameters'!$B$3*LN(4*PI()*C456^2)</x:f>
        <x:v>6.383782889527745</x:v>
      </x:c>
      <x:c r="F456" s="23" t="n">
        <x:f>D456+E456</x:f>
        <x:v>21.176872889527743</x:v>
      </x:c>
      <x:c r="G456" s="23" t="n">
        <x:f>AVERAGE($F$544:$F$568)</x:f>
        <x:v>20.52163326430316</x:v>
      </x:c>
      <x:c r="H456" s="24" t="n">
        <x:f>F456-G456</x:f>
        <x:v>0.6552396252245849</x:v>
      </x:c>
    </x:row>
    <x:row r="457">
      <x:c r="A457" s="2" t="str">
        <x:v>LiDS-1</x:v>
      </x:c>
      <x:c r="B457" s="4" t="str">
        <x:v>LiCl</x:v>
      </x:c>
      <x:c r="C457" s="23" t="n">
        <x:v>1.034674</x:v>
      </x:c>
      <x:c r="D457" s="23" t="n">
        <x:v>14.67979</x:v>
      </x:c>
      <x:c r="E457" s="23" t="n">
        <x:f>'Parameters'!$B$2*'Parameters'!$B$3*LN(4*PI()*C457^2)</x:f>
        <x:v>6.443297797136465</x:v>
      </x:c>
      <x:c r="F457" s="23" t="n">
        <x:f>D457+E457</x:f>
        <x:v>21.123087797136463</x:v>
      </x:c>
      <x:c r="G457" s="23" t="n">
        <x:f>AVERAGE($F$544:$F$568)</x:f>
        <x:v>20.52163326430316</x:v>
      </x:c>
      <x:c r="H457" s="24" t="n">
        <x:f>F457-G457</x:f>
        <x:v>0.601454532833305</x:v>
      </x:c>
    </x:row>
    <x:row r="458">
      <x:c r="A458" s="2" t="str">
        <x:v>LiDS-1</x:v>
      </x:c>
      <x:c r="B458" s="4" t="str">
        <x:v>LiCl</x:v>
      </x:c>
      <x:c r="C458" s="23" t="n">
        <x:v>1.047021</x:v>
      </x:c>
      <x:c r="D458" s="23" t="n">
        <x:v>14.79907</x:v>
      </x:c>
      <x:c r="E458" s="23" t="n">
        <x:f>'Parameters'!$B$2*'Parameters'!$B$3*LN(4*PI()*C458^2)</x:f>
        <x:v>6.502111487657444</x:v>
      </x:c>
      <x:c r="F458" s="23" t="n">
        <x:f>D458+E458</x:f>
        <x:v>21.301181487657445</x:v>
      </x:c>
      <x:c r="G458" s="23" t="n">
        <x:f>AVERAGE($F$544:$F$568)</x:f>
        <x:v>20.52163326430316</x:v>
      </x:c>
      <x:c r="H458" s="24" t="n">
        <x:f>F458-G458</x:f>
        <x:v>0.7795482233542863</x:v>
      </x:c>
    </x:row>
    <x:row r="459">
      <x:c r="A459" s="2" t="str">
        <x:v>LiDS-1</x:v>
      </x:c>
      <x:c r="B459" s="4" t="str">
        <x:v>LiCl</x:v>
      </x:c>
      <x:c r="C459" s="23" t="n">
        <x:v>1.059368</x:v>
      </x:c>
      <x:c r="D459" s="23" t="n">
        <x:v>14.50762</x:v>
      </x:c>
      <x:c r="E459" s="23" t="n">
        <x:f>'Parameters'!$B$2*'Parameters'!$B$3*LN(4*PI()*C459^2)</x:f>
        <x:v>6.560235667010322</x:v>
      </x:c>
      <x:c r="F459" s="23" t="n">
        <x:f>D459+E459</x:f>
        <x:v>21.06785566701032</x:v>
      </x:c>
      <x:c r="G459" s="23" t="n">
        <x:f>AVERAGE($F$544:$F$568)</x:f>
        <x:v>20.52163326430316</x:v>
      </x:c>
      <x:c r="H459" s="24" t="n">
        <x:f>F459-G459</x:f>
        <x:v>0.546222402707162</x:v>
      </x:c>
    </x:row>
    <x:row r="460">
      <x:c r="A460" s="2" t="str">
        <x:v>LiDS-1</x:v>
      </x:c>
      <x:c r="B460" s="4" t="str">
        <x:v>LiCl</x:v>
      </x:c>
      <x:c r="C460" s="23" t="n">
        <x:v>1.071715</x:v>
      </x:c>
      <x:c r="D460" s="23" t="n">
        <x:v>14.45471</x:v>
      </x:c>
      <x:c r="E460" s="23" t="n">
        <x:f>'Parameters'!$B$2*'Parameters'!$B$3*LN(4*PI()*C460^2)</x:f>
        <x:v>6.617686315208179</x:v>
      </x:c>
      <x:c r="F460" s="23" t="n">
        <x:f>D460+E460</x:f>
        <x:v>21.07239631520818</x:v>
      </x:c>
      <x:c r="G460" s="23" t="n">
        <x:f>AVERAGE($F$544:$F$568)</x:f>
        <x:v>20.52163326430316</x:v>
      </x:c>
      <x:c r="H460" s="24" t="n">
        <x:f>F460-G460</x:f>
        <x:v>0.5507630509050223</x:v>
      </x:c>
    </x:row>
    <x:row r="461">
      <x:c r="A461" s="2" t="str">
        <x:v>LiDS-1</x:v>
      </x:c>
      <x:c r="B461" s="4" t="str">
        <x:v>LiCl</x:v>
      </x:c>
      <x:c r="C461" s="23" t="n">
        <x:v>1.084061</x:v>
      </x:c>
      <x:c r="D461" s="23" t="n">
        <x:v>14.30151</x:v>
      </x:c>
      <x:c r="E461" s="23" t="n">
        <x:f>'Parameters'!$B$2*'Parameters'!$B$3*LN(4*PI()*C461^2)</x:f>
        <x:v>6.674474289633981</x:v>
      </x:c>
      <x:c r="F461" s="23" t="n">
        <x:f>D461+E461</x:f>
        <x:v>20.97598428963398</x:v>
      </x:c>
      <x:c r="G461" s="23" t="n">
        <x:f>AVERAGE($F$544:$F$568)</x:f>
        <x:v>20.52163326430316</x:v>
      </x:c>
      <x:c r="H461" s="24" t="n">
        <x:f>F461-G461</x:f>
        <x:v>0.4543510253308227</x:v>
      </x:c>
    </x:row>
    <x:row r="462">
      <x:c r="A462" s="2" t="str">
        <x:v>LiDS-1</x:v>
      </x:c>
      <x:c r="B462" s="4" t="str">
        <x:v>LiCl</x:v>
      </x:c>
      <x:c r="C462" s="23" t="n">
        <x:v>1.096408</x:v>
      </x:c>
      <x:c r="D462" s="23" t="n">
        <x:v>14.13757</x:v>
      </x:c>
      <x:c r="E462" s="23" t="n">
        <x:f>'Parameters'!$B$2*'Parameters'!$B$3*LN(4*PI()*C462^2)</x:f>
        <x:v>6.730623695270556</x:v>
      </x:c>
      <x:c r="F462" s="23" t="n">
        <x:f>D462+E462</x:f>
        <x:v>20.868193695270556</x:v>
      </x:c>
      <x:c r="G462" s="23" t="n">
        <x:f>AVERAGE($F$544:$F$568)</x:f>
        <x:v>20.52163326430316</x:v>
      </x:c>
      <x:c r="H462" s="24" t="n">
        <x:f>F462-G462</x:f>
        <x:v>0.3465604309673971</x:v>
      </x:c>
    </x:row>
    <x:row r="463">
      <x:c r="A463" s="2" t="str">
        <x:v>LiDS-1</x:v>
      </x:c>
      <x:c r="B463" s="4" t="str">
        <x:v>LiCl</x:v>
      </x:c>
      <x:c r="C463" s="23" t="n">
        <x:v>1.108755</x:v>
      </x:c>
      <x:c r="D463" s="23" t="n">
        <x:v>14.12032</x:v>
      </x:c>
      <x:c r="E463" s="23" t="n">
        <x:f>'Parameters'!$B$2*'Parameters'!$B$3*LN(4*PI()*C463^2)</x:f>
        <x:v>6.786144311757797</x:v>
      </x:c>
      <x:c r="F463" s="23" t="n">
        <x:f>D463+E463</x:f>
        <x:v>20.906464311757794</x:v>
      </x:c>
      <x:c r="G463" s="23" t="n">
        <x:f>AVERAGE($F$544:$F$568)</x:f>
        <x:v>20.52163326430316</x:v>
      </x:c>
      <x:c r="H463" s="24" t="n">
        <x:f>F463-G463</x:f>
        <x:v>0.3848310474546359</x:v>
      </x:c>
    </x:row>
    <x:row r="464">
      <x:c r="A464" s="2" t="str">
        <x:v>LiDS-1</x:v>
      </x:c>
      <x:c r="B464" s="4" t="str">
        <x:v>LiCl</x:v>
      </x:c>
      <x:c r="C464" s="23" t="n">
        <x:v>1.121102</x:v>
      </x:c>
      <x:c r="D464" s="23" t="n">
        <x:v>14.06258</x:v>
      </x:c>
      <x:c r="E464" s="23" t="n">
        <x:f>'Parameters'!$B$2*'Parameters'!$B$3*LN(4*PI()*C464^2)</x:f>
        <x:v>6.841050066267449</x:v>
      </x:c>
      <x:c r="F464" s="23" t="n">
        <x:f>D464+E464</x:f>
        <x:v>20.90363006626745</x:v>
      </x:c>
      <x:c r="G464" s="23" t="n">
        <x:f>AVERAGE($F$544:$F$568)</x:f>
        <x:v>20.52163326430316</x:v>
      </x:c>
      <x:c r="H464" s="24" t="n">
        <x:f>F464-G464</x:f>
        <x:v>0.3819968019642914</x:v>
      </x:c>
    </x:row>
    <x:row r="465">
      <x:c r="A465" s="2" t="str">
        <x:v>LiDS-1</x:v>
      </x:c>
      <x:c r="B465" s="4" t="str">
        <x:v>LiCl</x:v>
      </x:c>
      <x:c r="C465" s="23" t="n">
        <x:v>1.133448</x:v>
      </x:c>
      <x:c r="D465" s="23" t="n">
        <x:v>13.96571</x:v>
      </x:c>
      <x:c r="E465" s="23" t="n">
        <x:f>'Parameters'!$B$2*'Parameters'!$B$3*LN(4*PI()*C465^2)</x:f>
        <x:v>6.895350054135955</x:v>
      </x:c>
      <x:c r="F465" s="23" t="n">
        <x:f>D465+E465</x:f>
        <x:v>20.861060054135955</x:v>
      </x:c>
      <x:c r="G465" s="23" t="n">
        <x:f>AVERAGE($F$544:$F$568)</x:f>
        <x:v>20.52163326430316</x:v>
      </x:c>
      <x:c r="H465" s="24" t="n">
        <x:f>F465-G465</x:f>
        <x:v>0.33942678983279606</x:v>
      </x:c>
    </x:row>
    <x:row r="466">
      <x:c r="A466" s="2" t="str">
        <x:v>LiDS-1</x:v>
      </x:c>
      <x:c r="B466" s="4" t="str">
        <x:v>LiCl</x:v>
      </x:c>
      <x:c r="C466" s="23" t="n">
        <x:v>1.145795</x:v>
      </x:c>
      <x:c r="D466" s="23" t="n">
        <x:v>13.81963</x:v>
      </x:c>
      <x:c r="E466" s="23" t="n">
        <x:f>'Parameters'!$B$2*'Parameters'!$B$3*LN(4*PI()*C466^2)</x:f>
        <x:v>6.949066102576785</x:v>
      </x:c>
      <x:c r="F466" s="23" t="n">
        <x:f>D466+E466</x:f>
        <x:v>20.768696102576783</x:v>
      </x:c>
      <x:c r="G466" s="23" t="n">
        <x:f>AVERAGE($F$544:$F$568)</x:f>
        <x:v>20.52163326430316</x:v>
      </x:c>
      <x:c r="H466" s="24" t="n">
        <x:f>F466-G466</x:f>
        <x:v>0.2470628382736244</x:v>
      </x:c>
    </x:row>
    <x:row r="467">
      <x:c r="A467" s="2" t="str">
        <x:v>LiDS-1</x:v>
      </x:c>
      <x:c r="B467" s="4" t="str">
        <x:v>LiCl</x:v>
      </x:c>
      <x:c r="C467" s="23" t="n">
        <x:v>1.158142</x:v>
      </x:c>
      <x:c r="D467" s="23" t="n">
        <x:v>13.8674</x:v>
      </x:c>
      <x:c r="E467" s="23" t="n">
        <x:f>'Parameters'!$B$2*'Parameters'!$B$3*LN(4*PI()*C467^2)</x:f>
        <x:v>7.002206401925681</x:v>
      </x:c>
      <x:c r="F467" s="23" t="n">
        <x:f>D467+E467</x:f>
        <x:v>20.86960640192568</x:v>
      </x:c>
      <x:c r="G467" s="23" t="n">
        <x:f>AVERAGE($F$544:$F$568)</x:f>
        <x:v>20.52163326430316</x:v>
      </x:c>
      <x:c r="H467" s="24" t="n">
        <x:f>F467-G467</x:f>
        <x:v>0.347973137622521</x:v>
      </x:c>
    </x:row>
    <x:row r="468">
      <x:c r="A468" s="2" t="str">
        <x:v>LiDS-1</x:v>
      </x:c>
      <x:c r="B468" s="4" t="str">
        <x:v>LiCl</x:v>
      </x:c>
      <x:c r="C468" s="23" t="n">
        <x:v>1.170489</x:v>
      </x:c>
      <x:c r="D468" s="23" t="n">
        <x:v>13.76655</x:v>
      </x:c>
      <x:c r="E468" s="23" t="n">
        <x:f>'Parameters'!$B$2*'Parameters'!$B$3*LN(4*PI()*C468^2)</x:f>
        <x:v>7.054783163608251</x:v>
      </x:c>
      <x:c r="F468" s="23" t="n">
        <x:f>D468+E468</x:f>
        <x:v>20.82133316360825</x:v>
      </x:c>
      <x:c r="G468" s="23" t="n">
        <x:f>AVERAGE($F$544:$F$568)</x:f>
        <x:v>20.52163326430316</x:v>
      </x:c>
      <x:c r="H468" s="24" t="n">
        <x:f>F468-G468</x:f>
        <x:v>0.299699899305093</x:v>
      </x:c>
    </x:row>
    <x:row r="469">
      <x:c r="A469" s="2" t="str">
        <x:v>LiDS-1</x:v>
      </x:c>
      <x:c r="B469" s="4" t="str">
        <x:v>LiCl</x:v>
      </x:c>
      <x:c r="C469" s="23" t="n">
        <x:v>1.182835</x:v>
      </x:c>
      <x:c r="D469" s="23" t="n">
        <x:v>13.60634</x:v>
      </x:c>
      <x:c r="E469" s="23" t="n">
        <x:f>'Parameters'!$B$2*'Parameters'!$B$3*LN(4*PI()*C469^2)</x:f>
        <x:v>7.106804023073642</x:v>
      </x:c>
      <x:c r="F469" s="23" t="n">
        <x:f>D469+E469</x:f>
        <x:v>20.713144023073642</x:v>
      </x:c>
      <x:c r="G469" s="23" t="n">
        <x:f>AVERAGE($F$544:$F$568)</x:f>
        <x:v>20.52163326430316</x:v>
      </x:c>
      <x:c r="H469" s="24" t="n">
        <x:f>F469-G469</x:f>
        <x:v>0.19151075877048385</x:v>
      </x:c>
    </x:row>
    <x:row r="470">
      <x:c r="A470" s="2" t="str">
        <x:v>LiDS-1</x:v>
      </x:c>
      <x:c r="B470" s="4" t="str">
        <x:v>LiCl</x:v>
      </x:c>
      <x:c r="C470" s="23" t="n">
        <x:v>1.195182</x:v>
      </x:c>
      <x:c r="D470" s="23" t="n">
        <x:v>13.53949</x:v>
      </x:c>
      <x:c r="E470" s="23" t="n">
        <x:f>'Parameters'!$B$2*'Parameters'!$B$3*LN(4*PI()*C470^2)</x:f>
        <x:v>7.1582888652643435</x:v>
      </x:c>
      <x:c r="F470" s="23" t="n">
        <x:f>D470+E470</x:f>
        <x:v>20.697778865264343</x:v>
      </x:c>
      <x:c r="G470" s="23" t="n">
        <x:f>AVERAGE($F$544:$F$568)</x:f>
        <x:v>20.52163326430316</x:v>
      </x:c>
      <x:c r="H470" s="24" t="n">
        <x:f>F470-G470</x:f>
        <x:v>0.1761456009611848</x:v>
      </x:c>
    </x:row>
    <x:row r="471">
      <x:c r="A471" s="2" t="str">
        <x:v>LiDS-1</x:v>
      </x:c>
      <x:c r="B471" s="4" t="str">
        <x:v>LiCl</x:v>
      </x:c>
      <x:c r="C471" s="23" t="n">
        <x:v>1.207529</x:v>
      </x:c>
      <x:c r="D471" s="23" t="n">
        <x:v>13.44462</x:v>
      </x:c>
      <x:c r="E471" s="23" t="n">
        <x:f>'Parameters'!$B$2*'Parameters'!$B$3*LN(4*PI()*C471^2)</x:f>
        <x:v>7.209244559674971</x:v>
      </x:c>
      <x:c r="F471" s="23" t="n">
        <x:f>D471+E471</x:f>
        <x:v>20.65386455967497</x:v>
      </x:c>
      <x:c r="G471" s="23" t="n">
        <x:f>AVERAGE($F$544:$F$568)</x:f>
        <x:v>20.52163326430316</x:v>
      </x:c>
      <x:c r="H471" s="24" t="n">
        <x:f>F471-G471</x:f>
        <x:v>0.13223129537181322</x:v>
      </x:c>
    </x:row>
    <x:row r="472">
      <x:c r="A472" s="2" t="str">
        <x:v>LiDS-1</x:v>
      </x:c>
      <x:c r="B472" s="4" t="str">
        <x:v>LiCl</x:v>
      </x:c>
      <x:c r="C472" s="23" t="n">
        <x:v>1.219875</x:v>
      </x:c>
      <x:c r="D472" s="23" t="n">
        <x:v>13.27093</x:v>
      </x:c>
      <x:c r="E472" s="23" t="n">
        <x:f>'Parameters'!$B$2*'Parameters'!$B$3*LN(4*PI()*C472^2)</x:f>
        <x:v>7.259677808352847</x:v>
      </x:c>
      <x:c r="F472" s="23" t="n">
        <x:f>D472+E472</x:f>
        <x:v>20.530607808352848</x:v>
      </x:c>
      <x:c r="G472" s="23" t="n">
        <x:f>AVERAGE($F$544:$F$568)</x:f>
        <x:v>20.52163326430316</x:v>
      </x:c>
      <x:c r="H472" s="24" t="n">
        <x:f>F472-G472</x:f>
        <x:v>0.008974544049689115</x:v>
      </x:c>
    </x:row>
    <x:row r="473">
      <x:c r="A473" s="2" t="str">
        <x:v>LiDS-1</x:v>
      </x:c>
      <x:c r="B473" s="4" t="str">
        <x:v>LiCl</x:v>
      </x:c>
      <x:c r="C473" s="23" t="n">
        <x:v>1.232222</x:v>
      </x:c>
      <x:c r="D473" s="23" t="n">
        <x:v>13.40333</x:v>
      </x:c>
      <x:c r="E473" s="23" t="n">
        <x:f>'Parameters'!$B$2*'Parameters'!$B$3*LN(4*PI()*C473^2)</x:f>
        <x:v>7.309607221626186</x:v>
      </x:c>
      <x:c r="F473" s="23" t="n">
        <x:f>D473+E473</x:f>
        <x:v>20.712937221626184</x:v>
      </x:c>
      <x:c r="G473" s="23" t="n">
        <x:f>AVERAGE($F$544:$F$568)</x:f>
        <x:v>20.52163326430316</x:v>
      </x:c>
      <x:c r="H473" s="24" t="n">
        <x:f>F473-G473</x:f>
        <x:v>0.19130395732302574</x:v>
      </x:c>
    </x:row>
    <x:row r="474">
      <x:c r="A474" s="2" t="str">
        <x:v>LiDS-1</x:v>
      </x:c>
      <x:c r="B474" s="4" t="str">
        <x:v>LiCl</x:v>
      </x:c>
      <x:c r="C474" s="23" t="n">
        <x:v>1.244569</x:v>
      </x:c>
      <x:c r="D474" s="23" t="n">
        <x:v>13.33157</x:v>
      </x:c>
      <x:c r="E474" s="23" t="n">
        <x:f>'Parameters'!$B$2*'Parameters'!$B$3*LN(4*PI()*C474^2)</x:f>
        <x:v>7.359038822423019</x:v>
      </x:c>
      <x:c r="F474" s="23" t="n">
        <x:f>D474+E474</x:f>
        <x:v>20.69060882242302</x:v>
      </x:c>
      <x:c r="G474" s="23" t="n">
        <x:f>AVERAGE($F$544:$F$568)</x:f>
        <x:v>20.52163326430316</x:v>
      </x:c>
      <x:c r="H474" s="24" t="n">
        <x:f>F474-G474</x:f>
        <x:v>0.1689755581198611</x:v>
      </x:c>
    </x:row>
    <x:row r="475">
      <x:c r="A475" s="2" t="str">
        <x:v>LiDS-1</x:v>
      </x:c>
      <x:c r="B475" s="4" t="str">
        <x:v>LiCl</x:v>
      </x:c>
      <x:c r="C475" s="23" t="n">
        <x:v>1.256916</x:v>
      </x:c>
      <x:c r="D475" s="23" t="n">
        <x:v>13.18223</x:v>
      </x:c>
      <x:c r="E475" s="23" t="n">
        <x:f>'Parameters'!$B$2*'Parameters'!$B$3*LN(4*PI()*C475^2)</x:f>
        <x:v>7.4079824395320895</x:v>
      </x:c>
      <x:c r="F475" s="23" t="n">
        <x:f>D475+E475</x:f>
        <x:v>20.59021243953209</x:v>
      </x:c>
      <x:c r="G475" s="23" t="n">
        <x:f>AVERAGE($F$544:$F$568)</x:f>
        <x:v>20.52163326430316</x:v>
      </x:c>
      <x:c r="H475" s="24" t="n">
        <x:f>F475-G475</x:f>
        <x:v>0.06857917522892976</x:v>
      </x:c>
    </x:row>
    <x:row r="476">
      <x:c r="A476" s="2" t="str">
        <x:v>LiDS-1</x:v>
      </x:c>
      <x:c r="B476" s="4" t="str">
        <x:v>LiCl</x:v>
      </x:c>
      <x:c r="C476" s="23" t="n">
        <x:v>1.269262</x:v>
      </x:c>
      <x:c r="D476" s="23" t="n">
        <x:v>13.20192</x:v>
      </x:c>
      <x:c r="E476" s="23" t="n">
        <x:f>'Parameters'!$B$2*'Parameters'!$B$3*LN(4*PI()*C476^2)</x:f>
        <x:v>7.45644370735891</x:v>
      </x:c>
      <x:c r="F476" s="23" t="n">
        <x:f>D476+E476</x:f>
        <x:v>20.65836370735891</x:v>
      </x:c>
      <x:c r="G476" s="23" t="n">
        <x:f>AVERAGE($F$544:$F$568)</x:f>
        <x:v>20.52163326430316</x:v>
      </x:c>
      <x:c r="H476" s="24" t="n">
        <x:f>F476-G476</x:f>
        <x:v>0.13673044305575033</x:v>
      </x:c>
    </x:row>
    <x:row r="477">
      <x:c r="A477" s="2" t="str">
        <x:v>LiDS-1</x:v>
      </x:c>
      <x:c r="B477" s="4" t="str">
        <x:v>LiCl</x:v>
      </x:c>
      <x:c r="C477" s="23" t="n">
        <x:v>1.281609</x:v>
      </x:c>
      <x:c r="D477" s="23" t="n">
        <x:v>13.21265</x:v>
      </x:c>
      <x:c r="E477" s="23" t="n">
        <x:f>'Parameters'!$B$2*'Parameters'!$B$3*LN(4*PI()*C477^2)</x:f>
        <x:v>7.5044397392701105</x:v>
      </x:c>
      <x:c r="F477" s="23" t="n">
        <x:f>D477+E477</x:f>
        <x:v>20.71708973927011</x:v>
      </x:c>
      <x:c r="G477" s="23" t="n">
        <x:f>AVERAGE($F$544:$F$568)</x:f>
        <x:v>20.52163326430316</x:v>
      </x:c>
      <x:c r="H477" s="24" t="n">
        <x:f>F477-G477</x:f>
        <x:v>0.19545647496695295</x:v>
      </x:c>
    </x:row>
    <x:row r="478">
      <x:c r="A478" s="2" t="str">
        <x:v>LiDS-1</x:v>
      </x:c>
      <x:c r="B478" s="4" t="str">
        <x:v>LiCl</x:v>
      </x:c>
      <x:c r="C478" s="23" t="n">
        <x:v>1.293956</x:v>
      </x:c>
      <x:c r="D478" s="23" t="n">
        <x:v>13.0814</x:v>
      </x:c>
      <x:c r="E478" s="23" t="n">
        <x:f>'Parameters'!$B$2*'Parameters'!$B$3*LN(4*PI()*C478^2)</x:f>
        <x:v>7.551975587781195</x:v>
      </x:c>
      <x:c r="F478" s="23" t="n">
        <x:f>D478+E478</x:f>
        <x:v>20.633375587781195</x:v>
      </x:c>
      <x:c r="G478" s="23" t="n">
        <x:f>AVERAGE($F$544:$F$568)</x:f>
        <x:v>20.52163326430316</x:v>
      </x:c>
      <x:c r="H478" s="24" t="n">
        <x:f>F478-G478</x:f>
        <x:v>0.11174232347803681</x:v>
      </x:c>
    </x:row>
    <x:row r="479">
      <x:c r="A479" s="2" t="str">
        <x:v>LiDS-1</x:v>
      </x:c>
      <x:c r="B479" s="4" t="str">
        <x:v>LiCl</x:v>
      </x:c>
      <x:c r="C479" s="23" t="n">
        <x:v>1.306303</x:v>
      </x:c>
      <x:c r="D479" s="23" t="n">
        <x:v>13.09996</x:v>
      </x:c>
      <x:c r="E479" s="23" t="n">
        <x:f>'Parameters'!$B$2*'Parameters'!$B$3*LN(4*PI()*C479^2)</x:f>
        <x:v>7.599059993581133</x:v>
      </x:c>
      <x:c r="F479" s="23" t="n">
        <x:f>D479+E479</x:f>
        <x:v>20.699019993581132</x:v>
      </x:c>
      <x:c r="G479" s="23" t="n">
        <x:f>AVERAGE($F$544:$F$568)</x:f>
        <x:v>20.52163326430316</x:v>
      </x:c>
      <x:c r="H479" s="24" t="n">
        <x:f>F479-G479</x:f>
        <x:v>0.1773867292779734</x:v>
      </x:c>
    </x:row>
    <x:row r="480">
      <x:c r="A480" s="2" t="str">
        <x:v>LiDS-1</x:v>
      </x:c>
      <x:c r="B480" s="4" t="str">
        <x:v>LiCl</x:v>
      </x:c>
      <x:c r="C480" s="23" t="n">
        <x:v>1.318649</x:v>
      </x:c>
      <x:c r="D480" s="23" t="n">
        <x:v>12.92925</x:v>
      </x:c>
      <x:c r="E480" s="23" t="n">
        <x:f>'Parameters'!$B$2*'Parameters'!$B$3*LN(4*PI()*C480^2)</x:f>
        <x:v>7.645697690827655</x:v>
      </x:c>
      <x:c r="F480" s="23" t="n">
        <x:f>D480+E480</x:f>
        <x:v>20.574947690827656</x:v>
      </x:c>
      <x:c r="G480" s="23" t="n">
        <x:f>AVERAGE($F$544:$F$568)</x:f>
        <x:v>20.52163326430316</x:v>
      </x:c>
      <x:c r="H480" s="24" t="n">
        <x:f>F480-G480</x:f>
        <x:v>0.053314426524497804</x:v>
      </x:c>
    </x:row>
    <x:row r="481">
      <x:c r="A481" s="2" t="str">
        <x:v>LiDS-1</x:v>
      </x:c>
      <x:c r="B481" s="4" t="str">
        <x:v>LiCl</x:v>
      </x:c>
      <x:c r="C481" s="23" t="n">
        <x:v>1.330996</x:v>
      </x:c>
      <x:c r="D481" s="23" t="n">
        <x:v>12.92522</x:v>
      </x:c>
      <x:c r="E481" s="23" t="n">
        <x:f>'Parameters'!$B$2*'Parameters'!$B$3*LN(4*PI()*C481^2)</x:f>
        <x:v>7.691904490590961</x:v>
      </x:c>
      <x:c r="F481" s="23" t="n">
        <x:f>D481+E481</x:f>
        <x:v>20.61712449059096</x:v>
      </x:c>
      <x:c r="G481" s="23" t="n">
        <x:f>AVERAGE($F$544:$F$568)</x:f>
        <x:v>20.52163326430316</x:v>
      </x:c>
      <x:c r="H481" s="24" t="n">
        <x:f>F481-G481</x:f>
        <x:v>0.09549122628780182</x:v>
      </x:c>
    </x:row>
    <x:row r="482">
      <x:c r="A482" s="2" t="str">
        <x:v>LiDS-1</x:v>
      </x:c>
      <x:c r="B482" s="4" t="str">
        <x:v>LiCl</x:v>
      </x:c>
      <x:c r="C482" s="23" t="n">
        <x:v>1.343343</x:v>
      </x:c>
      <x:c r="D482" s="23" t="n">
        <x:v>12.85562</x:v>
      </x:c>
      <x:c r="E482" s="23" t="n">
        <x:f>'Parameters'!$B$2*'Parameters'!$B$3*LN(4*PI()*C482^2)</x:f>
        <x:v>7.737684625296683</x:v>
      </x:c>
      <x:c r="F482" s="23" t="n">
        <x:f>D482+E482</x:f>
        <x:v>20.593304625296682</x:v>
      </x:c>
      <x:c r="G482" s="23" t="n">
        <x:f>AVERAGE($F$544:$F$568)</x:f>
        <x:v>20.52163326430316</x:v>
      </x:c>
      <x:c r="H482" s="24" t="n">
        <x:f>F482-G482</x:f>
        <x:v>0.07167136099352334</x:v>
      </x:c>
    </x:row>
    <x:row r="483">
      <x:c r="A483" s="2" t="str">
        <x:v>LiDS-1</x:v>
      </x:c>
      <x:c r="B483" s="4" t="str">
        <x:v>LiCl</x:v>
      </x:c>
      <x:c r="C483" s="23" t="n">
        <x:v>1.35569</x:v>
      </x:c>
      <x:c r="D483" s="23" t="n">
        <x:v>12.84803</x:v>
      </x:c>
      <x:c r="E483" s="23" t="n">
        <x:f>'Parameters'!$B$2*'Parameters'!$B$3*LN(4*PI()*C483^2)</x:f>
        <x:v>7.783045902399914</x:v>
      </x:c>
      <x:c r="F483" s="23" t="n">
        <x:f>D483+E483</x:f>
        <x:v>20.631075902399914</x:v>
      </x:c>
      <x:c r="G483" s="23" t="n">
        <x:f>AVERAGE($F$544:$F$568)</x:f>
        <x:v>20.52163326430316</x:v>
      </x:c>
      <x:c r="H483" s="24" t="n">
        <x:f>F483-G483</x:f>
        <x:v>0.10944263809675547</x:v>
      </x:c>
    </x:row>
    <x:row r="484">
      <x:c r="A484" s="2" t="str">
        <x:v>LiDS-1</x:v>
      </x:c>
      <x:c r="B484" s="4" t="str">
        <x:v>LiCl</x:v>
      </x:c>
      <x:c r="C484" s="23" t="n">
        <x:v>1.368036</x:v>
      </x:c>
      <x:c r="D484" s="23" t="n">
        <x:v>12.73263</x:v>
      </x:c>
      <x:c r="E484" s="23" t="n">
        <x:f>'Parameters'!$B$2*'Parameters'!$B$3*LN(4*PI()*C484^2)</x:f>
        <x:v>7.82799229288726</x:v>
      </x:c>
      <x:c r="F484" s="23" t="n">
        <x:f>D484+E484</x:f>
        <x:v>20.56062229288726</x:v>
      </x:c>
      <x:c r="G484" s="23" t="n">
        <x:f>AVERAGE($F$544:$F$568)</x:f>
        <x:v>20.52163326430316</x:v>
      </x:c>
      <x:c r="H484" s="24" t="n">
        <x:f>F484-G484</x:f>
        <x:v>0.03898902858410125</x:v>
      </x:c>
    </x:row>
    <x:row r="485">
      <x:c r="A485" s="2" t="str">
        <x:v>LiDS-1</x:v>
      </x:c>
      <x:c r="B485" s="4" t="str">
        <x:v>LiCl</x:v>
      </x:c>
      <x:c r="C485" s="23" t="n">
        <x:v>1.380383</x:v>
      </x:c>
      <x:c r="D485" s="23" t="n">
        <x:v>12.72489</x:v>
      </x:c>
      <x:c r="E485" s="23" t="n">
        <x:f>'Parameters'!$B$2*'Parameters'!$B$3*LN(4*PI()*C485^2)</x:f>
        <x:v>7.872538467763314</x:v>
      </x:c>
      <x:c r="F485" s="23" t="n">
        <x:f>D485+E485</x:f>
        <x:v>20.597428467763315</x:v>
      </x:c>
      <x:c r="G485" s="23" t="n">
        <x:f>AVERAGE($F$544:$F$568)</x:f>
        <x:v>20.52163326430316</x:v>
      </x:c>
      <x:c r="H485" s="24" t="n">
        <x:f>F485-G485</x:f>
        <x:v>0.07579520346015656</x:v>
      </x:c>
    </x:row>
    <x:row r="486">
      <x:c r="A486" s="2" t="str">
        <x:v>LiDS-1</x:v>
      </x:c>
      <x:c r="B486" s="4" t="str">
        <x:v>LiCl</x:v>
      </x:c>
      <x:c r="C486" s="23" t="n">
        <x:v>1.39273</x:v>
      </x:c>
      <x:c r="D486" s="23" t="n">
        <x:v>12.73512</x:v>
      </x:c>
      <x:c r="E486" s="23" t="n">
        <x:f>'Parameters'!$B$2*'Parameters'!$B$3*LN(4*PI()*C486^2)</x:f>
        <x:v>7.916687962862619</x:v>
      </x:c>
      <x:c r="F486" s="23" t="n">
        <x:f>D486+E486</x:f>
        <x:v>20.65180796286262</x:v>
      </x:c>
      <x:c r="G486" s="23" t="n">
        <x:f>AVERAGE($F$544:$F$568)</x:f>
        <x:v>20.52163326430316</x:v>
      </x:c>
      <x:c r="H486" s="24" t="n">
        <x:f>F486-G486</x:f>
        <x:v>0.13017469855946118</x:v>
      </x:c>
    </x:row>
    <x:row r="487">
      <x:c r="A487" s="2" t="str">
        <x:v>LiDS-1</x:v>
      </x:c>
      <x:c r="B487" s="4" t="str">
        <x:v>LiCl</x:v>
      </x:c>
      <x:c r="C487" s="23" t="n">
        <x:v>1.405077</x:v>
      </x:c>
      <x:c r="D487" s="23" t="n">
        <x:v>12.78564</x:v>
      </x:c>
      <x:c r="E487" s="23" t="n">
        <x:f>'Parameters'!$B$2*'Parameters'!$B$3*LN(4*PI()*C487^2)</x:f>
        <x:v>7.960447780671689</x:v>
      </x:c>
      <x:c r="F487" s="23" t="n">
        <x:f>D487+E487</x:f>
        <x:v>20.74608778067169</x:v>
      </x:c>
      <x:c r="G487" s="23" t="n">
        <x:f>AVERAGE($F$544:$F$568)</x:f>
        <x:v>20.52163326430316</x:v>
      </x:c>
      <x:c r="H487" s="24" t="n">
        <x:f>F487-G487</x:f>
        <x:v>0.22445451636853164</x:v>
      </x:c>
    </x:row>
    <x:row r="488">
      <x:c r="A488" s="2" t="str">
        <x:v>LiDS-1</x:v>
      </x:c>
      <x:c r="B488" s="4" t="str">
        <x:v>LiCl</x:v>
      </x:c>
      <x:c r="C488" s="23" t="n">
        <x:v>1.417423</x:v>
      </x:c>
      <x:c r="D488" s="23" t="n">
        <x:v>12.75528</x:v>
      </x:c>
      <x:c r="E488" s="23" t="n">
        <x:f>'Parameters'!$B$2*'Parameters'!$B$3*LN(4*PI()*C488^2)</x:f>
        <x:v>8.003821242043104</x:v>
      </x:c>
      <x:c r="F488" s="23" t="n">
        <x:f>D488+E488</x:f>
        <x:v>20.759101242043105</x:v>
      </x:c>
      <x:c r="G488" s="23" t="n">
        <x:f>AVERAGE($F$544:$F$568)</x:f>
        <x:v>20.52163326430316</x:v>
      </x:c>
      <x:c r="H488" s="24" t="n">
        <x:f>F488-G488</x:f>
        <x:v>0.23746797773994643</x:v>
      </x:c>
    </x:row>
    <x:row r="489">
      <x:c r="A489" s="2" t="str">
        <x:v>LiDS-1</x:v>
      </x:c>
      <x:c r="B489" s="4" t="str">
        <x:v>LiCl</x:v>
      </x:c>
      <x:c r="C489" s="23" t="n">
        <x:v>1.42977</x:v>
      </x:c>
      <x:c r="D489" s="23" t="n">
        <x:v>12.65275</x:v>
      </x:c>
      <x:c r="E489" s="23" t="n">
        <x:f>'Parameters'!$B$2*'Parameters'!$B$3*LN(4*PI()*C489^2)</x:f>
        <x:v>8.04682201411971</x:v>
      </x:c>
      <x:c r="F489" s="23" t="n">
        <x:f>D489+E489</x:f>
        <x:v>20.69957201411971</x:v>
      </x:c>
      <x:c r="G489" s="23" t="n">
        <x:f>AVERAGE($F$544:$F$568)</x:f>
        <x:v>20.52163326430316</x:v>
      </x:c>
      <x:c r="H489" s="24" t="n">
        <x:f>F489-G489</x:f>
        <x:v>0.17793874981655122</x:v>
      </x:c>
    </x:row>
    <x:row r="490">
      <x:c r="A490" s="2" t="str">
        <x:v>LiDS-1</x:v>
      </x:c>
      <x:c r="B490" s="4" t="str">
        <x:v>LiCl</x:v>
      </x:c>
      <x:c r="C490" s="23" t="n">
        <x:v>1.442117</x:v>
      </x:c>
      <x:c r="D490" s="23" t="n">
        <x:v>12.69329</x:v>
      </x:c>
      <x:c r="E490" s="23" t="n">
        <x:f>'Parameters'!$B$2*'Parameters'!$B$3*LN(4*PI()*C490^2)</x:f>
        <x:v>8.089453038289333</x:v>
      </x:c>
      <x:c r="F490" s="23" t="n">
        <x:f>D490+E490</x:f>
        <x:v>20.782743038289333</x:v>
      </x:c>
      <x:c r="G490" s="23" t="n">
        <x:f>AVERAGE($F$544:$F$568)</x:f>
        <x:v>20.52163326430316</x:v>
      </x:c>
      <x:c r="H490" s="24" t="n">
        <x:f>F490-G490</x:f>
        <x:v>0.2611097739861741</x:v>
      </x:c>
    </x:row>
    <x:row r="491">
      <x:c r="A491" s="2" t="str">
        <x:v>LiDS-1</x:v>
      </x:c>
      <x:c r="B491" s="4" t="str">
        <x:v>LiCl</x:v>
      </x:c>
      <x:c r="C491" s="23" t="n">
        <x:v>1.454464</x:v>
      </x:c>
      <x:c r="D491" s="23" t="n">
        <x:v>12.72741</x:v>
      </x:c>
      <x:c r="E491" s="23" t="n">
        <x:f>'Parameters'!$B$2*'Parameters'!$B$3*LN(4*PI()*C491^2)</x:f>
        <x:v>8.131720619034503</x:v>
      </x:c>
      <x:c r="F491" s="23" t="n">
        <x:f>D491+E491</x:f>
        <x:v>20.859130619034502</x:v>
      </x:c>
      <x:c r="G491" s="23" t="n">
        <x:f>AVERAGE($F$544:$F$568)</x:f>
        <x:v>20.52163326430316</x:v>
      </x:c>
      <x:c r="H491" s="24" t="n">
        <x:f>F491-G491</x:f>
        <x:v>0.3374973547313438</x:v>
      </x:c>
    </x:row>
    <x:row r="492">
      <x:c r="A492" s="2" t="str">
        <x:v>LiDS-1</x:v>
      </x:c>
      <x:c r="B492" s="4" t="str">
        <x:v>LiCl</x:v>
      </x:c>
      <x:c r="C492" s="23" t="n">
        <x:v>1.46681</x:v>
      </x:c>
      <x:c r="D492" s="23" t="n">
        <x:v>12.6597</x:v>
      </x:c>
      <x:c r="E492" s="23" t="n">
        <x:f>'Parameters'!$B$2*'Parameters'!$B$3*LN(4*PI()*C492^2)</x:f>
        <x:v>8.173627520891053</x:v>
      </x:c>
      <x:c r="F492" s="23" t="n">
        <x:f>D492+E492</x:f>
        <x:v>20.833327520891054</x:v>
      </x:c>
      <x:c r="G492" s="23" t="n">
        <x:f>AVERAGE($F$544:$F$568)</x:f>
        <x:v>20.52163326430316</x:v>
      </x:c>
      <x:c r="H492" s="24" t="n">
        <x:f>F492-G492</x:f>
        <x:v>0.31169425658789507</x:v>
      </x:c>
    </x:row>
    <x:row r="493">
      <x:c r="A493" s="2" t="str">
        <x:v>LiDS-1</x:v>
      </x:c>
      <x:c r="B493" s="4" t="str">
        <x:v>LiCl</x:v>
      </x:c>
      <x:c r="C493" s="23" t="n">
        <x:v>1.479157</x:v>
      </x:c>
      <x:c r="D493" s="23" t="n">
        <x:v>12.69986</x:v>
      </x:c>
      <x:c r="E493" s="23" t="n">
        <x:f>'Parameters'!$B$2*'Parameters'!$B$3*LN(4*PI()*C493^2)</x:f>
        <x:v>8.215186522281368</x:v>
      </x:c>
      <x:c r="F493" s="23" t="n">
        <x:f>D493+E493</x:f>
        <x:v>20.915046522281365</x:v>
      </x:c>
      <x:c r="G493" s="23" t="n">
        <x:f>AVERAGE($F$544:$F$568)</x:f>
        <x:v>20.52163326430316</x:v>
      </x:c>
      <x:c r="H493" s="24" t="n">
        <x:f>F493-G493</x:f>
        <x:v>0.3934132579782066</x:v>
      </x:c>
    </x:row>
    <x:row r="494">
      <x:c r="A494" s="2" t="str">
        <x:v>LiDS-1</x:v>
      </x:c>
      <x:c r="B494" s="4" t="str">
        <x:v>LiCl</x:v>
      </x:c>
      <x:c r="C494" s="23" t="n">
        <x:v>1.491504</x:v>
      </x:c>
      <x:c r="D494" s="23" t="n">
        <x:v>12.61955</x:v>
      </x:c>
      <x:c r="E494" s="23" t="n">
        <x:f>'Parameters'!$B$2*'Parameters'!$B$3*LN(4*PI()*C494^2)</x:f>
        <x:v>8.256400055155051</x:v>
      </x:c>
      <x:c r="F494" s="23" t="n">
        <x:f>D494+E494</x:f>
        <x:v>20.87595005515505</x:v>
      </x:c>
      <x:c r="G494" s="23" t="n">
        <x:f>AVERAGE($F$544:$F$568)</x:f>
        <x:v>20.52163326430316</x:v>
      </x:c>
      <x:c r="H494" s="24" t="n">
        <x:f>F494-G494</x:f>
        <x:v>0.35431679085189316</x:v>
      </x:c>
    </x:row>
    <x:row r="495">
      <x:c r="A495" s="2" t="str">
        <x:v>LiDS-1</x:v>
      </x:c>
      <x:c r="B495" s="4" t="str">
        <x:v>LiCl</x:v>
      </x:c>
      <x:c r="C495" s="23" t="n">
        <x:v>1.503851</x:v>
      </x:c>
      <x:c r="D495" s="23" t="n">
        <x:v>12.63543</x:v>
      </x:c>
      <x:c r="E495" s="23" t="n">
        <x:f>'Parameters'!$B$2*'Parameters'!$B$3*LN(4*PI()*C495^2)</x:f>
        <x:v>8.297273815762278</x:v>
      </x:c>
      <x:c r="F495" s="23" t="n">
        <x:f>D495+E495</x:f>
        <x:v>20.932703815762277</x:v>
      </x:c>
      <x:c r="G495" s="23" t="n">
        <x:f>AVERAGE($F$544:$F$568)</x:f>
        <x:v>20.52163326430316</x:v>
      </x:c>
      <x:c r="H495" s="24" t="n">
        <x:f>F495-G495</x:f>
        <x:v>0.41107055145911886</x:v>
      </x:c>
    </x:row>
    <x:row r="496">
      <x:c r="A496" s="2" t="str">
        <x:v>LiDS-1</x:v>
      </x:c>
      <x:c r="B496" s="4" t="str">
        <x:v>LiCl</x:v>
      </x:c>
      <x:c r="C496" s="23" t="n">
        <x:v>1.516197</x:v>
      </x:c>
      <x:c r="D496" s="23" t="n">
        <x:v>12.59959</x:v>
      </x:c>
      <x:c r="E496" s="23" t="n">
        <x:f>'Parameters'!$B$2*'Parameters'!$B$3*LN(4*PI()*C496^2)</x:f>
        <x:v>8.337810090654816</x:v>
      </x:c>
      <x:c r="F496" s="23" t="n">
        <x:f>D496+E496</x:f>
        <x:v>20.937400090654815</x:v>
      </x:c>
      <x:c r="G496" s="23" t="n">
        <x:f>AVERAGE($F$544:$F$568)</x:f>
        <x:v>20.52163326430316</x:v>
      </x:c>
      <x:c r="H496" s="24" t="n">
        <x:f>F496-G496</x:f>
        <x:v>0.41576682635165696</x:v>
      </x:c>
    </x:row>
    <x:row r="497">
      <x:c r="A497" s="2" t="str">
        <x:v>LiDS-1</x:v>
      </x:c>
      <x:c r="B497" s="4" t="str">
        <x:v>LiCl</x:v>
      </x:c>
      <x:c r="C497" s="23" t="n">
        <x:v>1.528544</x:v>
      </x:c>
      <x:c r="D497" s="23" t="n">
        <x:v>12.60068</x:v>
      </x:c>
      <x:c r="E497" s="23" t="n">
        <x:f>'Parameters'!$B$2*'Parameters'!$B$3*LN(4*PI()*C497^2)</x:f>
        <x:v>8.378020867496263</x:v>
      </x:c>
      <x:c r="F497" s="23" t="n">
        <x:f>D497+E497</x:f>
        <x:v>20.978700867496265</x:v>
      </x:c>
      <x:c r="G497" s="23" t="n">
        <x:f>AVERAGE($F$544:$F$568)</x:f>
        <x:v>20.52163326430316</x:v>
      </x:c>
      <x:c r="H497" s="24" t="n">
        <x:f>F497-G497</x:f>
        <x:v>0.45706760319310646</x:v>
      </x:c>
    </x:row>
    <x:row r="498">
      <x:c r="A498" s="2" t="str">
        <x:v>LiDS-1</x:v>
      </x:c>
      <x:c r="B498" s="4" t="str">
        <x:v>LiCl</x:v>
      </x:c>
      <x:c r="C498" s="23" t="n">
        <x:v>1.540891</x:v>
      </x:c>
      <x:c r="D498" s="23" t="n">
        <x:v>12.59843</x:v>
      </x:c>
      <x:c r="E498" s="23" t="n">
        <x:f>'Parameters'!$B$2*'Parameters'!$B$3*LN(4*PI()*C498^2)</x:f>
        <x:v>8.417908139953886</x:v>
      </x:c>
      <x:c r="F498" s="23" t="n">
        <x:f>D498+E498</x:f>
        <x:v>21.016338139953888</x:v>
      </x:c>
      <x:c r="G498" s="23" t="n">
        <x:f>AVERAGE($F$544:$F$568)</x:f>
        <x:v>20.52163326430316</x:v>
      </x:c>
      <x:c r="H498" s="24" t="n">
        <x:f>F498-G498</x:f>
        <x:v>0.4947048756507293</x:v>
      </x:c>
    </x:row>
    <x:row r="499">
      <x:c r="A499" s="2" t="str">
        <x:v>LiDS-1</x:v>
      </x:c>
      <x:c r="B499" s="4" t="str">
        <x:v>LiCl</x:v>
      </x:c>
      <x:c r="C499" s="23" t="n">
        <x:v>1.553238</x:v>
      </x:c>
      <x:c r="D499" s="23" t="n">
        <x:v>12.45751</x:v>
      </x:c>
      <x:c r="E499" s="23" t="n">
        <x:f>'Parameters'!$B$2*'Parameters'!$B$3*LN(4*PI()*C499^2)</x:f>
        <x:v>8.457477071836617</x:v>
      </x:c>
      <x:c r="F499" s="23" t="n">
        <x:f>D499+E499</x:f>
        <x:v>20.914987071836617</x:v>
      </x:c>
      <x:c r="G499" s="23" t="n">
        <x:f>AVERAGE($F$544:$F$568)</x:f>
        <x:v>20.52163326430316</x:v>
      </x:c>
      <x:c r="H499" s="24" t="n">
        <x:f>F499-G499</x:f>
        <x:v>0.39335380753345817</x:v>
      </x:c>
    </x:row>
    <x:row r="500">
      <x:c r="A500" s="2" t="str">
        <x:v>LiDS-1</x:v>
      </x:c>
      <x:c r="B500" s="4" t="str">
        <x:v>LiCl</x:v>
      </x:c>
      <x:c r="C500" s="23" t="n">
        <x:v>1.565584</x:v>
      </x:c>
      <x:c r="D500" s="23" t="n">
        <x:v>12.46043</x:v>
      </x:c>
      <x:c r="E500" s="23" t="n">
        <x:f>'Parameters'!$B$2*'Parameters'!$B$3*LN(4*PI()*C500^2)</x:f>
        <x:v>8.496729537480412</x:v>
      </x:c>
      <x:c r="F500" s="23" t="n">
        <x:f>D500+E500</x:f>
        <x:v>20.957159537480415</x:v>
      </x:c>
      <x:c r="G500" s="23" t="n">
        <x:f>AVERAGE($F$544:$F$568)</x:f>
        <x:v>20.52163326430316</x:v>
      </x:c>
      <x:c r="H500" s="24" t="n">
        <x:f>F500-G500</x:f>
        <x:v>0.43552627317725623</x:v>
      </x:c>
    </x:row>
    <x:row r="501">
      <x:c r="A501" s="2" t="str">
        <x:v>LiDS-1</x:v>
      </x:c>
      <x:c r="B501" s="4" t="str">
        <x:v>LiCl</x:v>
      </x:c>
      <x:c r="C501" s="23" t="n">
        <x:v>1.577931</x:v>
      </x:c>
      <x:c r="D501" s="23" t="n">
        <x:v>12.39187</x:v>
      </x:c>
      <x:c r="E501" s="23" t="n">
        <x:f>'Parameters'!$B$2*'Parameters'!$B$3*LN(4*PI()*C501^2)</x:f>
        <x:v>8.535676817636048</x:v>
      </x:c>
      <x:c r="F501" s="23" t="n">
        <x:f>D501+E501</x:f>
        <x:v>20.92754681763605</x:v>
      </x:c>
      <x:c r="G501" s="23" t="n">
        <x:f>AVERAGE($F$544:$F$568)</x:f>
        <x:v>20.52163326430316</x:v>
      </x:c>
      <x:c r="H501" s="24" t="n">
        <x:f>F501-G501</x:f>
        <x:v>0.4059135533328906</x:v>
      </x:c>
    </x:row>
    <x:row r="502">
      <x:c r="A502" s="2" t="str">
        <x:v>LiDS-1</x:v>
      </x:c>
      <x:c r="B502" s="4" t="str">
        <x:v>LiCl</x:v>
      </x:c>
      <x:c r="C502" s="23" t="n">
        <x:v>1.590278</x:v>
      </x:c>
      <x:c r="D502" s="23" t="n">
        <x:v>12.30473</x:v>
      </x:c>
      <x:c r="E502" s="23" t="n">
        <x:f>'Parameters'!$B$2*'Parameters'!$B$3*LN(4*PI()*C502^2)</x:f>
        <x:v>8.574320527568696</x:v>
      </x:c>
      <x:c r="F502" s="23" t="n">
        <x:f>D502+E502</x:f>
        <x:v>20.879050527568694</x:v>
      </x:c>
      <x:c r="G502" s="23" t="n">
        <x:f>AVERAGE($F$544:$F$568)</x:f>
        <x:v>20.52163326430316</x:v>
      </x:c>
      <x:c r="H502" s="24" t="n">
        <x:f>F502-G502</x:f>
        <x:v>0.35741726326553547</x:v>
      </x:c>
    </x:row>
    <x:row r="503">
      <x:c r="A503" s="2" t="str">
        <x:v>LiDS-1</x:v>
      </x:c>
      <x:c r="B503" s="4" t="str">
        <x:v>LiCl</x:v>
      </x:c>
      <x:c r="C503" s="23" t="n">
        <x:v>1.602625</x:v>
      </x:c>
      <x:c r="D503" s="23" t="n">
        <x:v>12.32804</x:v>
      </x:c>
      <x:c r="E503" s="23" t="n">
        <x:f>'Parameters'!$B$2*'Parameters'!$B$3*LN(4*PI()*C503^2)</x:f>
        <x:v>8.612665362990105</x:v>
      </x:c>
      <x:c r="F503" s="23" t="n">
        <x:f>D503+E503</x:f>
        <x:v>20.940705362990105</x:v>
      </x:c>
      <x:c r="G503" s="23" t="n">
        <x:f>AVERAGE($F$544:$F$568)</x:f>
        <x:v>20.52163326430316</x:v>
      </x:c>
      <x:c r="H503" s="24" t="n">
        <x:f>F503-G503</x:f>
        <x:v>0.4190720986869465</x:v>
      </x:c>
    </x:row>
    <x:row r="504">
      <x:c r="A504" s="2" t="str">
        <x:v>LiDS-1</x:v>
      </x:c>
      <x:c r="B504" s="4" t="str">
        <x:v>LiCl</x:v>
      </x:c>
      <x:c r="C504" s="23" t="n">
        <x:v>1.614971</x:v>
      </x:c>
      <x:c r="D504" s="23" t="n">
        <x:v>12.22414</x:v>
      </x:c>
      <x:c r="E504" s="23" t="n">
        <x:f>'Parameters'!$B$2*'Parameters'!$B$3*LN(4*PI()*C504^2)</x:f>
        <x:v>8.650712841525738</x:v>
      </x:c>
      <x:c r="F504" s="23" t="n">
        <x:f>D504+E504</x:f>
        <x:v>20.874852841525737</x:v>
      </x:c>
      <x:c r="G504" s="23" t="n">
        <x:f>AVERAGE($F$544:$F$568)</x:f>
        <x:v>20.52163326430316</x:v>
      </x:c>
      <x:c r="H504" s="24" t="n">
        <x:f>F504-G504</x:f>
        <x:v>0.35321957722257835</x:v>
      </x:c>
    </x:row>
    <x:row r="505">
      <x:c r="A505" s="2" t="str">
        <x:v>LiDS-1</x:v>
      </x:c>
      <x:c r="B505" s="4" t="str">
        <x:v>LiCl</x:v>
      </x:c>
      <x:c r="C505" s="23" t="n">
        <x:v>1.627318</x:v>
      </x:c>
      <x:c r="D505" s="23" t="n">
        <x:v>12.1752</x:v>
      </x:c>
      <x:c r="E505" s="23" t="n">
        <x:f>'Parameters'!$B$2*'Parameters'!$B$3*LN(4*PI()*C505^2)</x:f>
        <x:v>8.688473609181486</x:v>
      </x:c>
      <x:c r="F505" s="23" t="n">
        <x:f>D505+E505</x:f>
        <x:v>20.863673609181486</x:v>
      </x:c>
      <x:c r="G505" s="23" t="n">
        <x:f>AVERAGE($F$544:$F$568)</x:f>
        <x:v>20.52163326430316</x:v>
      </x:c>
      <x:c r="H505" s="24" t="n">
        <x:f>F505-G505</x:f>
        <x:v>0.3420403448783276</x:v>
      </x:c>
    </x:row>
    <x:row r="506">
      <x:c r="A506" s="2" t="str">
        <x:v>LiDS-1</x:v>
      </x:c>
      <x:c r="B506" s="4" t="str">
        <x:v>LiCl</x:v>
      </x:c>
      <x:c r="C506" s="23" t="n">
        <x:v>1.639665</x:v>
      </x:c>
      <x:c r="D506" s="23" t="n">
        <x:v>12.13978</x:v>
      </x:c>
      <x:c r="E506" s="23" t="n">
        <x:f>'Parameters'!$B$2*'Parameters'!$B$3*LN(4*PI()*C506^2)</x:f>
        <x:v>8.725948953463577</x:v>
      </x:c>
      <x:c r="F506" s="23" t="n">
        <x:f>D506+E506</x:f>
        <x:v>20.865728953463577</x:v>
      </x:c>
      <x:c r="G506" s="23" t="n">
        <x:f>AVERAGE($F$544:$F$568)</x:f>
        <x:v>20.52163326430316</x:v>
      </x:c>
      <x:c r="H506" s="24" t="n">
        <x:f>F506-G506</x:f>
        <x:v>0.34409568916041877</x:v>
      </x:c>
    </x:row>
    <x:row r="507">
      <x:c r="A507" s="2" t="str">
        <x:v>LiDS-1</x:v>
      </x:c>
      <x:c r="B507" s="4" t="str">
        <x:v>LiCl</x:v>
      </x:c>
      <x:c r="C507" s="23" t="n">
        <x:v>1.652012</x:v>
      </x:c>
      <x:c r="D507" s="23" t="n">
        <x:v>12.03551</x:v>
      </x:c>
      <x:c r="E507" s="23" t="n">
        <x:f>'Parameters'!$B$2*'Parameters'!$B$3*LN(4*PI()*C507^2)</x:f>
        <x:v>8.763143156897124</x:v>
      </x:c>
      <x:c r="F507" s="23" t="n">
        <x:f>D507+E507</x:f>
        <x:v>20.798653156897124</x:v>
      </x:c>
      <x:c r="G507" s="23" t="n">
        <x:f>AVERAGE($F$544:$F$568)</x:f>
        <x:v>20.52163326430316</x:v>
      </x:c>
      <x:c r="H507" s="24" t="n">
        <x:f>F507-G507</x:f>
        <x:v>0.277019892593966</x:v>
      </x:c>
    </x:row>
    <x:row r="508">
      <x:c r="A508" s="2" t="str">
        <x:v>LiDS-1</x:v>
      </x:c>
      <x:c r="B508" s="4" t="str">
        <x:v>LiCl</x:v>
      </x:c>
      <x:c r="C508" s="23" t="n">
        <x:v>1.664358</x:v>
      </x:c>
      <x:c r="D508" s="23" t="n">
        <x:v>12.00029</x:v>
      </x:c>
      <x:c r="E508" s="23" t="n">
        <x:f>'Parameters'!$B$2*'Parameters'!$B$3*LN(4*PI()*C508^2)</x:f>
        <x:v>8.800057427467367</x:v>
      </x:c>
      <x:c r="F508" s="23" t="n">
        <x:f>D508+E508</x:f>
        <x:v>20.800347427467365</x:v>
      </x:c>
      <x:c r="G508" s="23" t="n">
        <x:f>AVERAGE($F$544:$F$568)</x:f>
        <x:v>20.52163326430316</x:v>
      </x:c>
      <x:c r="H508" s="24" t="n">
        <x:f>F508-G508</x:f>
        <x:v>0.2787141631642065</x:v>
      </x:c>
    </x:row>
    <x:row r="509">
      <x:c r="A509" s="2" t="str">
        <x:v>LiDS-1</x:v>
      </x:c>
      <x:c r="B509" s="4" t="str">
        <x:v>LiCl</x:v>
      </x:c>
      <x:c r="C509" s="23" t="n">
        <x:v>1.676705</x:v>
      </x:c>
      <x:c r="D509" s="23" t="n">
        <x:v>12.0152</x:v>
      </x:c>
      <x:c r="E509" s="23" t="n">
        <x:f>'Parameters'!$B$2*'Parameters'!$B$3*LN(4*PI()*C509^2)</x:f>
        <x:v>8.836701838879492</x:v>
      </x:c>
      <x:c r="F509" s="23" t="n">
        <x:f>D509+E509</x:f>
        <x:v>20.851901838879492</x:v>
      </x:c>
      <x:c r="G509" s="23" t="n">
        <x:f>AVERAGE($F$544:$F$568)</x:f>
        <x:v>20.52163326430316</x:v>
      </x:c>
      <x:c r="H509" s="24" t="n">
        <x:f>F509-G509</x:f>
        <x:v>0.3302685745763334</x:v>
      </x:c>
    </x:row>
    <x:row r="510">
      <x:c r="A510" s="2" t="str">
        <x:v>LiDS-1</x:v>
      </x:c>
      <x:c r="B510" s="4" t="str">
        <x:v>LiCl</x:v>
      </x:c>
      <x:c r="C510" s="23" t="n">
        <x:v>1.689052</x:v>
      </x:c>
      <x:c r="D510" s="23" t="n">
        <x:v>12.08237</x:v>
      </x:c>
      <x:c r="E510" s="23" t="n">
        <x:f>'Parameters'!$B$2*'Parameters'!$B$3*LN(4*PI()*C510^2)</x:f>
        <x:v>8.873077393911368</x:v>
      </x:c>
      <x:c r="F510" s="23" t="n">
        <x:f>D510+E510</x:f>
        <x:v>20.955447393911367</x:v>
      </x:c>
      <x:c r="G510" s="23" t="n">
        <x:f>AVERAGE($F$544:$F$568)</x:f>
        <x:v>20.52163326430316</x:v>
      </x:c>
      <x:c r="H510" s="24" t="n">
        <x:f>F510-G510</x:f>
        <x:v>0.43381412960820853</x:v>
      </x:c>
    </x:row>
    <x:row r="511">
      <x:c r="A511" s="2" t="str">
        <x:v>LiDS-1</x:v>
      </x:c>
      <x:c r="B511" s="4" t="str">
        <x:v>LiCl</x:v>
      </x:c>
      <x:c r="C511" s="23" t="n">
        <x:v>1.701399</x:v>
      </x:c>
      <x:c r="D511" s="23" t="n">
        <x:v>11.94196</x:v>
      </x:c>
      <x:c r="E511" s="23" t="n">
        <x:f>'Parameters'!$B$2*'Parameters'!$B$3*LN(4*PI()*C511^2)</x:f>
        <x:v>8.909188008990725</x:v>
      </x:c>
      <x:c r="F511" s="23" t="n">
        <x:f>D511+E511</x:f>
        <x:v>20.851148008990727</x:v>
      </x:c>
      <x:c r="G511" s="23" t="n">
        <x:f>AVERAGE($F$544:$F$568)</x:f>
        <x:v>20.52163326430316</x:v>
      </x:c>
      <x:c r="H511" s="24" t="n">
        <x:f>F511-G511</x:f>
        <x:v>0.32951474468756814</x:v>
      </x:c>
    </x:row>
    <x:row r="512">
      <x:c r="A512" s="2" t="str">
        <x:v>LiDS-1</x:v>
      </x:c>
      <x:c r="B512" s="4" t="str">
        <x:v>LiCl</x:v>
      </x:c>
      <x:c r="C512" s="23" t="n">
        <x:v>1.713745</x:v>
      </x:c>
      <x:c r="D512" s="23" t="n">
        <x:v>11.99629</x:v>
      </x:c>
      <x:c r="E512" s="23" t="n">
        <x:f>'Parameters'!$B$2*'Parameters'!$B$3*LN(4*PI()*C512^2)</x:f>
        <x:v>8.945034622559668</x:v>
      </x:c>
      <x:c r="F512" s="23" t="n">
        <x:f>D512+E512</x:f>
        <x:v>20.94132462255967</x:v>
      </x:c>
      <x:c r="G512" s="23" t="n">
        <x:f>AVERAGE($F$544:$F$568)</x:f>
        <x:v>20.52163326430316</x:v>
      </x:c>
      <x:c r="H512" s="24" t="n">
        <x:f>F512-G512</x:f>
        <x:v>0.41969135825651094</x:v>
      </x:c>
    </x:row>
    <x:row r="513">
      <x:c r="A513" s="2" t="str">
        <x:v>LiDS-1</x:v>
      </x:c>
      <x:c r="B513" s="4" t="str">
        <x:v>LiCl</x:v>
      </x:c>
      <x:c r="C513" s="23" t="n">
        <x:v>1.726092</x:v>
      </x:c>
      <x:c r="D513" s="23" t="n">
        <x:v>11.91013</x:v>
      </x:c>
      <x:c r="E513" s="23" t="n">
        <x:f>'Parameters'!$B$2*'Parameters'!$B$3*LN(4*PI()*C513^2)</x:f>
        <x:v>8.98062679032138</x:v>
      </x:c>
      <x:c r="F513" s="23" t="n">
        <x:f>D513+E513</x:f>
        <x:v>20.890756790321383</x:v>
      </x:c>
      <x:c r="G513" s="23" t="n">
        <x:f>AVERAGE($F$544:$F$568)</x:f>
        <x:v>20.52163326430316</x:v>
      </x:c>
      <x:c r="H513" s="24" t="n">
        <x:f>F513-G513</x:f>
        <x:v>0.3691235260182246</x:v>
      </x:c>
    </x:row>
    <x:row r="514">
      <x:c r="A514" s="2" t="str">
        <x:v>LiDS-1</x:v>
      </x:c>
      <x:c r="B514" s="4" t="str">
        <x:v>LiCl</x:v>
      </x:c>
      <x:c r="C514" s="23" t="n">
        <x:v>1.738439</x:v>
      </x:c>
      <x:c r="D514" s="23" t="n">
        <x:v>11.95234</x:v>
      </x:c>
      <x:c r="E514" s="23" t="n">
        <x:f>'Parameters'!$B$2*'Parameters'!$B$3*LN(4*PI()*C514^2)</x:f>
        <x:v>9.01596526704685</x:v>
      </x:c>
      <x:c r="F514" s="23" t="n">
        <x:f>D514+E514</x:f>
        <x:v>20.96830526704685</x:v>
      </x:c>
      <x:c r="G514" s="23" t="n">
        <x:f>AVERAGE($F$544:$F$568)</x:f>
        <x:v>20.52163326430316</x:v>
      </x:c>
      <x:c r="H514" s="24" t="n">
        <x:f>F514-G514</x:f>
        <x:v>0.4466720027436928</x:v>
      </x:c>
    </x:row>
    <x:row r="515">
      <x:c r="A515" s="2" t="str">
        <x:v>LiDS-1</x:v>
      </x:c>
      <x:c r="B515" s="4" t="str">
        <x:v>LiCl</x:v>
      </x:c>
      <x:c r="C515" s="23" t="n">
        <x:v>1.750785</x:v>
      </x:c>
      <x:c r="D515" s="23" t="n">
        <x:v>11.83754</x:v>
      </x:c>
      <x:c r="E515" s="23" t="n">
        <x:f>'Parameters'!$B$2*'Parameters'!$B$3*LN(4*PI()*C515^2)</x:f>
        <x:v>9.051050811811368</x:v>
      </x:c>
      <x:c r="F515" s="23" t="n">
        <x:f>D515+E515</x:f>
        <x:v>20.88859081181137</x:v>
      </x:c>
      <x:c r="G515" s="23" t="n">
        <x:f>AVERAGE($F$544:$F$568)</x:f>
        <x:v>20.52163326430316</x:v>
      </x:c>
      <x:c r="H515" s="24" t="n">
        <x:f>F515-G515</x:f>
        <x:v>0.3669575475082105</x:v>
      </x:c>
    </x:row>
    <x:row r="516">
      <x:c r="A516" s="2" t="str">
        <x:v>LiDS-1</x:v>
      </x:c>
      <x:c r="B516" s="4" t="str">
        <x:v>LiCl</x:v>
      </x:c>
      <x:c r="C516" s="23" t="n">
        <x:v>1.763132</x:v>
      </x:c>
      <x:c r="D516" s="23" t="n">
        <x:v>11.84366</x:v>
      </x:c>
      <x:c r="E516" s="23" t="n">
        <x:f>'Parameters'!$B$2*'Parameters'!$B$3*LN(4*PI()*C516^2)</x:f>
        <x:v>9.085892623282955</x:v>
      </x:c>
      <x:c r="F516" s="23" t="n">
        <x:f>D516+E516</x:f>
        <x:v>20.929552623282955</x:v>
      </x:c>
      <x:c r="G516" s="23" t="n">
        <x:f>AVERAGE($F$544:$F$568)</x:f>
        <x:v>20.52163326430316</x:v>
      </x:c>
      <x:c r="H516" s="24" t="n">
        <x:f>F516-G516</x:f>
        <x:v>0.4079193589797967</x:v>
      </x:c>
    </x:row>
    <x:row r="517">
      <x:c r="A517" s="2" t="str">
        <x:v>LiDS-1</x:v>
      </x:c>
      <x:c r="B517" s="4" t="str">
        <x:v>LiCl</x:v>
      </x:c>
      <x:c r="C517" s="23" t="n">
        <x:v>1.775479</x:v>
      </x:c>
      <x:c r="D517" s="23" t="n">
        <x:v>11.61195</x:v>
      </x:c>
      <x:c r="E517" s="23" t="n">
        <x:f>'Parameters'!$B$2*'Parameters'!$B$3*LN(4*PI()*C517^2)</x:f>
        <x:v>9.12049129113114</x:v>
      </x:c>
      <x:c r="F517" s="23" t="n">
        <x:f>D517+E517</x:f>
        <x:v>20.73244129113114</x:v>
      </x:c>
      <x:c r="G517" s="23" t="n">
        <x:f>AVERAGE($F$544:$F$568)</x:f>
        <x:v>20.52163326430316</x:v>
      </x:c>
      <x:c r="H517" s="24" t="n">
        <x:f>F517-G517</x:f>
        <x:v>0.21080802682797994</x:v>
      </x:c>
    </x:row>
    <x:row r="518">
      <x:c r="A518" s="2" t="str">
        <x:v>LiDS-1</x:v>
      </x:c>
      <x:c r="B518" s="4" t="str">
        <x:v>LiCl</x:v>
      </x:c>
      <x:c r="C518" s="23" t="n">
        <x:v>1.787826</x:v>
      </x:c>
      <x:c r="D518" s="23" t="n">
        <x:v>11.72875</x:v>
      </x:c>
      <x:c r="E518" s="23" t="n">
        <x:f>'Parameters'!$B$2*'Parameters'!$B$3*LN(4*PI()*C518^2)</x:f>
        <x:v>9.154850185407733</x:v>
      </x:c>
      <x:c r="F518" s="23" t="n">
        <x:f>D518+E518</x:f>
        <x:v>20.883600185407733</x:v>
      </x:c>
      <x:c r="G518" s="23" t="n">
        <x:f>AVERAGE($F$544:$F$568)</x:f>
        <x:v>20.52163326430316</x:v>
      </x:c>
      <x:c r="H518" s="24" t="n">
        <x:f>F518-G518</x:f>
        <x:v>0.3619669211045746</x:v>
      </x:c>
    </x:row>
    <x:row r="519">
      <x:c r="A519" s="2" t="str">
        <x:v>LiDS-1</x:v>
      </x:c>
      <x:c r="B519" s="4" t="str">
        <x:v>LiCl</x:v>
      </x:c>
      <x:c r="C519" s="23" t="n">
        <x:v>1.800172</x:v>
      </x:c>
      <x:c r="D519" s="23" t="n">
        <x:v>11.53883</x:v>
      </x:c>
      <x:c r="E519" s="23" t="n">
        <x:f>'Parameters'!$B$2*'Parameters'!$B$3*LN(4*PI()*C519^2)</x:f>
        <x:v>9.188969852448665</x:v>
      </x:c>
      <x:c r="F519" s="23" t="n">
        <x:f>D519+E519</x:f>
        <x:v>20.727799852448666</x:v>
      </x:c>
      <x:c r="G519" s="23" t="n">
        <x:f>AVERAGE($F$544:$F$568)</x:f>
        <x:v>20.52163326430316</x:v>
      </x:c>
      <x:c r="H519" s="24" t="n">
        <x:f>F519-G519</x:f>
        <x:v>0.20616658814550703</x:v>
      </x:c>
    </x:row>
    <x:row r="520">
      <x:c r="A520" s="2" t="str">
        <x:v>LiDS-1</x:v>
      </x:c>
      <x:c r="B520" s="4" t="str">
        <x:v>LiCl</x:v>
      </x:c>
      <x:c r="C520" s="23" t="n">
        <x:v>1.812519</x:v>
      </x:c>
      <x:c r="D520" s="23" t="n">
        <x:v>11.57037</x:v>
      </x:c>
      <x:c r="E520" s="23" t="n">
        <x:f>'Parameters'!$B$2*'Parameters'!$B$3*LN(4*PI()*C520^2)</x:f>
        <x:v>9.222859052068891</x:v>
      </x:c>
      <x:c r="F520" s="23" t="n">
        <x:f>D520+E520</x:f>
        <x:v>20.79322905206889</x:v>
      </x:c>
      <x:c r="G520" s="23" t="n">
        <x:f>AVERAGE($F$544:$F$568)</x:f>
        <x:v>20.52163326430316</x:v>
      </x:c>
      <x:c r="H520" s="24" t="n">
        <x:f>F520-G520</x:f>
        <x:v>0.2715957877657331</x:v>
      </x:c>
    </x:row>
    <x:row r="521">
      <x:c r="A521" s="2" t="str">
        <x:v>LiDS-1</x:v>
      </x:c>
      <x:c r="B521" s="4" t="str">
        <x:v>LiCl</x:v>
      </x:c>
      <x:c r="C521" s="23" t="n">
        <x:v>1.824866</x:v>
      </x:c>
      <x:c r="D521" s="23" t="n">
        <x:v>11.3827</x:v>
      </x:c>
      <x:c r="E521" s="23" t="n">
        <x:f>'Parameters'!$B$2*'Parameters'!$B$3*LN(4*PI()*C521^2)</x:f>
        <x:v>9.256518178065926</x:v>
      </x:c>
      <x:c r="F521" s="23" t="n">
        <x:f>D521+E521</x:f>
        <x:v>20.639218178065924</x:v>
      </x:c>
      <x:c r="G521" s="23" t="n">
        <x:f>AVERAGE($F$544:$F$568)</x:f>
        <x:v>20.52163326430316</x:v>
      </x:c>
      <x:c r="H521" s="24" t="n">
        <x:f>F521-G521</x:f>
        <x:v>0.11758491376276581</x:v>
      </x:c>
    </x:row>
    <x:row r="522">
      <x:c r="A522" s="2" t="str">
        <x:v>LiDS-1</x:v>
      </x:c>
      <x:c r="B522" s="4" t="str">
        <x:v>LiCl</x:v>
      </x:c>
      <x:c r="C522" s="23" t="n">
        <x:v>1.837213</x:v>
      </x:c>
      <x:c r="D522" s="23" t="n">
        <x:v>11.45608</x:v>
      </x:c>
      <x:c r="E522" s="23" t="n">
        <x:f>'Parameters'!$B$2*'Parameters'!$B$3*LN(4*PI()*C522^2)</x:f>
        <x:v>9.289950333323716</x:v>
      </x:c>
      <x:c r="F522" s="23" t="n">
        <x:f>D522+E522</x:f>
        <x:v>20.746030333323716</x:v>
      </x:c>
      <x:c r="G522" s="23" t="n">
        <x:f>AVERAGE($F$544:$F$568)</x:f>
        <x:v>20.52163326430316</x:v>
      </x:c>
      <x:c r="H522" s="24" t="n">
        <x:f>F522-G522</x:f>
        <x:v>0.2243970690205579</x:v>
      </x:c>
    </x:row>
    <x:row r="523">
      <x:c r="A523" s="2" t="str">
        <x:v>LiDS-1</x:v>
      </x:c>
      <x:c r="B523" s="4" t="str">
        <x:v>LiCl</x:v>
      </x:c>
      <x:c r="C523" s="23" t="n">
        <x:v>1.849559</x:v>
      </x:c>
      <x:c r="D523" s="23" t="n">
        <x:v>11.35543</x:v>
      </x:c>
      <x:c r="E523" s="23" t="n">
        <x:f>'Parameters'!$B$2*'Parameters'!$B$3*LN(4*PI()*C523^2)</x:f>
        <x:v>9.323155877784119</x:v>
      </x:c>
      <x:c r="F523" s="23" t="n">
        <x:f>D523+E523</x:f>
        <x:v>20.67858587778412</x:v>
      </x:c>
      <x:c r="G523" s="23" t="n">
        <x:f>AVERAGE($F$544:$F$568)</x:f>
        <x:v>20.52163326430316</x:v>
      </x:c>
      <x:c r="H523" s="24" t="n">
        <x:f>F523-G523</x:f>
        <x:v>0.15695261348096068</x:v>
      </x:c>
    </x:row>
    <x:row r="524">
      <x:c r="A524" s="2" t="str">
        <x:v>LiDS-1</x:v>
      </x:c>
      <x:c r="B524" s="4" t="str">
        <x:v>LiCl</x:v>
      </x:c>
      <x:c r="C524" s="23" t="n">
        <x:v>1.861906</x:v>
      </x:c>
      <x:c r="D524" s="23" t="n">
        <x:v>11.3825</x:v>
      </x:c>
      <x:c r="E524" s="23" t="n">
        <x:f>'Parameters'!$B$2*'Parameters'!$B$3*LN(4*PI()*C524^2)</x:f>
        <x:v>9.356143170249574</x:v>
      </x:c>
      <x:c r="F524" s="23" t="n">
        <x:f>D524+E524</x:f>
        <x:v>20.738643170249574</x:v>
      </x:c>
      <x:c r="G524" s="23" t="n">
        <x:f>AVERAGE($F$544:$F$568)</x:f>
        <x:v>20.52163326430316</x:v>
      </x:c>
      <x:c r="H524" s="24" t="n">
        <x:f>F524-G524</x:f>
        <x:v>0.21700990594641567</x:v>
      </x:c>
    </x:row>
    <x:row r="525">
      <x:c r="A525" s="2" t="str">
        <x:v>LiDS-1</x:v>
      </x:c>
      <x:c r="B525" s="4" t="str">
        <x:v>LiCl</x:v>
      </x:c>
      <x:c r="C525" s="23" t="n">
        <x:v>1.874253</x:v>
      </x:c>
      <x:c r="D525" s="23" t="n">
        <x:v>11.17091</x:v>
      </x:c>
      <x:c r="E525" s="23" t="n">
        <x:f>'Parameters'!$B$2*'Parameters'!$B$3*LN(4*PI()*C525^2)</x:f>
        <x:v>9.388912432874543</x:v>
      </x:c>
      <x:c r="F525" s="23" t="n">
        <x:f>D525+E525</x:f>
        <x:v>20.55982243287454</x:v>
      </x:c>
      <x:c r="G525" s="23" t="n">
        <x:f>AVERAGE($F$544:$F$568)</x:f>
        <x:v>20.52163326430316</x:v>
      </x:c>
      <x:c r="H525" s="24" t="n">
        <x:f>F525-G525</x:f>
        <x:v>0.03818916857138177</x:v>
      </x:c>
    </x:row>
    <x:row r="526">
      <x:c r="A526" s="2" t="str">
        <x:v>LiDS-1</x:v>
      </x:c>
      <x:c r="B526" s="4" t="str">
        <x:v>LiCl</x:v>
      </x:c>
      <x:c r="C526" s="23" t="n">
        <x:v>1.8866</x:v>
      </x:c>
      <x:c r="D526" s="23" t="n">
        <x:v>11.18397</x:v>
      </x:c>
      <x:c r="E526" s="23" t="n">
        <x:f>'Parameters'!$B$2*'Parameters'!$B$3*LN(4*PI()*C526^2)</x:f>
        <x:v>9.421466528885686</x:v>
      </x:c>
      <x:c r="F526" s="23" t="n">
        <x:f>D526+E526</x:f>
        <x:v>20.605436528885686</x:v>
      </x:c>
      <x:c r="G526" s="23" t="n">
        <x:f>AVERAGE($F$544:$F$568)</x:f>
        <x:v>20.52163326430316</x:v>
      </x:c>
      <x:c r="H526" s="24" t="n">
        <x:f>F526-G526</x:f>
        <x:v>0.08380326458252796</x:v>
      </x:c>
    </x:row>
    <x:row r="527">
      <x:c r="A527" s="2" t="str">
        <x:v>LiDS-1</x:v>
      </x:c>
      <x:c r="B527" s="4" t="str">
        <x:v>LiCl</x:v>
      </x:c>
      <x:c r="C527" s="23" t="n">
        <x:v>1.898946</x:v>
      </x:c>
      <x:c r="D527" s="23" t="n">
        <x:v>11.21777</x:v>
      </x:c>
      <x:c r="E527" s="23" t="n">
        <x:f>'Parameters'!$B$2*'Parameters'!$B$3*LN(4*PI()*C527^2)</x:f>
        <x:v>9.453805654600286</x:v>
      </x:c>
      <x:c r="F527" s="23" t="n">
        <x:f>D527+E527</x:f>
        <x:v>20.671575654600286</x:v>
      </x:c>
      <x:c r="G527" s="23" t="n">
        <x:f>AVERAGE($F$544:$F$568)</x:f>
        <x:v>20.52163326430316</x:v>
      </x:c>
      <x:c r="H527" s="24" t="n">
        <x:f>F527-G527</x:f>
        <x:v>0.1499423902971273</x:v>
      </x:c>
    </x:row>
    <x:row r="528">
      <x:c r="A528" s="2" t="str">
        <x:v>LiDS-1</x:v>
      </x:c>
      <x:c r="B528" s="4" t="str">
        <x:v>LiCl</x:v>
      </x:c>
      <x:c r="C528" s="23" t="n">
        <x:v>1.911293</x:v>
      </x:c>
      <x:c r="D528" s="23" t="n">
        <x:v>11.25816</x:v>
      </x:c>
      <x:c r="E528" s="23" t="n">
        <x:f>'Parameters'!$B$2*'Parameters'!$B$3*LN(4*PI()*C528^2)</x:f>
        <x:v>9.485937801249625</x:v>
      </x:c>
      <x:c r="F528" s="23" t="n">
        <x:f>D528+E528</x:f>
        <x:v>20.744097801249623</x:v>
      </x:c>
      <x:c r="G528" s="23" t="n">
        <x:f>AVERAGE($F$544:$F$568)</x:f>
        <x:v>20.52163326430316</x:v>
      </x:c>
      <x:c r="H528" s="24" t="n">
        <x:f>F528-G528</x:f>
        <x:v>0.22246453694646462</x:v>
      </x:c>
    </x:row>
    <x:row r="529">
      <x:c r="A529" s="2" t="str">
        <x:v>LiDS-1</x:v>
      </x:c>
      <x:c r="B529" s="4" t="str">
        <x:v>LiCl</x:v>
      </x:c>
      <x:c r="C529" s="23" t="n">
        <x:v>1.92364</x:v>
      </x:c>
      <x:c r="D529" s="23" t="n">
        <x:v>11.23106</x:v>
      </x:c>
      <x:c r="E529" s="23" t="n">
        <x:f>'Parameters'!$B$2*'Parameters'!$B$3*LN(4*PI()*C529^2)</x:f>
        <x:v>9.517863040312692</x:v>
      </x:c>
      <x:c r="F529" s="23" t="n">
        <x:f>D529+E529</x:f>
        <x:v>20.74892304031269</x:v>
      </x:c>
      <x:c r="G529" s="23" t="n">
        <x:f>AVERAGE($F$544:$F$568)</x:f>
        <x:v>20.52163326430316</x:v>
      </x:c>
      <x:c r="H529" s="24" t="n">
        <x:f>F529-G529</x:f>
        <x:v>0.22728977600953115</x:v>
      </x:c>
    </x:row>
    <x:row r="530">
      <x:c r="A530" s="2" t="str">
        <x:v>LiDS-1</x:v>
      </x:c>
      <x:c r="B530" s="4" t="str">
        <x:v>LiCl</x:v>
      </x:c>
      <x:c r="C530" s="23" t="n">
        <x:v>1.935987</x:v>
      </x:c>
      <x:c r="D530" s="23" t="n">
        <x:v>11.06943</x:v>
      </x:c>
      <x:c r="E530" s="23" t="n">
        <x:f>'Parameters'!$B$2*'Parameters'!$B$3*LN(4*PI()*C530^2)</x:f>
        <x:v>9.549584019417646</x:v>
      </x:c>
      <x:c r="F530" s="23" t="n">
        <x:f>D530+E530</x:f>
        <x:v>20.619014019417648</x:v>
      </x:c>
      <x:c r="G530" s="23" t="n">
        <x:f>AVERAGE($F$544:$F$568)</x:f>
        <x:v>20.52163326430316</x:v>
      </x:c>
      <x:c r="H530" s="24" t="n">
        <x:f>F530-G530</x:f>
        <x:v>0.0973807551144894</x:v>
      </x:c>
    </x:row>
    <x:row r="531">
      <x:c r="A531" s="2" t="str">
        <x:v>LiDS-1</x:v>
      </x:c>
      <x:c r="B531" s="4" t="str">
        <x:v>LiCl</x:v>
      </x:c>
      <x:c r="C531" s="23" t="n">
        <x:v>1.948333</x:v>
      </x:c>
      <x:c r="D531" s="23" t="n">
        <x:v>11.07585</x:v>
      </x:c>
      <x:c r="E531" s="23" t="n">
        <x:f>'Parameters'!$B$2*'Parameters'!$B$3*LN(4*PI()*C531^2)</x:f>
        <x:v>9.58110079100147</x:v>
      </x:c>
      <x:c r="F531" s="23" t="n">
        <x:f>D531+E531</x:f>
        <x:v>20.65695079100147</x:v>
      </x:c>
      <x:c r="G531" s="23" t="n">
        <x:f>AVERAGE($F$544:$F$568)</x:f>
        <x:v>20.52163326430316</x:v>
      </x:c>
      <x:c r="H531" s="24" t="n">
        <x:f>F531-G531</x:f>
        <x:v>0.1353175266983122</x:v>
      </x:c>
    </x:row>
    <x:row r="532">
      <x:c r="A532" s="2" t="str">
        <x:v>LiDS-1</x:v>
      </x:c>
      <x:c r="B532" s="4" t="str">
        <x:v>LiCl</x:v>
      </x:c>
      <x:c r="C532" s="23" t="n">
        <x:v>1.96068</x:v>
      </x:c>
      <x:c r="D532" s="23" t="n">
        <x:v>11.09845</x:v>
      </x:c>
      <x:c r="E532" s="23" t="n">
        <x:f>'Parameters'!$B$2*'Parameters'!$B$3*LN(4*PI()*C532^2)</x:f>
        <x:v>9.612421008389756</x:v>
      </x:c>
      <x:c r="F532" s="23" t="n">
        <x:f>D532+E532</x:f>
        <x:v>20.710871008389756</x:v>
      </x:c>
      <x:c r="G532" s="23" t="n">
        <x:f>AVERAGE($F$544:$F$568)</x:f>
        <x:v>20.52163326430316</x:v>
      </x:c>
      <x:c r="H532" s="24" t="n">
        <x:f>F532-G532</x:f>
        <x:v>0.1892377440865971</x:v>
      </x:c>
    </x:row>
    <x:row r="533">
      <x:c r="A533" s="2" t="str">
        <x:v>LiDS-1</x:v>
      </x:c>
      <x:c r="B533" s="4" t="str">
        <x:v>LiCl</x:v>
      </x:c>
      <x:c r="C533" s="23" t="n">
        <x:v>1.973027</x:v>
      </x:c>
      <x:c r="D533" s="23" t="n">
        <x:v>11.00263</x:v>
      </x:c>
      <x:c r="E533" s="23" t="n">
        <x:f>'Parameters'!$B$2*'Parameters'!$B$3*LN(4*PI()*C533^2)</x:f>
        <x:v>9.643544610589355</x:v>
      </x:c>
      <x:c r="F533" s="23" t="n">
        <x:f>D533+E533</x:f>
        <x:v>20.646174610589355</x:v>
      </x:c>
      <x:c r="G533" s="23" t="n">
        <x:f>AVERAGE($F$544:$F$568)</x:f>
        <x:v>20.52163326430316</x:v>
      </x:c>
      <x:c r="H533" s="24" t="n">
        <x:f>F533-G533</x:f>
        <x:v>0.12454134628619684</x:v>
      </x:c>
    </x:row>
    <x:row r="534">
      <x:c r="A534" s="2" t="str">
        <x:v>LiDS-1</x:v>
      </x:c>
      <x:c r="B534" s="4" t="str">
        <x:v>LiCl</x:v>
      </x:c>
      <x:c r="C534" s="23" t="n">
        <x:v>1.985374</x:v>
      </x:c>
      <x:c r="D534" s="23" t="n">
        <x:v>10.84597</x:v>
      </x:c>
      <x:c r="E534" s="23" t="n">
        <x:f>'Parameters'!$B$2*'Parameters'!$B$3*LN(4*PI()*C534^2)</x:f>
        <x:v>9.674474050743854</x:v>
      </x:c>
      <x:c r="F534" s="23" t="n">
        <x:f>D534+E534</x:f>
        <x:v>20.520444050743855</x:v>
      </x:c>
      <x:c r="G534" s="23" t="n">
        <x:f>AVERAGE($F$544:$F$568)</x:f>
        <x:v>20.52163326430316</x:v>
      </x:c>
      <x:c r="H534" s="24" t="n">
        <x:f>F534-G534</x:f>
        <x:v>-0.0011892135593036812</x:v>
      </x:c>
    </x:row>
    <x:row r="535">
      <x:c r="A535" s="2" t="str">
        <x:v>LiDS-1</x:v>
      </x:c>
      <x:c r="B535" s="4" t="str">
        <x:v>LiCl</x:v>
      </x:c>
      <x:c r="C535" s="23" t="n">
        <x:v>1.99772</x:v>
      </x:c>
      <x:c r="D535" s="23" t="n">
        <x:v>10.95113</x:v>
      </x:c>
      <x:c r="E535" s="23" t="n">
        <x:f>'Parameters'!$B$2*'Parameters'!$B$3*LN(4*PI()*C535^2)</x:f>
        <x:v>9.705209254584318</x:v>
      </x:c>
      <x:c r="F535" s="23" t="n">
        <x:f>D535+E535</x:f>
        <x:v>20.656339254584317</x:v>
      </x:c>
      <x:c r="G535" s="23" t="n">
        <x:f>AVERAGE($F$544:$F$568)</x:f>
        <x:v>20.52163326430316</x:v>
      </x:c>
      <x:c r="H535" s="24" t="n">
        <x:f>F535-G535</x:f>
        <x:v>0.1347059902811587</x:v>
      </x:c>
    </x:row>
    <x:row r="536">
      <x:c r="A536" s="2" t="str">
        <x:v>LiDS-1</x:v>
      </x:c>
      <x:c r="B536" s="4" t="str">
        <x:v>LiCl</x:v>
      </x:c>
      <x:c r="C536" s="23" t="n">
        <x:v>2.010067</x:v>
      </x:c>
      <x:c r="D536" s="23" t="n">
        <x:v>10.72652</x:v>
      </x:c>
      <x:c r="E536" s="23" t="n">
        <x:f>'Parameters'!$B$2*'Parameters'!$B$3*LN(4*PI()*C536^2)</x:f>
        <x:v>9.735757563941005</x:v>
      </x:c>
      <x:c r="F536" s="23" t="n">
        <x:f>D536+E536</x:f>
        <x:v>20.462277563941008</x:v>
      </x:c>
      <x:c r="G536" s="23" t="n">
        <x:f>AVERAGE($F$544:$F$568)</x:f>
        <x:v>20.52163326430316</x:v>
      </x:c>
      <x:c r="H536" s="24" t="n">
        <x:f>F536-G536</x:f>
        <x:v>-0.05935570036215054</x:v>
      </x:c>
    </x:row>
    <x:row r="537">
      <x:c r="A537" s="2" t="str">
        <x:v>LiDS-1</x:v>
      </x:c>
      <x:c r="B537" s="4" t="str">
        <x:v>LiCl</x:v>
      </x:c>
      <x:c r="C537" s="23" t="n">
        <x:v>2.022414</x:v>
      </x:c>
      <x:c r="D537" s="23" t="n">
        <x:v>10.70237</x:v>
      </x:c>
      <x:c r="E537" s="23" t="n">
        <x:f>'Parameters'!$B$2*'Parameters'!$B$3*LN(4*PI()*C537^2)</x:f>
        <x:v>9.766118801199735</x:v>
      </x:c>
      <x:c r="F537" s="23" t="n">
        <x:f>D537+E537</x:f>
        <x:v>20.468488801199733</x:v>
      </x:c>
      <x:c r="G537" s="23" t="n">
        <x:f>AVERAGE($F$544:$F$568)</x:f>
        <x:v>20.52163326430316</x:v>
      </x:c>
      <x:c r="H537" s="24" t="n">
        <x:f>F537-G537</x:f>
        <x:v>-0.053144463103425466</x:v>
      </x:c>
    </x:row>
    <x:row r="538">
      <x:c r="A538" s="2" t="str">
        <x:v>LiDS-1</x:v>
      </x:c>
      <x:c r="B538" s="4" t="str">
        <x:v>LiCl</x:v>
      </x:c>
      <x:c r="C538" s="23" t="n">
        <x:v>2.034761</x:v>
      </x:c>
      <x:c r="D538" s="23" t="n">
        <x:v>10.62983</x:v>
      </x:c>
      <x:c r="E538" s="23" t="n">
        <x:f>'Parameters'!$B$2*'Parameters'!$B$3*LN(4*PI()*C538^2)</x:f>
        <x:v>9.796295243610777</x:v>
      </x:c>
      <x:c r="F538" s="23" t="n">
        <x:f>D538+E538</x:f>
        <x:v>20.426125243610777</x:v>
      </x:c>
      <x:c r="G538" s="23" t="n">
        <x:f>AVERAGE($F$544:$F$568)</x:f>
        <x:v>20.52163326430316</x:v>
      </x:c>
      <x:c r="H538" s="24" t="n">
        <x:f>F538-G538</x:f>
        <x:v>-0.09550802069238173</x:v>
      </x:c>
    </x:row>
    <x:row r="539">
      <x:c r="A539" s="2" t="str">
        <x:v>LiDS-1</x:v>
      </x:c>
      <x:c r="B539" s="4" t="str">
        <x:v>LiCl</x:v>
      </x:c>
      <x:c r="C539" s="23" t="n">
        <x:v>2.047107</x:v>
      </x:c>
      <x:c r="D539" s="23" t="n">
        <x:v>10.70448</x:v>
      </x:c>
      <x:c r="E539" s="23" t="n">
        <x:f>'Parameters'!$B$2*'Parameters'!$B$3*LN(4*PI()*C539^2)</x:f>
        <x:v>9.826286705182069</x:v>
      </x:c>
      <x:c r="F539" s="23" t="n">
        <x:f>D539+E539</x:f>
        <x:v>20.530766705182067</x:v>
      </x:c>
      <x:c r="G539" s="23" t="n">
        <x:f>AVERAGE($F$544:$F$568)</x:f>
        <x:v>20.52163326430316</x:v>
      </x:c>
      <x:c r="H539" s="24" t="n">
        <x:f>F539-G539</x:f>
        <x:v>0.009133440878908772</x:v>
      </x:c>
    </x:row>
    <x:row r="540">
      <x:c r="A540" s="2" t="str">
        <x:v>LiDS-1</x:v>
      </x:c>
      <x:c r="B540" s="4" t="str">
        <x:v>LiCl</x:v>
      </x:c>
      <x:c r="C540" s="23" t="n">
        <x:v>2.059454</x:v>
      </x:c>
      <x:c r="D540" s="23" t="n">
        <x:v>10.73181</x:v>
      </x:c>
      <x:c r="E540" s="23" t="n">
        <x:f>'Parameters'!$B$2*'Parameters'!$B$3*LN(4*PI()*C540^2)</x:f>
        <x:v>9.856100239841078</x:v>
      </x:c>
      <x:c r="F540" s="23" t="n">
        <x:f>D540+E540</x:f>
        <x:v>20.58791023984108</x:v>
      </x:c>
      <x:c r="G540" s="23" t="n">
        <x:f>AVERAGE($F$544:$F$568)</x:f>
        <x:v>20.52163326430316</x:v>
      </x:c>
      <x:c r="H540" s="24" t="n">
        <x:f>F540-G540</x:f>
        <x:v>0.06627697553792089</x:v>
      </x:c>
    </x:row>
    <x:row r="541">
      <x:c r="A541" s="2" t="str">
        <x:v>LiDS-1</x:v>
      </x:c>
      <x:c r="B541" s="4" t="str">
        <x:v>LiCl</x:v>
      </x:c>
      <x:c r="C541" s="23" t="n">
        <x:v>2.071801</x:v>
      </x:c>
      <x:c r="D541" s="23" t="n">
        <x:v>10.71292</x:v>
      </x:c>
      <x:c r="E541" s="23" t="n">
        <x:f>'Parameters'!$B$2*'Parameters'!$B$3*LN(4*PI()*C541^2)</x:f>
        <x:v>9.88573556719453</x:v>
      </x:c>
      <x:c r="F541" s="23" t="n">
        <x:f>D541+E541</x:f>
        <x:v>20.59865556719453</x:v>
      </x:c>
      <x:c r="G541" s="23" t="n">
        <x:f>AVERAGE($F$544:$F$568)</x:f>
        <x:v>20.52163326430316</x:v>
      </x:c>
      <x:c r="H541" s="24" t="n">
        <x:f>F541-G541</x:f>
        <x:v>0.07702230289137191</x:v>
      </x:c>
    </x:row>
    <x:row r="542">
      <x:c r="A542" s="2" t="str">
        <x:v>LiDS-1</x:v>
      </x:c>
      <x:c r="B542" s="4" t="str">
        <x:v>LiCl</x:v>
      </x:c>
      <x:c r="C542" s="23" t="n">
        <x:v>2.084148</x:v>
      </x:c>
      <x:c r="D542" s="23" t="n">
        <x:v>10.59649</x:v>
      </x:c>
      <x:c r="E542" s="23" t="n">
        <x:f>'Parameters'!$B$2*'Parameters'!$B$3*LN(4*PI()*C542^2)</x:f>
        <x:v>9.9151948050212</x:v>
      </x:c>
      <x:c r="F542" s="23" t="n">
        <x:f>D542+E542</x:f>
        <x:v>20.511684805021197</x:v>
      </x:c>
      <x:c r="G542" s="23" t="n">
        <x:f>AVERAGE($F$544:$F$568)</x:f>
        <x:v>20.52163326430316</x:v>
      </x:c>
      <x:c r="H542" s="24" t="n">
        <x:f>F542-G542</x:f>
        <x:v>-0.00994845928196142</x:v>
      </x:c>
    </x:row>
    <x:row r="543">
      <x:c r="A543" s="2" t="str">
        <x:v>LiDS-1</x:v>
      </x:c>
      <x:c r="B543" s="4" t="str">
        <x:v>LiCl</x:v>
      </x:c>
      <x:c r="C543" s="23" t="n">
        <x:v>2.096494</x:v>
      </x:c>
      <x:c r="D543" s="23" t="n">
        <x:v>10.60682</x:v>
      </x:c>
      <x:c r="E543" s="23" t="n">
        <x:f>'Parameters'!$B$2*'Parameters'!$B$3*LN(4*PI()*C543^2)</x:f>
        <x:v>9.94447766871278</x:v>
      </x:c>
      <x:c r="F543" s="23" t="n">
        <x:f>D543+E543</x:f>
        <x:v>20.55129766871278</x:v>
      </x:c>
      <x:c r="G543" s="23" t="n">
        <x:f>AVERAGE($F$544:$F$568)</x:f>
        <x:v>20.52163326430316</x:v>
      </x:c>
      <x:c r="H543" s="24" t="n">
        <x:f>F543-G543</x:f>
        <x:v>0.02966440440962259</x:v>
      </x:c>
    </x:row>
    <x:row r="544">
      <x:c r="A544" s="2" t="str">
        <x:v>LiDS-1</x:v>
      </x:c>
      <x:c r="B544" s="4" t="str">
        <x:v>LiCl</x:v>
      </x:c>
      <x:c r="C544" s="23" t="n">
        <x:v>2.108841</x:v>
      </x:c>
      <x:c r="D544" s="23" t="n">
        <x:v>10.53328</x:v>
      </x:c>
      <x:c r="E544" s="23" t="n">
        <x:f>'Parameters'!$B$2*'Parameters'!$B$3*LN(4*PI()*C544^2)</x:f>
        <x:v>9.973590945437657</x:v>
      </x:c>
      <x:c r="F544" s="23" t="n">
        <x:f>D544+E544</x:f>
        <x:v>20.506870945437655</x:v>
      </x:c>
      <x:c r="G544" s="23" t="n">
        <x:f>AVERAGE($F$544:$F$568)</x:f>
        <x:v>20.52163326430316</x:v>
      </x:c>
      <x:c r="H544" s="24" t="n">
        <x:f>F544-G544</x:f>
        <x:v>-0.014762318865503943</x:v>
      </x:c>
    </x:row>
    <x:row r="545">
      <x:c r="A545" s="2" t="str">
        <x:v>LiDS-1</x:v>
      </x:c>
      <x:c r="B545" s="4" t="str">
        <x:v>LiCl</x:v>
      </x:c>
      <x:c r="C545" s="23" t="n">
        <x:v>2.121188</x:v>
      </x:c>
      <x:c r="D545" s="23" t="n">
        <x:v>10.69402</x:v>
      </x:c>
      <x:c r="E545" s="23" t="n">
        <x:f>'Parameters'!$B$2*'Parameters'!$B$3*LN(4*PI()*C545^2)</x:f>
        <x:v>10.002534264143117</x:v>
      </x:c>
      <x:c r="F545" s="23" t="n">
        <x:f>D545+E545</x:f>
        <x:v>20.696554264143117</x:v>
      </x:c>
      <x:c r="G545" s="23" t="n">
        <x:f>AVERAGE($F$544:$F$568)</x:f>
        <x:v>20.52163326430316</x:v>
      </x:c>
      <x:c r="H545" s="24" t="n">
        <x:f>F545-G545</x:f>
        <x:v>0.17492099983995857</x:v>
      </x:c>
    </x:row>
    <x:row r="546">
      <x:c r="A546" s="2" t="str">
        <x:v>LiDS-1</x:v>
      </x:c>
      <x:c r="B546" s="4" t="str">
        <x:v>LiCl</x:v>
      </x:c>
      <x:c r="C546" s="23" t="n">
        <x:v>2.133535</x:v>
      </x:c>
      <x:c r="D546" s="23" t="n">
        <x:v>10.58765</x:v>
      </x:c>
      <x:c r="E546" s="23" t="n">
        <x:f>'Parameters'!$B$2*'Parameters'!$B$3*LN(4*PI()*C546^2)</x:f>
        <x:v>10.031309597685624</x:v>
      </x:c>
      <x:c r="F546" s="23" t="n">
        <x:f>D546+E546</x:f>
        <x:v>20.618959597685624</x:v>
      </x:c>
      <x:c r="G546" s="23" t="n">
        <x:f>AVERAGE($F$544:$F$568)</x:f>
        <x:v>20.52163326430316</x:v>
      </x:c>
      <x:c r="H546" s="24" t="n">
        <x:f>F546-G546</x:f>
        <x:v>0.09732633338246544</x:v>
      </x:c>
    </x:row>
    <x:row r="547">
      <x:c r="A547" s="2" t="str">
        <x:v>LiDS-1</x:v>
      </x:c>
      <x:c r="B547" s="4" t="str">
        <x:v>LiCl</x:v>
      </x:c>
      <x:c r="C547" s="23" t="n">
        <x:v>2.145881</x:v>
      </x:c>
      <x:c r="D547" s="23" t="n">
        <x:v>10.48747</x:v>
      </x:c>
      <x:c r="E547" s="23" t="n">
        <x:f>'Parameters'!$B$2*'Parameters'!$B$3*LN(4*PI()*C547^2)</x:f>
        <x:v>10.05991657433631</x:v>
      </x:c>
      <x:c r="F547" s="23" t="n">
        <x:f>D547+E547</x:f>
        <x:v>20.547386574336308</x:v>
      </x:c>
      <x:c r="G547" s="23" t="n">
        <x:f>AVERAGE($F$544:$F$568)</x:f>
        <x:v>20.52163326430316</x:v>
      </x:c>
      <x:c r="H547" s="24" t="n">
        <x:f>F547-G547</x:f>
        <x:v>0.02575331003314929</x:v>
      </x:c>
    </x:row>
    <x:row r="548">
      <x:c r="A548" s="2" t="str">
        <x:v>LiDS-1</x:v>
      </x:c>
      <x:c r="B548" s="4" t="str">
        <x:v>LiCl</x:v>
      </x:c>
      <x:c r="C548" s="23" t="n">
        <x:v>2.158228</x:v>
      </x:c>
      <x:c r="D548" s="23" t="n">
        <x:v>10.58769</x:v>
      </x:c>
      <x:c r="E548" s="23" t="n">
        <x:f>'Parameters'!$B$2*'Parameters'!$B$3*LN(4*PI()*C548^2)</x:f>
        <x:v>10.08836173351196</x:v>
      </x:c>
      <x:c r="F548" s="23" t="n">
        <x:f>D548+E548</x:f>
        <x:v>20.67605173351196</x:v>
      </x:c>
      <x:c r="G548" s="23" t="n">
        <x:f>AVERAGE($F$544:$F$568)</x:f>
        <x:v>20.52163326430316</x:v>
      </x:c>
      <x:c r="H548" s="24" t="n">
        <x:f>F548-G548</x:f>
        <x:v>0.1544184692088031</x:v>
      </x:c>
    </x:row>
    <x:row r="549">
      <x:c r="A549" s="2" t="str">
        <x:v>LiDS-1</x:v>
      </x:c>
      <x:c r="B549" s="4" t="str">
        <x:v>LiCl</x:v>
      </x:c>
      <x:c r="C549" s="23" t="n">
        <x:v>2.170575</x:v>
      </x:c>
      <x:c r="D549" s="23" t="n">
        <x:v>10.46788</x:v>
      </x:c>
      <x:c r="E549" s="23" t="n">
        <x:f>'Parameters'!$B$2*'Parameters'!$B$3*LN(4*PI()*C549^2)</x:f>
        <x:v>10.11664462413869</x:v>
      </x:c>
      <x:c r="F549" s="23" t="n">
        <x:f>D549+E549</x:f>
        <x:v>20.584524624138687</x:v>
      </x:c>
      <x:c r="G549" s="23" t="n">
        <x:f>AVERAGE($F$544:$F$568)</x:f>
        <x:v>20.52163326430316</x:v>
      </x:c>
      <x:c r="H549" s="24" t="n">
        <x:f>F549-G549</x:f>
        <x:v>0.06289135983552896</x:v>
      </x:c>
    </x:row>
    <x:row r="550">
      <x:c r="A550" s="2" t="str">
        <x:v>LiDS-1</x:v>
      </x:c>
      <x:c r="B550" s="4" t="str">
        <x:v>LiCl</x:v>
      </x:c>
      <x:c r="C550" s="23" t="n">
        <x:v>2.182922</x:v>
      </x:c>
      <x:c r="D550" s="23" t="n">
        <x:v>10.44088</x:v>
      </x:c>
      <x:c r="E550" s="23" t="n">
        <x:f>'Parameters'!$B$2*'Parameters'!$B$3*LN(4*PI()*C550^2)</x:f>
        <x:v>10.144767087077742</x:v>
      </x:c>
      <x:c r="F550" s="23" t="n">
        <x:f>D550+E550</x:f>
        <x:v>20.585647087077742</x:v>
      </x:c>
      <x:c r="G550" s="23" t="n">
        <x:f>AVERAGE($F$544:$F$568)</x:f>
        <x:v>20.52163326430316</x:v>
      </x:c>
      <x:c r="H550" s="24" t="n">
        <x:f>F550-G550</x:f>
        <x:v>0.06401382277458367</x:v>
      </x:c>
    </x:row>
    <x:row r="551">
      <x:c r="A551" s="2" t="str">
        <x:v>LiDS-1</x:v>
      </x:c>
      <x:c r="B551" s="4" t="str">
        <x:v>LiCl</x:v>
      </x:c>
      <x:c r="C551" s="23" t="n">
        <x:v>2.195268</x:v>
      </x:c>
      <x:c r="D551" s="23" t="n">
        <x:v>10.36277</x:v>
      </x:c>
      <x:c r="E551" s="23" t="n">
        <x:f>'Parameters'!$B$2*'Parameters'!$B$3*LN(4*PI()*C551^2)</x:f>
        <x:v>10.172728673586887</x:v>
      </x:c>
      <x:c r="F551" s="23" t="n">
        <x:f>D551+E551</x:f>
        <x:v>20.535498673586886</x:v>
      </x:c>
      <x:c r="G551" s="23" t="n">
        <x:f>AVERAGE($F$544:$F$568)</x:f>
        <x:v>20.52163326430316</x:v>
      </x:c>
      <x:c r="H551" s="24" t="n">
        <x:f>F551-G551</x:f>
        <x:v>0.013865409283727814</x:v>
      </x:c>
    </x:row>
    <x:row r="552">
      <x:c r="A552" s="2" t="str">
        <x:v>LiDS-1</x:v>
      </x:c>
      <x:c r="B552" s="4" t="str">
        <x:v>LiCl</x:v>
      </x:c>
      <x:c r="C552" s="23" t="n">
        <x:v>2.207615</x:v>
      </x:c>
      <x:c r="D552" s="23" t="n">
        <x:v>10.21701</x:v>
      </x:c>
      <x:c r="E552" s="23" t="n">
        <x:f>'Parameters'!$B$2*'Parameters'!$B$3*LN(4*PI()*C552^2)</x:f>
        <x:v>10.200535692468614</x:v>
      </x:c>
      <x:c r="F552" s="23" t="n">
        <x:f>D552+E552</x:f>
        <x:v>20.417545692468615</x:v>
      </x:c>
      <x:c r="G552" s="23" t="n">
        <x:f>AVERAGE($F$544:$F$568)</x:f>
        <x:v>20.52163326430316</x:v>
      </x:c>
      <x:c r="H552" s="24" t="n">
        <x:f>F552-G552</x:f>
        <x:v>-0.10408757183454398</x:v>
      </x:c>
    </x:row>
    <x:row r="553">
      <x:c r="A553" s="2" t="str">
        <x:v>LiDS-1</x:v>
      </x:c>
      <x:c r="B553" s="4" t="str">
        <x:v>LiCl</x:v>
      </x:c>
      <x:c r="C553" s="23" t="n">
        <x:v>2.219962</x:v>
      </x:c>
      <x:c r="D553" s="23" t="n">
        <x:v>10.16267</x:v>
      </x:c>
      <x:c r="E553" s="23" t="n">
        <x:f>'Parameters'!$B$2*'Parameters'!$B$3*LN(4*PI()*C553^2)</x:f>
        <x:v>10.22818762198787</x:v>
      </x:c>
      <x:c r="F553" s="23" t="n">
        <x:f>D553+E553</x:f>
        <x:v>20.39085762198787</x:v>
      </x:c>
      <x:c r="G553" s="23" t="n">
        <x:f>AVERAGE($F$544:$F$568)</x:f>
        <x:v>20.52163326430316</x:v>
      </x:c>
      <x:c r="H553" s="24" t="n">
        <x:f>F553-G553</x:f>
        <x:v>-0.13077564231528882</x:v>
      </x:c>
    </x:row>
    <x:row r="554">
      <x:c r="A554" s="2" t="str">
        <x:v>LiDS-1</x:v>
      </x:c>
      <x:c r="B554" s="4" t="str">
        <x:v>LiCl</x:v>
      </x:c>
      <x:c r="C554" s="23" t="n">
        <x:v>2.232309</x:v>
      </x:c>
      <x:c r="D554" s="23" t="n">
        <x:v>10.11262</x:v>
      </x:c>
      <x:c r="E554" s="23" t="n">
        <x:f>'Parameters'!$B$2*'Parameters'!$B$3*LN(4*PI()*C554^2)</x:f>
        <x:v>10.255686182527947</x:v>
      </x:c>
      <x:c r="F554" s="23" t="n">
        <x:f>D554+E554</x:f>
        <x:v>20.368306182527945</x:v>
      </x:c>
      <x:c r="G554" s="23" t="n">
        <x:f>AVERAGE($F$544:$F$568)</x:f>
        <x:v>20.52163326430316</x:v>
      </x:c>
      <x:c r="H554" s="24" t="n">
        <x:f>F554-G554</x:f>
        <x:v>-0.15332708177521326</x:v>
      </x:c>
    </x:row>
    <x:row r="555">
      <x:c r="A555" s="2" t="str">
        <x:v>LiDS-1</x:v>
      </x:c>
      <x:c r="B555" s="4" t="str">
        <x:v>LiCl</x:v>
      </x:c>
      <x:c r="C555" s="23" t="n">
        <x:v>2.244655</x:v>
      </x:c>
      <x:c r="D555" s="23" t="n">
        <x:v>10.12429</x:v>
      </x:c>
      <x:c r="E555" s="23" t="n">
        <x:f>'Parameters'!$B$2*'Parameters'!$B$3*LN(4*PI()*C555^2)</x:f>
        <x:v>10.28303085724013</x:v>
      </x:c>
      <x:c r="F555" s="23" t="n">
        <x:f>D555+E555</x:f>
        <x:v>20.40732085724013</x:v>
      </x:c>
      <x:c r="G555" s="23" t="n">
        <x:f>AVERAGE($F$544:$F$568)</x:f>
        <x:v>20.52163326430316</x:v>
      </x:c>
      <x:c r="H555" s="24" t="n">
        <x:f>F555-G555</x:f>
        <x:v>-0.11431240706302859</x:v>
      </x:c>
    </x:row>
    <x:row r="556">
      <x:c r="A556" s="2" t="str">
        <x:v>LiDS-1</x:v>
      </x:c>
      <x:c r="B556" s="4" t="str">
        <x:v>LiCl</x:v>
      </x:c>
      <x:c r="C556" s="23" t="n">
        <x:v>2.257002</x:v>
      </x:c>
      <x:c r="D556" s="23" t="n">
        <x:v>10.0263</x:v>
      </x:c>
      <x:c r="E556" s="23" t="n">
        <x:f>'Parameters'!$B$2*'Parameters'!$B$3*LN(4*PI()*C556^2)</x:f>
        <x:v>10.310227739807079</x:v>
      </x:c>
      <x:c r="F556" s="23" t="n">
        <x:f>D556+E556</x:f>
        <x:v>20.33652773980708</x:v>
      </x:c>
      <x:c r="G556" s="23" t="n">
        <x:f>AVERAGE($F$544:$F$568)</x:f>
        <x:v>20.52163326430316</x:v>
      </x:c>
      <x:c r="H556" s="24" t="n">
        <x:f>F556-G556</x:f>
        <x:v>-0.18510552449607687</x:v>
      </x:c>
    </x:row>
    <x:row r="557">
      <x:c r="A557" s="2" t="str">
        <x:v>LiDS-1</x:v>
      </x:c>
      <x:c r="B557" s="4" t="str">
        <x:v>LiCl</x:v>
      </x:c>
      <x:c r="C557" s="23" t="n">
        <x:v>2.269349</x:v>
      </x:c>
      <x:c r="D557" s="23" t="n">
        <x:v>10.03005</x:v>
      </x:c>
      <x:c r="E557" s="23" t="n">
        <x:f>'Parameters'!$B$2*'Parameters'!$B$3*LN(4*PI()*C557^2)</x:f>
        <x:v>10.337276246086192</x:v>
      </x:c>
      <x:c r="F557" s="23" t="n">
        <x:f>D557+E557</x:f>
        <x:v>20.367326246086193</x:v>
      </x:c>
      <x:c r="G557" s="23" t="n">
        <x:f>AVERAGE($F$544:$F$568)</x:f>
        <x:v>20.52163326430316</x:v>
      </x:c>
      <x:c r="H557" s="24" t="n">
        <x:f>F557-G557</x:f>
        <x:v>-0.15430701821696502</x:v>
      </x:c>
    </x:row>
    <x:row r="558">
      <x:c r="A558" s="2" t="str">
        <x:v>LiDS-1</x:v>
      </x:c>
      <x:c r="B558" s="4" t="str">
        <x:v>LiCl</x:v>
      </x:c>
      <x:c r="C558" s="23" t="n">
        <x:v>2.281696</x:v>
      </x:c>
      <x:c r="D558" s="23" t="n">
        <x:v>10.04601</x:v>
      </x:c>
      <x:c r="E558" s="23" t="n">
        <x:f>'Parameters'!$B$2*'Parameters'!$B$3*LN(4*PI()*C558^2)</x:f>
        <x:v>10.36417798627081</x:v>
      </x:c>
      <x:c r="F558" s="23" t="n">
        <x:f>D558+E558</x:f>
        <x:v>20.410187986270813</x:v>
      </x:c>
      <x:c r="G558" s="23" t="n">
        <x:f>AVERAGE($F$544:$F$568)</x:f>
        <x:v>20.52163326430316</x:v>
      </x:c>
      <x:c r="H558" s="24" t="n">
        <x:f>F558-G558</x:f>
        <x:v>-0.11144527803234539</x:v>
      </x:c>
    </x:row>
    <x:row r="559">
      <x:c r="A559" s="2" t="str">
        <x:v>LiDS-1</x:v>
      </x:c>
      <x:c r="B559" s="4" t="str">
        <x:v>LiCl</x:v>
      </x:c>
      <x:c r="C559" s="23" t="n">
        <x:v>2.294042</x:v>
      </x:c>
      <x:c r="D559" s="23" t="n">
        <x:v>9.999466</x:v>
      </x:c>
      <x:c r="E559" s="23" t="n">
        <x:f>'Parameters'!$B$2*'Parameters'!$B$3*LN(4*PI()*C559^2)</x:f>
        <x:v>10.390932383271887</x:v>
      </x:c>
      <x:c r="F559" s="23" t="n">
        <x:f>D559+E559</x:f>
        <x:v>20.390398383271886</x:v>
      </x:c>
      <x:c r="G559" s="23" t="n">
        <x:f>AVERAGE($F$544:$F$568)</x:f>
        <x:v>20.52163326430316</x:v>
      </x:c>
      <x:c r="H559" s="24" t="n">
        <x:f>F559-G559</x:f>
        <x:v>-0.131234881031272</x:v>
      </x:c>
    </x:row>
    <x:row r="560">
      <x:c r="A560" s="2" t="str">
        <x:v>LiDS-1</x:v>
      </x:c>
      <x:c r="B560" s="4" t="str">
        <x:v>LiCl</x:v>
      </x:c>
      <x:c r="C560" s="23" t="n">
        <x:v>2.306389</x:v>
      </x:c>
      <x:c r="D560" s="23" t="n">
        <x:v>10.18635</x:v>
      </x:c>
      <x:c r="E560" s="23" t="n">
        <x:f>'Parameters'!$B$2*'Parameters'!$B$3*LN(4*PI()*C560^2)</x:f>
        <x:v>10.417545329698838</x:v>
      </x:c>
      <x:c r="F560" s="23" t="n">
        <x:f>D560+E560</x:f>
        <x:v>20.603895329698837</x:v>
      </x:c>
      <x:c r="G560" s="23" t="n">
        <x:f>AVERAGE($F$544:$F$568)</x:f>
        <x:v>20.52163326430316</x:v>
      </x:c>
      <x:c r="H560" s="24" t="n">
        <x:f>F560-G560</x:f>
        <x:v>0.08226206539567826</x:v>
      </x:c>
    </x:row>
    <x:row r="561">
      <x:c r="A561" s="2" t="str">
        <x:v>LiDS-1</x:v>
      </x:c>
      <x:c r="B561" s="4" t="str">
        <x:v>LiCl</x:v>
      </x:c>
      <x:c r="C561" s="23" t="n">
        <x:v>2.318736</x:v>
      </x:c>
      <x:c r="D561" s="23" t="n">
        <x:v>9.95073</x:v>
      </x:c>
      <x:c r="E561" s="23" t="n">
        <x:f>'Parameters'!$B$2*'Parameters'!$B$3*LN(4*PI()*C561^2)</x:f>
        <x:v>10.44401618629476</x:v>
      </x:c>
      <x:c r="F561" s="23" t="n">
        <x:f>D561+E561</x:f>
        <x:v>20.39474618629476</x:v>
      </x:c>
      <x:c r="G561" s="23" t="n">
        <x:f>AVERAGE($F$544:$F$568)</x:f>
        <x:v>20.52163326430316</x:v>
      </x:c>
      <x:c r="H561" s="24" t="n">
        <x:f>F561-G561</x:f>
        <x:v>-0.12688707800839794</x:v>
      </x:c>
    </x:row>
    <x:row r="562">
      <x:c r="A562" s="2" t="str">
        <x:v>LiDS-1</x:v>
      </x:c>
      <x:c r="B562" s="4" t="str">
        <x:v>LiCl</x:v>
      </x:c>
      <x:c r="C562" s="23" t="n">
        <x:v>2.331082</x:v>
      </x:c>
      <x:c r="D562" s="23" t="n">
        <x:v>10.04353</x:v>
      </x:c>
      <x:c r="E562" s="23" t="n">
        <x:f>'Parameters'!$B$2*'Parameters'!$B$3*LN(4*PI()*C562^2)</x:f>
        <x:v>10.470344335403906</x:v>
      </x:c>
      <x:c r="F562" s="23" t="n">
        <x:f>D562+E562</x:f>
        <x:v>20.513874335403905</x:v>
      </x:c>
      <x:c r="G562" s="23" t="n">
        <x:f>AVERAGE($F$544:$F$568)</x:f>
        <x:v>20.52163326430316</x:v>
      </x:c>
      <x:c r="H562" s="24" t="n">
        <x:f>F562-G562</x:f>
        <x:v>-0.007758928899253448</x:v>
      </x:c>
    </x:row>
    <x:row r="563">
      <x:c r="A563" s="2" t="str">
        <x:v>LiDS-1</x:v>
      </x:c>
      <x:c r="B563" s="4" t="str">
        <x:v>LiCl</x:v>
      </x:c>
      <x:c r="C563" s="23" t="n">
        <x:v>2.343429</x:v>
      </x:c>
      <x:c r="D563" s="23" t="n">
        <x:v>10.0289</x:v>
      </x:c>
      <x:c r="E563" s="23" t="n">
        <x:f>'Parameters'!$B$2*'Parameters'!$B$3*LN(4*PI()*C563^2)</x:f>
        <x:v>10.496535527274101</x:v>
      </x:c>
      <x:c r="F563" s="23" t="n">
        <x:f>D563+E563</x:f>
        <x:v>20.5254355272741</x:v>
      </x:c>
      <x:c r="G563" s="23" t="n">
        <x:f>AVERAGE($F$544:$F$568)</x:f>
        <x:v>20.52163326430316</x:v>
      </x:c>
      <x:c r="H563" s="24" t="n">
        <x:f>F563-G563</x:f>
        <x:v>0.0038022629709431044</x:v>
      </x:c>
    </x:row>
    <x:row r="564">
      <x:c r="A564" s="2" t="str">
        <x:v>LiDS-1</x:v>
      </x:c>
      <x:c r="B564" s="4" t="str">
        <x:v>LiCl</x:v>
      </x:c>
      <x:c r="C564" s="23" t="n">
        <x:v>2.355776</x:v>
      </x:c>
      <x:c r="D564" s="23" t="n">
        <x:v>9.970094</x:v>
      </x:c>
      <x:c r="E564" s="23" t="n">
        <x:f>'Parameters'!$B$2*'Parameters'!$B$3*LN(4*PI()*C564^2)</x:f>
        <x:v>10.52258908559211</x:v>
      </x:c>
      <x:c r="F564" s="23" t="n">
        <x:f>D564+E564</x:f>
        <x:v>20.49268308559211</x:v>
      </x:c>
      <x:c r="G564" s="23" t="n">
        <x:f>AVERAGE($F$544:$F$568)</x:f>
        <x:v>20.52163326430316</x:v>
      </x:c>
      <x:c r="H564" s="24" t="n">
        <x:f>F564-G564</x:f>
        <x:v>-0.028950178711049546</x:v>
      </x:c>
    </x:row>
    <x:row r="565">
      <x:c r="A565" s="2" t="str">
        <x:v>LiDS-1</x:v>
      </x:c>
      <x:c r="B565" s="4" t="str">
        <x:v>LiCl</x:v>
      </x:c>
      <x:c r="C565" s="23" t="n">
        <x:v>2.368123</x:v>
      </x:c>
      <x:c r="D565" s="23" t="n">
        <x:v>10.03398</x:v>
      </x:c>
      <x:c r="E565" s="23" t="n">
        <x:f>'Parameters'!$B$2*'Parameters'!$B$3*LN(4*PI()*C565^2)</x:f>
        <x:v>10.548506449316003</x:v>
      </x:c>
      <x:c r="F565" s="23" t="n">
        <x:f>D565+E565</x:f>
        <x:v>20.582486449316</x:v>
      </x:c>
      <x:c r="G565" s="23" t="n">
        <x:f>AVERAGE($F$544:$F$568)</x:f>
        <x:v>20.52163326430316</x:v>
      </x:c>
      <x:c r="H565" s="24" t="n">
        <x:f>F565-G565</x:f>
        <x:v>0.060853185012842204</x:v>
      </x:c>
    </x:row>
    <x:row r="566">
      <x:c r="A566" s="2" t="str">
        <x:v>LiDS-1</x:v>
      </x:c>
      <x:c r="B566" s="4" t="str">
        <x:v>LiCl</x:v>
      </x:c>
      <x:c r="C566" s="23" t="n">
        <x:v>2.380469</x:v>
      </x:c>
      <x:c r="D566" s="23" t="n">
        <x:v>9.97337</x:v>
      </x:c>
      <x:c r="E566" s="23" t="n">
        <x:f>'Parameters'!$B$2*'Parameters'!$B$3*LN(4*PI()*C566^2)</x:f>
        <x:v>10.574286952208386</x:v>
      </x:c>
      <x:c r="F566" s="23" t="n">
        <x:f>D566+E566</x:f>
        <x:v>20.547656952208385</x:v>
      </x:c>
      <x:c r="G566" s="23" t="n">
        <x:f>AVERAGE($F$544:$F$568)</x:f>
        <x:v>20.52163326430316</x:v>
      </x:c>
      <x:c r="H566" s="24" t="n">
        <x:f>F566-G566</x:f>
        <x:v>0.026023687905226467</x:v>
      </x:c>
    </x:row>
    <x:row r="567">
      <x:c r="A567" s="2" t="str">
        <x:v>LiDS-1</x:v>
      </x:c>
      <x:c r="B567" s="4" t="str">
        <x:v>LiCl</x:v>
      </x:c>
      <x:c r="C567" s="23" t="n">
        <x:v>2.392816</x:v>
      </x:c>
      <x:c r="D567" s="23" t="n">
        <x:v>10.18522</x:v>
      </x:c>
      <x:c r="E567" s="23" t="n">
        <x:f>'Parameters'!$B$2*'Parameters'!$B$3*LN(4*PI()*C567^2)</x:f>
        <x:v>10.59993616503323</x:v>
      </x:c>
      <x:c r="F567" s="23" t="n">
        <x:f>D567+E567</x:f>
        <x:v>20.78515616503323</x:v>
      </x:c>
      <x:c r="G567" s="23" t="n">
        <x:f>AVERAGE($F$544:$F$568)</x:f>
        <x:v>20.52163326430316</x:v>
      </x:c>
      <x:c r="H567" s="24" t="n">
        <x:f>F567-G567</x:f>
        <x:v>0.2635229007300701</x:v>
      </x:c>
    </x:row>
    <x:row r="568">
      <x:c r="A568" s="2" t="str">
        <x:v>LiDS-1</x:v>
      </x:c>
      <x:c r="B568" s="4" t="str">
        <x:v>LiCl</x:v>
      </x:c>
      <x:c r="C568" s="23" t="n">
        <x:v>2.405163</x:v>
      </x:c>
      <x:c r="D568" s="23" t="n">
        <x:v>10.12948</x:v>
      </x:c>
      <x:c r="E568" s="23" t="n">
        <x:f>'Parameters'!$B$2*'Parameters'!$B$3*LN(4*PI()*C568^2)</x:f>
        <x:v>10.625453367179196</x:v>
      </x:c>
      <x:c r="F568" s="23" t="n">
        <x:f>D568+E568</x:f>
        <x:v>20.754933367179195</x:v>
      </x:c>
      <x:c r="G568" s="23" t="n">
        <x:f>AVERAGE($F$544:$F$568)</x:f>
        <x:v>20.52163326430316</x:v>
      </x:c>
      <x:c r="H568" s="24" t="n">
        <x:f>F568-G568</x:f>
        <x:v>0.23330010287603642</x:v>
      </x:c>
    </x:row>
    <x:row r="569">
      <x:c r="A569" s="2" t="str">
        <x:v>LiDS-1</x:v>
      </x:c>
      <x:c r="B569" s="4" t="str">
        <x:v>LiCl</x:v>
      </x:c>
      <x:c r="C569" s="23" t="n">
        <x:v>2.41751</x:v>
      </x:c>
      <x:c r="D569" s="23" t="n">
        <x:v>10.04766</x:v>
      </x:c>
      <x:c r="E569" s="23" t="n">
        <x:f>'Parameters'!$B$2*'Parameters'!$B$3*LN(4*PI()*C569^2)</x:f>
        <x:v>10.650839910549344</x:v>
      </x:c>
      <x:c r="F569" s="23" t="n">
        <x:f>D569+E569</x:f>
        <x:v>20.698499910549344</x:v>
      </x:c>
      <x:c r="G569" s="23" t="n">
        <x:f>AVERAGE($F$544:$F$568)</x:f>
        <x:v>20.52163326430316</x:v>
      </x:c>
      <x:c r="H569" s="24" t="n">
        <x:f>F569-G569</x:f>
        <x:v>0.17686664624618587</x:v>
      </x:c>
    </x:row>
    <x:row r="570">
      <x:c r="A570" s="2" t="str">
        <x:v>LiDS-1</x:v>
      </x:c>
      <x:c r="B570" s="4" t="str">
        <x:v>LiCl</x:v>
      </x:c>
      <x:c r="C570" s="23" t="n">
        <x:v>2.429856</x:v>
      </x:c>
      <x:c r="D570" s="23" t="n">
        <x:v>10.09069</x:v>
      </x:c>
      <x:c r="E570" s="23" t="n">
        <x:f>'Parameters'!$B$2*'Parameters'!$B$3*LN(4*PI()*C570^2)</x:f>
        <x:v>10.676095085971152</x:v>
      </x:c>
      <x:c r="F570" s="23" t="n">
        <x:f>D570+E570</x:f>
        <x:v>20.76678508597115</x:v>
      </x:c>
      <x:c r="G570" s="23" t="n">
        <x:f>AVERAGE($F$544:$F$568)</x:f>
        <x:v>20.52163326430316</x:v>
      </x:c>
      <x:c r="H570" s="24" t="n">
        <x:f>F570-G570</x:f>
        <x:v>0.2451518216679922</x:v>
      </x:c>
    </x:row>
    <x:row r="571">
      <x:c r="A571" s="2" t="str">
        <x:v>LiDS-1</x:v>
      </x:c>
      <x:c r="B571" s="4" t="str">
        <x:v>LiCl</x:v>
      </x:c>
      <x:c r="C571" s="23" t="n">
        <x:v>2.442203</x:v>
      </x:c>
      <x:c r="D571" s="23" t="n">
        <x:v>9.996571</x:v>
      </x:c>
      <x:c r="E571" s="23" t="n">
        <x:f>'Parameters'!$B$2*'Parameters'!$B$3*LN(4*PI()*C571^2)</x:f>
        <x:v>10.701224295588483</x:v>
      </x:c>
      <x:c r="F571" s="23" t="n">
        <x:f>D571+E571</x:f>
        <x:v>20.697795295588485</x:v>
      </x:c>
      <x:c r="G571" s="23" t="n">
        <x:f>AVERAGE($F$544:$F$568)</x:f>
        <x:v>20.52163326430316</x:v>
      </x:c>
      <x:c r="H571" s="24" t="n">
        <x:f>F571-G571</x:f>
        <x:v>0.17616203128532604</x:v>
      </x:c>
    </x:row>
    <x:row r="572">
      <x:c r="A572" s="2" t="str">
        <x:v>LiDS-1</x:v>
      </x:c>
      <x:c r="B572" s="4" t="str">
        <x:v>LiCl</x:v>
      </x:c>
      <x:c r="C572" s="23" t="n">
        <x:v>2.45455</x:v>
      </x:c>
      <x:c r="D572" s="23" t="n">
        <x:v>9.986308</x:v>
      </x:c>
      <x:c r="E572" s="23" t="n">
        <x:f>'Parameters'!$B$2*'Parameters'!$B$3*LN(4*PI()*C572^2)</x:f>
        <x:v>10.726226779733004</x:v>
      </x:c>
      <x:c r="F572" s="23" t="n">
        <x:f>D572+E572</x:f>
        <x:v>20.712534779733005</x:v>
      </x:c>
      <x:c r="G572" s="23" t="n">
        <x:f>AVERAGE($F$544:$F$568)</x:f>
        <x:v>20.52163326430316</x:v>
      </x:c>
      <x:c r="H572" s="24" t="n">
        <x:f>F572-G572</x:f>
        <x:v>0.19090151542984657</x:v>
      </x:c>
    </x:row>
    <x:row r="573">
      <x:c r="A573" s="2" t="str">
        <x:v>LiDS-1</x:v>
      </x:c>
      <x:c r="B573" s="4" t="str">
        <x:v>LiCl</x:v>
      </x:c>
      <x:c r="C573" s="23" t="n">
        <x:v>2.466897</x:v>
      </x:c>
      <x:c r="D573" s="23" t="n">
        <x:v>9.876981</x:v>
      </x:c>
      <x:c r="E573" s="23" t="n">
        <x:f>'Parameters'!$B$2*'Parameters'!$B$3*LN(4*PI()*C573^2)</x:f>
        <x:v>10.751103810135824</x:v>
      </x:c>
      <x:c r="F573" s="23" t="n">
        <x:f>D573+E573</x:f>
        <x:v>20.628084810135825</x:v>
      </x:c>
      <x:c r="G573" s="23" t="n">
        <x:f>AVERAGE($F$544:$F$568)</x:f>
        <x:v>20.52163326430316</x:v>
      </x:c>
      <x:c r="H573" s="24" t="n">
        <x:f>F573-G573</x:f>
        <x:v>0.10645154583266603</x:v>
      </x:c>
    </x:row>
    <x:row r="574">
      <x:c r="A574" s="2" t="str">
        <x:v>LiDS-1</x:v>
      </x:c>
      <x:c r="B574" s="4" t="str">
        <x:v>LiCl</x:v>
      </x:c>
      <x:c r="C574" s="23" t="n">
        <x:v>2.479243</x:v>
      </x:c>
      <x:c r="D574" s="23" t="n">
        <x:v>9.99123</x:v>
      </x:c>
      <x:c r="E574" s="23" t="n">
        <x:f>'Parameters'!$B$2*'Parameters'!$B$3*LN(4*PI()*C574^2)</x:f>
        <x:v>10.775854639711334</x:v>
      </x:c>
      <x:c r="F574" s="23" t="n">
        <x:f>D574+E574</x:f>
        <x:v>20.767084639711335</x:v>
      </x:c>
      <x:c r="G574" s="23" t="n">
        <x:f>AVERAGE($F$544:$F$568)</x:f>
        <x:v>20.52163326430316</x:v>
      </x:c>
      <x:c r="H574" s="24" t="n">
        <x:f>F574-G574</x:f>
        <x:v>0.24545137540817663</x:v>
      </x:c>
    </x:row>
    <x:row r="575">
      <x:c r="A575" s="2" t="str">
        <x:v>LiDS-1</x:v>
      </x:c>
      <x:c r="B575" s="4" t="str">
        <x:v>LiCl</x:v>
      </x:c>
      <x:c r="C575" s="23" t="n">
        <x:v>2.49159</x:v>
      </x:c>
      <x:c r="D575" s="23" t="n">
        <x:v>9.965398</x:v>
      </x:c>
      <x:c r="E575" s="23" t="n">
        <x:f>'Parameters'!$B$2*'Parameters'!$B$3*LN(4*PI()*C575^2)</x:f>
        <x:v>10.80048451192112</x:v>
      </x:c>
      <x:c r="F575" s="23" t="n">
        <x:f>D575+E575</x:f>
        <x:v>20.76588251192112</x:v>
      </x:c>
      <x:c r="G575" s="23" t="n">
        <x:f>AVERAGE($F$544:$F$568)</x:f>
        <x:v>20.52163326430316</x:v>
      </x:c>
      <x:c r="H575" s="24" t="n">
        <x:f>F575-G575</x:f>
        <x:v>0.24424924761796163</x:v>
      </x:c>
    </x:row>
    <x:row r="576">
      <x:c r="A576" s="2" t="str">
        <x:v>LiDS-1</x:v>
      </x:c>
      <x:c r="B576" s="4" t="str">
        <x:v>LiCl</x:v>
      </x:c>
      <x:c r="C576" s="23" t="n">
        <x:v>2.503937</x:v>
      </x:c>
      <x:c r="D576" s="23" t="n">
        <x:v>9.996735</x:v>
      </x:c>
      <x:c r="E576" s="23" t="n">
        <x:f>'Parameters'!$B$2*'Parameters'!$B$3*LN(4*PI()*C576^2)</x:f>
        <x:v>10.824992632702578</x:v>
      </x:c>
      <x:c r="F576" s="23" t="n">
        <x:f>D576+E576</x:f>
        <x:v>20.821727632702576</x:v>
      </x:c>
      <x:c r="G576" s="23" t="n">
        <x:f>AVERAGE($F$544:$F$568)</x:f>
        <x:v>20.52163326430316</x:v>
      </x:c>
      <x:c r="H576" s="24" t="n">
        <x:f>F576-G576</x:f>
        <x:v>0.3000943683994173</x:v>
      </x:c>
    </x:row>
    <x:row r="577">
      <x:c r="A577" s="2" t="str">
        <x:v>LiDS-1</x:v>
      </x:c>
      <x:c r="B577" s="4" t="str">
        <x:v>LiCl</x:v>
      </x:c>
      <x:c r="C577" s="23" t="n">
        <x:v>2.516284</x:v>
      </x:c>
      <x:c r="D577" s="23" t="n">
        <x:v>9.94127</x:v>
      </x:c>
      <x:c r="E577" s="23" t="n">
        <x:f>'Parameters'!$B$2*'Parameters'!$B$3*LN(4*PI()*C577^2)</x:f>
        <x:v>10.849380199830888</x:v>
      </x:c>
      <x:c r="F577" s="23" t="n">
        <x:f>D577+E577</x:f>
        <x:v>20.790650199830885</x:v>
      </x:c>
      <x:c r="G577" s="23" t="n">
        <x:f>AVERAGE($F$544:$F$568)</x:f>
        <x:v>20.52163326430316</x:v>
      </x:c>
      <x:c r="H577" s="24" t="n">
        <x:f>F577-G577</x:f>
        <x:v>0.269016935527727</x:v>
      </x:c>
    </x:row>
    <x:row r="578">
      <x:c r="A578" s="2" t="str">
        <x:v>LiDS-1</x:v>
      </x:c>
      <x:c r="B578" s="4" t="str">
        <x:v>LiCl</x:v>
      </x:c>
      <x:c r="C578" s="23" t="n">
        <x:v>2.52863</x:v>
      </x:c>
      <x:c r="D578" s="23" t="n">
        <x:v>10.00613</x:v>
      </x:c>
      <x:c r="E578" s="23" t="n">
        <x:f>'Parameters'!$B$2*'Parameters'!$B$3*LN(4*PI()*C578^2)</x:f>
        <x:v>10.873646432781197</x:v>
      </x:c>
      <x:c r="F578" s="23" t="n">
        <x:f>D578+E578</x:f>
        <x:v>20.8797764327812</x:v>
      </x:c>
      <x:c r="G578" s="23" t="n">
        <x:f>AVERAGE($F$544:$F$568)</x:f>
        <x:v>20.52163326430316</x:v>
      </x:c>
      <x:c r="H578" s="24" t="n">
        <x:f>F578-G578</x:f>
        <x:v>0.3581431684780405</x:v>
      </x:c>
    </x:row>
    <x:row r="579">
      <x:c r="A579" s="2" t="str">
        <x:v>LiDS-1</x:v>
      </x:c>
      <x:c r="B579" s="4" t="str">
        <x:v>LiCl</x:v>
      </x:c>
      <x:c r="C579" s="23" t="n">
        <x:v>2.540977</x:v>
      </x:c>
      <x:c r="D579" s="23" t="n">
        <x:v>10.05177</x:v>
      </x:c>
      <x:c r="E579" s="23" t="n">
        <x:f>'Parameters'!$B$2*'Parameters'!$B$3*LN(4*PI()*C579^2)</x:f>
        <x:v>10.897796425443403</x:v>
      </x:c>
      <x:c r="F579" s="23" t="n">
        <x:f>D579+E579</x:f>
        <x:v>20.9495664254434</x:v>
      </x:c>
      <x:c r="G579" s="23" t="n">
        <x:f>AVERAGE($F$544:$F$568)</x:f>
        <x:v>20.52163326430316</x:v>
      </x:c>
      <x:c r="H579" s="24" t="n">
        <x:f>F579-G579</x:f>
        <x:v>0.42793316114024194</x:v>
      </x:c>
    </x:row>
    <x:row r="580">
      <x:c r="A580" s="2" t="str">
        <x:v>LiDS-1</x:v>
      </x:c>
      <x:c r="B580" s="4" t="str">
        <x:v>LiCl</x:v>
      </x:c>
      <x:c r="C580" s="23" t="n">
        <x:v>2.553324</x:v>
      </x:c>
      <x:c r="D580" s="23" t="n">
        <x:v>10.05945</x:v>
      </x:c>
      <x:c r="E580" s="23" t="n">
        <x:f>'Parameters'!$B$2*'Parameters'!$B$3*LN(4*PI()*C580^2)</x:f>
        <x:v>10.921829353515207</x:v>
      </x:c>
      <x:c r="F580" s="23" t="n">
        <x:f>D580+E580</x:f>
        <x:v>20.981279353515205</x:v>
      </x:c>
      <x:c r="G580" s="23" t="n">
        <x:f>AVERAGE($F$544:$F$568)</x:f>
        <x:v>20.52163326430316</x:v>
      </x:c>
      <x:c r="H580" s="24" t="n">
        <x:f>F580-G580</x:f>
        <x:v>0.45964608921204686</x:v>
      </x:c>
    </x:row>
    <x:row r="581">
      <x:c r="A581" s="2" t="str">
        <x:v>LiDS-1</x:v>
      </x:c>
      <x:c r="B581" s="4" t="str">
        <x:v>LiCl</x:v>
      </x:c>
      <x:c r="C581" s="23" t="n">
        <x:v>2.565671</x:v>
      </x:c>
      <x:c r="D581" s="23" t="n">
        <x:v>10.01186</x:v>
      </x:c>
      <x:c r="E581" s="23" t="n">
        <x:f>'Parameters'!$B$2*'Parameters'!$B$3*LN(4*PI()*C581^2)</x:f>
        <x:v>10.945746346440922</x:v>
      </x:c>
      <x:c r="F581" s="23" t="n">
        <x:f>D581+E581</x:f>
        <x:v>20.957606346440922</x:v>
      </x:c>
      <x:c r="G581" s="23" t="n">
        <x:f>AVERAGE($F$544:$F$568)</x:f>
        <x:v>20.52163326430316</x:v>
      </x:c>
      <x:c r="H581" s="24" t="n">
        <x:f>F581-G581</x:f>
        <x:v>0.43597308213776387</x:v>
      </x:c>
    </x:row>
    <x:row r="582">
      <x:c r="A582" s="2" t="str">
        <x:v>LiDS-1</x:v>
      </x:c>
      <x:c r="B582" s="4" t="str">
        <x:v>LiCl</x:v>
      </x:c>
      <x:c r="C582" s="23" t="n">
        <x:v>2.578017</x:v>
      </x:c>
      <x:c r="D582" s="23" t="n">
        <x:v>10.12468</x:v>
      </x:c>
      <x:c r="E582" s="23" t="n">
        <x:f>'Parameters'!$B$2*'Parameters'!$B$3*LN(4*PI()*C582^2)</x:f>
        <x:v>10.96954659424802</x:v>
      </x:c>
      <x:c r="F582" s="23" t="n">
        <x:f>D582+E582</x:f>
        <x:v>21.09422659424802</x:v>
      </x:c>
      <x:c r="G582" s="23" t="n">
        <x:f>AVERAGE($F$544:$F$568)</x:f>
        <x:v>20.52163326430316</x:v>
      </x:c>
      <x:c r="H582" s="24" t="n">
        <x:f>F582-G582</x:f>
        <x:v>0.572593329944862</x:v>
      </x:c>
    </x:row>
    <x:row r="583">
      <x:c r="A583" s="2" t="str">
        <x:v>LiDS-1</x:v>
      </x:c>
      <x:c r="B583" s="4" t="str">
        <x:v>LiCl</x:v>
      </x:c>
      <x:c r="C583" s="23" t="n">
        <x:v>2.590364</x:v>
      </x:c>
      <x:c r="D583" s="23" t="n">
        <x:v>10.11018</x:v>
      </x:c>
      <x:c r="E583" s="23" t="n">
        <x:f>'Parameters'!$B$2*'Parameters'!$B$3*LN(4*PI()*C583^2)</x:f>
        <x:v>10.993235049624293</x:v>
      </x:c>
      <x:c r="F583" s="23" t="n">
        <x:f>D583+E583</x:f>
        <x:v>21.103415049624292</x:v>
      </x:c>
      <x:c r="G583" s="23" t="n">
        <x:f>AVERAGE($F$544:$F$568)</x:f>
        <x:v>20.52163326430316</x:v>
      </x:c>
      <x:c r="H583" s="24" t="n">
        <x:f>F583-G583</x:f>
        <x:v>0.5817817853211338</x:v>
      </x:c>
    </x:row>
    <x:row r="584">
      <x:c r="A584" s="2" t="str">
        <x:v>LiDS-1</x:v>
      </x:c>
      <x:c r="B584" s="4" t="str">
        <x:v>LiCl</x:v>
      </x:c>
      <x:c r="C584" s="23" t="n">
        <x:v>2.602711</x:v>
      </x:c>
      <x:c r="D584" s="23" t="n">
        <x:v>10.08504</x:v>
      </x:c>
      <x:c r="E584" s="23" t="n">
        <x:f>'Parameters'!$B$2*'Parameters'!$B$3*LN(4*PI()*C584^2)</x:f>
        <x:v>11.0168108617349</x:v>
      </x:c>
      <x:c r="F584" s="23" t="n">
        <x:f>D584+E584</x:f>
        <x:v>21.1018508617349</x:v>
      </x:c>
      <x:c r="G584" s="23" t="n">
        <x:f>AVERAGE($F$544:$F$568)</x:f>
        <x:v>20.52163326430316</x:v>
      </x:c>
      <x:c r="H584" s="24" t="n">
        <x:f>F584-G584</x:f>
        <x:v>0.5802175974317407</x:v>
      </x:c>
    </x:row>
    <x:row r="585">
      <x:c r="A585" s="2" t="str">
        <x:v>LiDS-1</x:v>
      </x:c>
      <x:c r="B585" s="4" t="str">
        <x:v>LiCl</x:v>
      </x:c>
      <x:c r="C585" s="23" t="n">
        <x:v>2.615058</x:v>
      </x:c>
      <x:c r="D585" s="23" t="n">
        <x:v>10.01515</x:v>
      </x:c>
      <x:c r="E585" s="23" t="n">
        <x:f>'Parameters'!$B$2*'Parameters'!$B$3*LN(4*PI()*C585^2)</x:f>
        <x:v>11.040275096793561</x:v>
      </x:c>
      <x:c r="F585" s="23" t="n">
        <x:f>D585+E585</x:f>
        <x:v>21.055425096793563</x:v>
      </x:c>
      <x:c r="G585" s="23" t="n">
        <x:f>AVERAGE($F$544:$F$568)</x:f>
        <x:v>20.52163326430316</x:v>
      </x:c>
      <x:c r="H585" s="24" t="n">
        <x:f>F585-G585</x:f>
        <x:v>0.5337918324904045</x:v>
      </x:c>
    </x:row>
    <x:row r="586">
      <x:c r="A586" s="2" t="str">
        <x:v>LiDS-1</x:v>
      </x:c>
      <x:c r="B586" s="4" t="str">
        <x:v>LiCl</x:v>
      </x:c>
      <x:c r="C586" s="23" t="n">
        <x:v>2.627404</x:v>
      </x:c>
      <x:c r="D586" s="23" t="n">
        <x:v>10.23448</x:v>
      </x:c>
      <x:c r="E586" s="23" t="n">
        <x:f>'Parameters'!$B$2*'Parameters'!$B$3*LN(4*PI()*C586^2)</x:f>
        <x:v>11.0636269189464</x:v>
      </x:c>
      <x:c r="F586" s="23" t="n">
        <x:f>D586+E586</x:f>
        <x:v>21.2981069189464</x:v>
      </x:c>
      <x:c r="G586" s="23" t="n">
        <x:f>AVERAGE($F$544:$F$568)</x:f>
        <x:v>20.52163326430316</x:v>
      </x:c>
      <x:c r="H586" s="24" t="n">
        <x:f>F586-G586</x:f>
        <x:v>0.7764736546432403</x:v>
      </x:c>
    </x:row>
    <x:row r="587">
      <x:c r="A587" s="2" t="str">
        <x:v>LiDS-1</x:v>
      </x:c>
      <x:c r="B587" s="4" t="str">
        <x:v>LiCl</x:v>
      </x:c>
      <x:c r="C587" s="23" t="n">
        <x:v>2.639751</x:v>
      </x:c>
      <x:c r="D587" s="23" t="n">
        <x:v>10.11572</x:v>
      </x:c>
      <x:c r="E587" s="23" t="n">
        <x:f>'Parameters'!$B$2*'Parameters'!$B$3*LN(4*PI()*C587^2)</x:f>
        <x:v>11.086871147383302</x:v>
      </x:c>
      <x:c r="F587" s="23" t="n">
        <x:f>D587+E587</x:f>
        <x:v>21.202591147383302</x:v>
      </x:c>
      <x:c r="G587" s="23" t="n">
        <x:f>AVERAGE($F$544:$F$568)</x:f>
        <x:v>20.52163326430316</x:v>
      </x:c>
      <x:c r="H587" s="24" t="n">
        <x:f>F587-G587</x:f>
        <x:v>0.6809578830801435</x:v>
      </x:c>
    </x:row>
    <x:row r="588">
      <x:c r="A588" s="2" t="str">
        <x:v>LiDS-1</x:v>
      </x:c>
      <x:c r="B588" s="4" t="str">
        <x:v>LiCl</x:v>
      </x:c>
      <x:c r="C588" s="23" t="n">
        <x:v>2.652098</x:v>
      </x:c>
      <x:c r="D588" s="23" t="n">
        <x:v>10.13603</x:v>
      </x:c>
      <x:c r="E588" s="23" t="n">
        <x:f>'Parameters'!$B$2*'Parameters'!$B$3*LN(4*PI()*C588^2)</x:f>
        <x:v>11.110006908049288</x:v>
      </x:c>
      <x:c r="F588" s="23" t="n">
        <x:f>D588+E588</x:f>
        <x:v>21.246036908049287</x:v>
      </x:c>
      <x:c r="G588" s="23" t="n">
        <x:f>AVERAGE($F$544:$F$568)</x:f>
        <x:v>20.52163326430316</x:v>
      </x:c>
      <x:c r="H588" s="24" t="n">
        <x:f>F588-G588</x:f>
        <x:v>0.724403643746129</x:v>
      </x:c>
    </x:row>
    <x:row r="589">
      <x:c r="A589" s="2" t="str">
        <x:v>LiDS-1</x:v>
      </x:c>
      <x:c r="B589" s="4" t="str">
        <x:v>LiCl</x:v>
      </x:c>
      <x:c r="C589" s="23" t="n">
        <x:v>2.664445</x:v>
      </x:c>
      <x:c r="D589" s="23" t="n">
        <x:v>10.1142</x:v>
      </x:c>
      <x:c r="E589" s="23" t="n">
        <x:f>'Parameters'!$B$2*'Parameters'!$B$3*LN(4*PI()*C589^2)</x:f>
        <x:v>11.133035208560635</x:v>
      </x:c>
      <x:c r="F589" s="23" t="n">
        <x:f>D589+E589</x:f>
        <x:v>21.247235208560635</x:v>
      </x:c>
      <x:c r="G589" s="23" t="n">
        <x:f>AVERAGE($F$544:$F$568)</x:f>
        <x:v>20.52163326430316</x:v>
      </x:c>
      <x:c r="H589" s="24" t="n">
        <x:f>F589-G589</x:f>
        <x:v>0.7256019442574768</x:v>
      </x:c>
    </x:row>
    <x:row r="590">
      <x:c r="A590" s="2" t="str">
        <x:v>LiDS-1</x:v>
      </x:c>
      <x:c r="B590" s="4" t="str">
        <x:v>LiCl</x:v>
      </x:c>
      <x:c r="C590" s="23" t="n">
        <x:v>2.676791</x:v>
      </x:c>
      <x:c r="D590" s="23" t="n">
        <x:v>10.15976</x:v>
      </x:c>
      <x:c r="E590" s="23" t="n">
        <x:f>'Parameters'!$B$2*'Parameters'!$B$3*LN(4*PI()*C590^2)</x:f>
        <x:v>11.155955190372696</x:v>
      </x:c>
      <x:c r="F590" s="23" t="n">
        <x:f>D590+E590</x:f>
        <x:v>21.315715190372696</x:v>
      </x:c>
      <x:c r="G590" s="23" t="n">
        <x:f>AVERAGE($F$544:$F$568)</x:f>
        <x:v>20.52163326430316</x:v>
      </x:c>
      <x:c r="H590" s="24" t="n">
        <x:f>F590-G590</x:f>
        <x:v>0.7940819260695378</x:v>
      </x:c>
    </x:row>
    <x:row r="591">
      <x:c r="A591" s="2" t="str">
        <x:v>LiDS-1</x:v>
      </x:c>
      <x:c r="B591" s="4" t="str">
        <x:v>LiCl</x:v>
      </x:c>
      <x:c r="C591" s="23" t="n">
        <x:v>2.689138</x:v>
      </x:c>
      <x:c r="D591" s="23" t="n">
        <x:v>10.17059</x:v>
      </x:c>
      <x:c r="E591" s="23" t="n">
        <x:f>'Parameters'!$B$2*'Parameters'!$B$3*LN(4*PI()*C591^2)</x:f>
        <x:v>11.178771546282837</x:v>
      </x:c>
      <x:c r="F591" s="23" t="n">
        <x:f>D591+E591</x:f>
        <x:v>21.349361546282836</x:v>
      </x:c>
      <x:c r="G591" s="23" t="n">
        <x:f>AVERAGE($F$544:$F$568)</x:f>
        <x:v>20.52163326430316</x:v>
      </x:c>
      <x:c r="H591" s="24" t="n">
        <x:f>F591-G591</x:f>
        <x:v>0.8277282819796774</x:v>
      </x:c>
    </x:row>
    <x:row r="592">
      <x:c r="A592" s="2" t="str">
        <x:v>LiDS-1</x:v>
      </x:c>
      <x:c r="B592" s="4" t="str">
        <x:v>LiCl</x:v>
      </x:c>
      <x:c r="C592" s="23" t="n">
        <x:v>2.701485</x:v>
      </x:c>
      <x:c r="D592" s="23" t="n">
        <x:v>9.962601</x:v>
      </x:c>
      <x:c r="E592" s="23" t="n">
        <x:f>'Parameters'!$B$2*'Parameters'!$B$3*LN(4*PI()*C592^2)</x:f>
        <x:v>11.201483381979276</x:v>
      </x:c>
      <x:c r="F592" s="23" t="n">
        <x:f>D592+E592</x:f>
        <x:v>21.164084381979276</x:v>
      </x:c>
      <x:c r="G592" s="23" t="n">
        <x:f>AVERAGE($F$544:$F$568)</x:f>
        <x:v>20.52163326430316</x:v>
      </x:c>
      <x:c r="H592" s="24" t="n">
        <x:f>F592-G592</x:f>
        <x:v>0.6424511176761172</x:v>
      </x:c>
    </x:row>
    <x:row r="593">
      <x:c r="A593" s="2" t="str">
        <x:v>LiDS-1</x:v>
      </x:c>
      <x:c r="B593" s="4" t="str">
        <x:v>LiCl</x:v>
      </x:c>
      <x:c r="C593" s="23" t="n">
        <x:v>2.713832</x:v>
      </x:c>
      <x:c r="D593" s="23" t="n">
        <x:v>10.26726</x:v>
      </x:c>
      <x:c r="E593" s="23" t="n">
        <x:f>'Parameters'!$B$2*'Parameters'!$B$3*LN(4*PI()*C593^2)</x:f>
        <x:v>11.2240916506973</x:v>
      </x:c>
      <x:c r="F593" s="23" t="n">
        <x:f>D593+E593</x:f>
        <x:v>21.4913516506973</x:v>
      </x:c>
      <x:c r="G593" s="23" t="n">
        <x:f>AVERAGE($F$544:$F$568)</x:f>
        <x:v>20.52163326430316</x:v>
      </x:c>
      <x:c r="H593" s="24" t="n">
        <x:f>F593-G593</x:f>
        <x:v>0.9697183863941419</x:v>
      </x:c>
    </x:row>
    <x:row r="594">
      <x:c r="A594" s="2" t="str">
        <x:v>LiDS-1</x:v>
      </x:c>
      <x:c r="B594" s="4" t="str">
        <x:v>LiCl</x:v>
      </x:c>
      <x:c r="C594" s="23" t="n">
        <x:v>2.726178</x:v>
      </x:c>
      <x:c r="D594" s="23" t="n">
        <x:v>10.11409</x:v>
      </x:c>
      <x:c r="E594" s="23" t="n">
        <x:f>'Parameters'!$B$2*'Parameters'!$B$3*LN(4*PI()*C594^2)</x:f>
        <x:v>11.246595474059479</x:v>
      </x:c>
      <x:c r="F594" s="23" t="n">
        <x:f>D594+E594</x:f>
        <x:v>21.36068547405948</x:v>
      </x:c>
      <x:c r="G594" s="23" t="n">
        <x:f>AVERAGE($F$544:$F$568)</x:f>
        <x:v>20.52163326430316</x:v>
      </x:c>
      <x:c r="H594" s="24" t="n">
        <x:f>F594-G594</x:f>
        <x:v>0.8390522097563213</x:v>
      </x:c>
    </x:row>
    <x:row r="595">
      <x:c r="A595" s="2" t="str">
        <x:v>LiDS-1</x:v>
      </x:c>
      <x:c r="B595" s="4" t="str">
        <x:v>LiCl</x:v>
      </x:c>
      <x:c r="C595" s="23" t="n">
        <x:v>2.738525</x:v>
      </x:c>
      <x:c r="D595" s="23" t="n">
        <x:v>10.16267</x:v>
      </x:c>
      <x:c r="E595" s="23" t="n">
        <x:f>'Parameters'!$B$2*'Parameters'!$B$3*LN(4*PI()*C595^2)</x:f>
        <x:v>11.268999425035785</x:v>
      </x:c>
      <x:c r="F595" s="23" t="n">
        <x:f>D595+E595</x:f>
        <x:v>21.431669425035786</x:v>
      </x:c>
      <x:c r="G595" s="23" t="n">
        <x:f>AVERAGE($F$544:$F$568)</x:f>
        <x:v>20.52163326430316</x:v>
      </x:c>
      <x:c r="H595" s="24" t="n">
        <x:f>F595-G595</x:f>
        <x:v>0.910036160732627</x:v>
      </x:c>
    </x:row>
    <x:row r="596">
      <x:c r="A596" s="2" t="str">
        <x:v>LiDS-1</x:v>
      </x:c>
      <x:c r="B596" s="4" t="str">
        <x:v>LiCl</x:v>
      </x:c>
      <x:c r="C596" s="23" t="n">
        <x:v>2.750872</x:v>
      </x:c>
      <x:c r="D596" s="23" t="n">
        <x:v>10.1259</x:v>
      </x:c>
      <x:c r="E596" s="23" t="n">
        <x:f>'Parameters'!$B$2*'Parameters'!$B$3*LN(4*PI()*C596^2)</x:f>
        <x:v>11.291302591711815</x:v>
      </x:c>
      <x:c r="F596" s="23" t="n">
        <x:f>D596+E596</x:f>
        <x:v>21.417202591711813</x:v>
      </x:c>
      <x:c r="G596" s="23" t="n">
        <x:f>AVERAGE($F$544:$F$568)</x:f>
        <x:v>20.52163326430316</x:v>
      </x:c>
      <x:c r="H596" s="24" t="n">
        <x:f>F596-G596</x:f>
        <x:v>0.8955693274086549</x:v>
      </x:c>
    </x:row>
    <x:row r="597">
      <x:c r="A597" s="2" t="str">
        <x:v>LiDS-1</x:v>
      </x:c>
      <x:c r="B597" s="4" t="str">
        <x:v>LiCl</x:v>
      </x:c>
      <x:c r="C597" s="23" t="n">
        <x:v>2.763219</x:v>
      </x:c>
      <x:c r="D597" s="23" t="n">
        <x:v>10.09829</x:v>
      </x:c>
      <x:c r="E597" s="23" t="n">
        <x:f>'Parameters'!$B$2*'Parameters'!$B$3*LN(4*PI()*C597^2)</x:f>
        <x:v>11.313505876785783</x:v>
      </x:c>
      <x:c r="F597" s="23" t="n">
        <x:f>D597+E597</x:f>
        <x:v>21.41179587678578</x:v>
      </x:c>
      <x:c r="G597" s="23" t="n">
        <x:f>AVERAGE($F$544:$F$568)</x:f>
        <x:v>20.52163326430316</x:v>
      </x:c>
      <x:c r="H597" s="24" t="n">
        <x:f>F597-G597</x:f>
        <x:v>0.890162612482623</x:v>
      </x:c>
    </x:row>
    <x:row r="598">
      <x:c r="A598" s="2" t="str">
        <x:v>LiDS-1</x:v>
      </x:c>
      <x:c r="B598" s="4" t="str">
        <x:v>LiCl</x:v>
      </x:c>
      <x:c r="C598" s="23" t="n">
        <x:v>2.775565</x:v>
      </x:c>
      <x:c r="D598" s="23" t="n">
        <x:v>10.83475</x:v>
      </x:c>
      <x:c r="E598" s="23" t="n">
        <x:f>'Parameters'!$B$2*'Parameters'!$B$3*LN(4*PI()*C598^2)</x:f>
        <x:v>11.335608384610426</x:v>
      </x:c>
      <x:c r="F598" s="23" t="n">
        <x:f>D598+E598</x:f>
        <x:v>22.170358384610424</x:v>
      </x:c>
      <x:c r="G598" s="23" t="n">
        <x:f>AVERAGE($F$544:$F$568)</x:f>
        <x:v>20.52163326430316</x:v>
      </x:c>
      <x:c r="H598" s="24" t="n">
        <x:f>F598-G598</x:f>
        <x:v>1.6487251203072653</x:v>
      </x:c>
    </x:row>
    <x:row r="599">
      <x:c r="A599" s="2" t="str">
        <x:v>LiDS-1</x:v>
      </x:c>
      <x:c r="B599" s="4" t="str">
        <x:v>LiCl</x:v>
      </x:c>
      <x:c r="C599" s="23" t="n">
        <x:v>2.787912</x:v>
      </x:c>
      <x:c r="D599" s="23" t="n">
        <x:v>9.702846</x:v>
      </x:c>
      <x:c r="E599" s="23" t="n">
        <x:f>'Parameters'!$B$2*'Parameters'!$B$3*LN(4*PI()*C599^2)</x:f>
        <x:v>11.357614574405078</x:v>
      </x:c>
      <x:c r="F599" s="23" t="n">
        <x:f>D599+E599</x:f>
        <x:v>21.060460574405077</x:v>
      </x:c>
      <x:c r="G599" s="23" t="n">
        <x:f>AVERAGE($F$544:$F$568)</x:f>
        <x:v>20.52163326430316</x:v>
      </x:c>
      <x:c r="H599" s="24" t="n">
        <x:f>F599-G599</x:f>
        <x:v>0.5388273101019188</x:v>
      </x:c>
    </x:row>
    <x:row r="600">
      <x:c r="A600" s="2" t="str">
        <x:v>LiDS-1</x:v>
      </x:c>
      <x:c r="B600" s="4" t="str">
        <x:v>LiCl</x:v>
      </x:c>
      <x:c r="C600" s="23" t="n">
        <x:v>2.800259</x:v>
      </x:c>
      <x:c r="D600" s="23" t="n">
        <x:v>9.163106</x:v>
      </x:c>
      <x:c r="E600" s="23" t="n">
        <x:f>'Parameters'!$B$2*'Parameters'!$B$3*LN(4*PI()*C600^2)</x:f>
        <x:v>11.379523519032517</x:v>
      </x:c>
      <x:c r="F600" s="23" t="n">
        <x:f>D600+E600</x:f>
        <x:v>20.542629519032516</x:v>
      </x:c>
      <x:c r="G600" s="23" t="n">
        <x:f>AVERAGE($F$544:$F$568)</x:f>
        <x:v>20.52163326430316</x:v>
      </x:c>
      <x:c r="H600" s="24" t="n">
        <x:f>F600-G600</x:f>
        <x:v>0.020996254729357844</x:v>
      </x:c>
    </x:row>
    <x:row r="601">
      <x:c r="A601" s="2" t="str">
        <x:v>LiDS-1</x:v>
      </x:c>
      <x:c r="B601" s="4" t="str">
        <x:v>LiCl</x:v>
      </x:c>
      <x:c r="C601" s="23" t="n">
        <x:v>2.812606</x:v>
      </x:c>
      <x:c r="D601" s="23" t="n">
        <x:v>11.00299</x:v>
      </x:c>
      <x:c r="E601" s="23" t="n">
        <x:f>'Parameters'!$B$2*'Parameters'!$B$3*LN(4*PI()*C601^2)</x:f>
        <x:v>11.40133607416407</x:v>
      </x:c>
      <x:c r="F601" s="23" t="n">
        <x:f>D601+E601</x:f>
        <x:v>22.404326074164068</x:v>
      </x:c>
      <x:c r="G601" s="23" t="n">
        <x:f>AVERAGE($F$544:$F$568)</x:f>
        <x:v>20.52163326430316</x:v>
      </x:c>
      <x:c r="H601" s="24" t="n">
        <x:f>F601-G601</x:f>
        <x:v>1.8826928098609095</x:v>
      </x:c>
    </x:row>
    <x:row r="602">
      <x:c r="A602" s="2" t="str">
        <x:v>LiDS-1</x:v>
      </x:c>
      <x:c r="B602" s="4" t="str">
        <x:v>NaCl</x:v>
      </x:c>
      <x:c r="C602" s="23" t="n">
        <x:v>0.3892926</x:v>
      </x:c>
      <x:c r="D602" s="23" t="n">
        <x:v>0</x:v>
      </x:c>
      <x:c r="E602" s="23" t="n">
        <x:f>'Parameters'!$B$2*'Parameters'!$B$3*LN(4*PI()*C602^2)</x:f>
        <x:v>1.5968850720015</x:v>
      </x:c>
      <x:c r="F602" s="23" t="n">
        <x:f>D602+E602</x:f>
        <x:v>1.5968850720015</x:v>
      </x:c>
      <x:c r="G602" s="23" t="n">
        <x:f>AVERAGE($F$743:$F$767)</x:f>
        <x:v>-0.5858924514092341</x:v>
      </x:c>
      <x:c r="H602" s="24" t="n">
        <x:f>F602-G602</x:f>
        <x:v>2.182777523410734</x:v>
      </x:c>
    </x:row>
    <x:row r="603">
      <x:c r="A603" s="2" t="str">
        <x:v>LiDS-1</x:v>
      </x:c>
      <x:c r="B603" s="4" t="str">
        <x:v>NaCl</x:v>
      </x:c>
      <x:c r="C603" s="23" t="n">
        <x:v>0.4015077</x:v>
      </x:c>
      <x:c r="D603" s="23" t="n">
        <x:v>1.957215</x:v>
      </x:c>
      <x:c r="E603" s="23" t="n">
        <x:f>'Parameters'!$B$2*'Parameters'!$B$3*LN(4*PI()*C603^2)</x:f>
        <x:v>1.750062133907532</x:v>
      </x:c>
      <x:c r="F603" s="23" t="n">
        <x:f>D603+E603</x:f>
        <x:v>3.7072771339075317</x:v>
      </x:c>
      <x:c r="G603" s="23" t="n">
        <x:f>AVERAGE($F$743:$F$767)</x:f>
        <x:v>-0.5858924514092341</x:v>
      </x:c>
      <x:c r="H603" s="24" t="n">
        <x:f>F603-G603</x:f>
        <x:v>4.2931695853167655</x:v>
      </x:c>
    </x:row>
    <x:row r="604">
      <x:c r="A604" s="2" t="str">
        <x:v>LiDS-1</x:v>
      </x:c>
      <x:c r="B604" s="4" t="str">
        <x:v>NaCl</x:v>
      </x:c>
      <x:c r="C604" s="23" t="n">
        <x:v>0.4137228</x:v>
      </x:c>
      <x:c r="D604" s="23" t="n">
        <x:v>-2.527413</x:v>
      </x:c>
      <x:c r="E604" s="23" t="n">
        <x:f>'Parameters'!$B$2*'Parameters'!$B$3*LN(4*PI()*C604^2)</x:f>
        <x:v>1.8986482057580614</x:v>
      </x:c>
      <x:c r="F604" s="23" t="n">
        <x:f>D604+E604</x:f>
        <x:v>-0.6287647942419388</x:v>
      </x:c>
      <x:c r="G604" s="23" t="n">
        <x:f>AVERAGE($F$743:$F$767)</x:f>
        <x:v>-0.5858924514092341</x:v>
      </x:c>
      <x:c r="H604" s="24" t="n">
        <x:f>F604-G604</x:f>
        <x:v>-0.04287234283270469</x:v>
      </x:c>
    </x:row>
    <x:row r="605">
      <x:c r="A605" s="2" t="str">
        <x:v>LiDS-1</x:v>
      </x:c>
      <x:c r="B605" s="4" t="str">
        <x:v>NaCl</x:v>
      </x:c>
      <x:c r="C605" s="23" t="n">
        <x:v>0.4259379</x:v>
      </x:c>
      <x:c r="D605" s="23" t="n">
        <x:v>-4.503249</x:v>
      </x:c>
      <x:c r="E605" s="23" t="n">
        <x:f>'Parameters'!$B$2*'Parameters'!$B$3*LN(4*PI()*C605^2)</x:f>
        <x:v>2.042910498518744</x:v>
      </x:c>
      <x:c r="F605" s="23" t="n">
        <x:f>D605+E605</x:f>
        <x:v>-2.460338501481256</x:v>
      </x:c>
      <x:c r="G605" s="23" t="n">
        <x:f>AVERAGE($F$743:$F$767)</x:f>
        <x:v>-0.5858924514092341</x:v>
      </x:c>
      <x:c r="H605" s="24" t="n">
        <x:f>F605-G605</x:f>
        <x:v>-1.8744460500720221</x:v>
      </x:c>
    </x:row>
    <x:row r="606">
      <x:c r="A606" s="2" t="str">
        <x:v>LiDS-1</x:v>
      </x:c>
      <x:c r="B606" s="4" t="str">
        <x:v>NaCl</x:v>
      </x:c>
      <x:c r="C606" s="23" t="n">
        <x:v>0.438153</x:v>
      </x:c>
      <x:c r="D606" s="23" t="n">
        <x:v>-6.268383</x:v>
      </x:c>
      <x:c r="E606" s="23" t="n">
        <x:f>'Parameters'!$B$2*'Parameters'!$B$3*LN(4*PI()*C606^2)</x:f>
        <x:v>2.1830935524983426</x:v>
      </x:c>
      <x:c r="F606" s="23" t="n">
        <x:f>D606+E606</x:f>
        <x:v>-4.0852894475016575</x:v>
      </x:c>
      <x:c r="G606" s="23" t="n">
        <x:f>AVERAGE($F$743:$F$767)</x:f>
        <x:v>-0.5858924514092341</x:v>
      </x:c>
      <x:c r="H606" s="24" t="n">
        <x:f>F606-G606</x:f>
        <x:v>-3.4993969960924236</x:v>
      </x:c>
    </x:row>
    <x:row r="607">
      <x:c r="A607" s="2" t="str">
        <x:v>LiDS-1</x:v>
      </x:c>
      <x:c r="B607" s="4" t="str">
        <x:v>NaCl</x:v>
      </x:c>
      <x:c r="C607" s="23" t="n">
        <x:v>0.450368</x:v>
      </x:c>
      <x:c r="D607" s="23" t="n">
        <x:v>-7.66197</x:v>
      </x:c>
      <x:c r="E607" s="23" t="n">
        <x:f>'Parameters'!$B$2*'Parameters'!$B$3*LN(4*PI()*C607^2)</x:f>
        <x:v>2.3194206306738</x:v>
      </x:c>
      <x:c r="F607" s="23" t="n">
        <x:f>D607+E607</x:f>
        <x:v>-5.3425493693262</x:v>
      </x:c>
      <x:c r="G607" s="23" t="n">
        <x:f>AVERAGE($F$743:$F$767)</x:f>
        <x:v>-0.5858924514092341</x:v>
      </x:c>
      <x:c r="H607" s="24" t="n">
        <x:f>F607-G607</x:f>
        <x:v>-4.756656917916966</x:v>
      </x:c>
    </x:row>
    <x:row r="608">
      <x:c r="A608" s="2" t="str">
        <x:v>LiDS-1</x:v>
      </x:c>
      <x:c r="B608" s="4" t="str">
        <x:v>NaCl</x:v>
      </x:c>
      <x:c r="C608" s="23" t="n">
        <x:v>0.4625831</x:v>
      </x:c>
      <x:c r="D608" s="23" t="n">
        <x:v>-9.099738</x:v>
      </x:c>
      <x:c r="E608" s="23" t="n">
        <x:f>'Parameters'!$B$2*'Parameters'!$B$3*LN(4*PI()*C608^2)</x:f>
        <x:v>2.45210031153143</x:v>
      </x:c>
      <x:c r="F608" s="23" t="n">
        <x:f>D608+E608</x:f>
        <x:v>-6.647637688468571</x:v>
      </x:c>
      <x:c r="G608" s="23" t="n">
        <x:f>AVERAGE($F$743:$F$767)</x:f>
        <x:v>-0.5858924514092341</x:v>
      </x:c>
      <x:c r="H608" s="24" t="n">
        <x:f>F608-G608</x:f>
        <x:v>-6.061745237059337</x:v>
      </x:c>
    </x:row>
    <x:row r="609">
      <x:c r="A609" s="2" t="str">
        <x:v>LiDS-1</x:v>
      </x:c>
      <x:c r="B609" s="4" t="str">
        <x:v>NaCl</x:v>
      </x:c>
      <x:c r="C609" s="23" t="n">
        <x:v>0.4747982</x:v>
      </x:c>
      <x:c r="D609" s="23" t="n">
        <x:v>-10.38029</x:v>
      </x:c>
      <x:c r="E609" s="23" t="n">
        <x:f>'Parameters'!$B$2*'Parameters'!$B$3*LN(4*PI()*C609^2)</x:f>
        <x:v>2.581321673932979</x:v>
      </x:c>
      <x:c r="F609" s="23" t="n">
        <x:f>D609+E609</x:f>
        <x:v>-7.798968326067021</x:v>
      </x:c>
      <x:c r="G609" s="23" t="n">
        <x:f>AVERAGE($F$743:$F$767)</x:f>
        <x:v>-0.5858924514092341</x:v>
      </x:c>
      <x:c r="H609" s="24" t="n">
        <x:f>F609-G609</x:f>
        <x:v>-7.213075874657787</x:v>
      </x:c>
    </x:row>
    <x:row r="610">
      <x:c r="A610" s="2" t="str">
        <x:v>LiDS-1</x:v>
      </x:c>
      <x:c r="B610" s="4" t="str">
        <x:v>NaCl</x:v>
      </x:c>
      <x:c r="C610" s="23" t="n">
        <x:v>0.4870133</x:v>
      </x:c>
      <x:c r="D610" s="23" t="n">
        <x:v>-11.18301</x:v>
      </x:c>
      <x:c r="E610" s="23" t="n">
        <x:f>'Parameters'!$B$2*'Parameters'!$B$3*LN(4*PI()*C610^2)</x:f>
        <x:v>2.7072604309002557</x:v>
      </x:c>
      <x:c r="F610" s="23" t="n">
        <x:f>D610+E610</x:f>
        <x:v>-8.475749569099744</x:v>
      </x:c>
      <x:c r="G610" s="23" t="n">
        <x:f>AVERAGE($F$743:$F$767)</x:f>
        <x:v>-0.5858924514092341</x:v>
      </x:c>
      <x:c r="H610" s="24" t="n">
        <x:f>F610-G610</x:f>
        <x:v>-7.88985711769051</x:v>
      </x:c>
    </x:row>
    <x:row r="611">
      <x:c r="A611" s="2" t="str">
        <x:v>LiDS-1</x:v>
      </x:c>
      <x:c r="B611" s="4" t="str">
        <x:v>NaCl</x:v>
      </x:c>
      <x:c r="C611" s="23" t="n">
        <x:v>0.4992284</x:v>
      </x:c>
      <x:c r="D611" s="23" t="n">
        <x:v>-11.27097</x:v>
      </x:c>
      <x:c r="E611" s="23" t="n">
        <x:f>'Parameters'!$B$2*'Parameters'!$B$3*LN(4*PI()*C611^2)</x:f>
        <x:v>2.830079234913056</x:v>
      </x:c>
      <x:c r="F611" s="23" t="n">
        <x:f>D611+E611</x:f>
        <x:v>-8.440890765086944</x:v>
      </x:c>
      <x:c r="G611" s="23" t="n">
        <x:f>AVERAGE($F$743:$F$767)</x:f>
        <x:v>-0.5858924514092341</x:v>
      </x:c>
      <x:c r="H611" s="24" t="n">
        <x:f>F611-G611</x:f>
        <x:v>-7.854998313677711</x:v>
      </x:c>
    </x:row>
    <x:row r="612">
      <x:c r="A612" s="2" t="str">
        <x:v>LiDS-1</x:v>
      </x:c>
      <x:c r="B612" s="4" t="str">
        <x:v>NaCl</x:v>
      </x:c>
      <x:c r="C612" s="23" t="n">
        <x:v>0.5114435</x:v>
      </x:c>
      <x:c r="D612" s="23" t="n">
        <x:v>-10.31699</x:v>
      </x:c>
      <x:c r="E612" s="23" t="n">
        <x:f>'Parameters'!$B$2*'Parameters'!$B$3*LN(4*PI()*C612^2)</x:f>
        <x:v>2.949928941042713</x:v>
      </x:c>
      <x:c r="F612" s="23" t="n">
        <x:f>D612+E612</x:f>
        <x:v>-7.367061058957288</x:v>
      </x:c>
      <x:c r="G612" s="23" t="n">
        <x:f>AVERAGE($F$743:$F$767)</x:f>
        <x:v>-0.5858924514092341</x:v>
      </x:c>
      <x:c r="H612" s="24" t="n">
        <x:f>F612-G612</x:f>
        <x:v>-6.781168607548054</x:v>
      </x:c>
    </x:row>
    <x:row r="613">
      <x:c r="A613" s="2" t="str">
        <x:v>LiDS-1</x:v>
      </x:c>
      <x:c r="B613" s="4" t="str">
        <x:v>NaCl</x:v>
      </x:c>
      <x:c r="C613" s="23" t="n">
        <x:v>0.5236586</x:v>
      </x:c>
      <x:c r="D613" s="23" t="n">
        <x:v>-9.082277</x:v>
      </x:c>
      <x:c r="E613" s="23" t="n">
        <x:f>'Parameters'!$B$2*'Parameters'!$B$3*LN(4*PI()*C613^2)</x:f>
        <x:v>3.0669497209807552</x:v>
      </x:c>
      <x:c r="F613" s="23" t="n">
        <x:f>D613+E613</x:f>
        <x:v>-6.015327279019244</x:v>
      </x:c>
      <x:c r="G613" s="23" t="n">
        <x:f>AVERAGE($F$743:$F$767)</x:f>
        <x:v>-0.5858924514092341</x:v>
      </x:c>
      <x:c r="H613" s="24" t="n">
        <x:f>F613-G613</x:f>
        <x:v>-5.42943482761001</x:v>
      </x:c>
    </x:row>
    <x:row r="614">
      <x:c r="A614" s="2" t="str">
        <x:v>LiDS-1</x:v>
      </x:c>
      <x:c r="B614" s="4" t="str">
        <x:v>NaCl</x:v>
      </x:c>
      <x:c r="C614" s="23" t="n">
        <x:v>0.5358736</x:v>
      </x:c>
      <x:c r="D614" s="23" t="n">
        <x:v>-8.09004</x:v>
      </x:c>
      <x:c r="E614" s="23" t="n">
        <x:f>'Parameters'!$B$2*'Parameters'!$B$3*LN(4*PI()*C614^2)</x:f>
        <x:v>3.181271123395459</x:v>
      </x:c>
      <x:c r="F614" s="23" t="n">
        <x:f>D614+E614</x:f>
        <x:v>-4.908768876604541</x:v>
      </x:c>
      <x:c r="G614" s="23" t="n">
        <x:f>AVERAGE($F$743:$F$767)</x:f>
        <x:v>-0.5858924514092341</x:v>
      </x:c>
      <x:c r="H614" s="24" t="n">
        <x:f>F614-G614</x:f>
        <x:v>-4.322876425195307</x:v>
      </x:c>
    </x:row>
    <x:row r="615">
      <x:c r="A615" s="2" t="str">
        <x:v>LiDS-1</x:v>
      </x:c>
      <x:c r="B615" s="4" t="str">
        <x:v>NaCl</x:v>
      </x:c>
      <x:c r="C615" s="23" t="n">
        <x:v>0.5480887</x:v>
      </x:c>
      <x:c r="D615" s="23" t="n">
        <x:v>-7.446692</x:v>
      </x:c>
      <x:c r="E615" s="23" t="n">
        <x:f>'Parameters'!$B$2*'Parameters'!$B$3*LN(4*PI()*C615^2)</x:f>
        <x:v>3.293016669826539</x:v>
      </x:c>
      <x:c r="F615" s="23" t="n">
        <x:f>D615+E615</x:f>
        <x:v>-4.153675330173461</x:v>
      </x:c>
      <x:c r="G615" s="23" t="n">
        <x:f>AVERAGE($F$743:$F$767)</x:f>
        <x:v>-0.5858924514092341</x:v>
      </x:c>
      <x:c r="H615" s="24" t="n">
        <x:f>F615-G615</x:f>
        <x:v>-3.567782878764227</x:v>
      </x:c>
    </x:row>
    <x:row r="616">
      <x:c r="A616" s="2" t="str">
        <x:v>LiDS-1</x:v>
      </x:c>
      <x:c r="B616" s="4" t="str">
        <x:v>NaCl</x:v>
      </x:c>
      <x:c r="C616" s="23" t="n">
        <x:v>0.5603038</x:v>
      </x:c>
      <x:c r="D616" s="23" t="n">
        <x:v>-6.698077</x:v>
      </x:c>
      <x:c r="E616" s="23" t="n">
        <x:f>'Parameters'!$B$2*'Parameters'!$B$3*LN(4*PI()*C616^2)</x:f>
        <x:v>3.402299018785421</x:v>
      </x:c>
      <x:c r="F616" s="23" t="n">
        <x:f>D616+E616</x:f>
        <x:v>-3.2957779812145787</x:v>
      </x:c>
      <x:c r="G616" s="23" t="n">
        <x:f>AVERAGE($F$743:$F$767)</x:f>
        <x:v>-0.5858924514092341</x:v>
      </x:c>
      <x:c r="H616" s="24" t="n">
        <x:f>F616-G616</x:f>
        <x:v>-2.7098855298053444</x:v>
      </x:c>
    </x:row>
    <x:row r="617">
      <x:c r="A617" s="2" t="str">
        <x:v>LiDS-1</x:v>
      </x:c>
      <x:c r="B617" s="4" t="str">
        <x:v>NaCl</x:v>
      </x:c>
      <x:c r="C617" s="23" t="n">
        <x:v>0.5725189</x:v>
      </x:c>
      <x:c r="D617" s="23" t="n">
        <x:v>-6.695813</x:v>
      </x:c>
      <x:c r="E617" s="23" t="n">
        <x:f>'Parameters'!$B$2*'Parameters'!$B$3*LN(4*PI()*C617^2)</x:f>
        <x:v>3.509224424430008</x:v>
      </x:c>
      <x:c r="F617" s="23" t="n">
        <x:f>D617+E617</x:f>
        <x:v>-3.186588575569992</x:v>
      </x:c>
      <x:c r="G617" s="23" t="n">
        <x:f>AVERAGE($F$743:$F$767)</x:f>
        <x:v>-0.5858924514092341</x:v>
      </x:c>
      <x:c r="H617" s="24" t="n">
        <x:f>F617-G617</x:f>
        <x:v>-2.6006961241607582</x:v>
      </x:c>
    </x:row>
    <x:row r="618">
      <x:c r="A618" s="2" t="str">
        <x:v>LiDS-1</x:v>
      </x:c>
      <x:c r="B618" s="4" t="str">
        <x:v>NaCl</x:v>
      </x:c>
      <x:c r="C618" s="23" t="n">
        <x:v>0.584734</x:v>
      </x:c>
      <x:c r="D618" s="23" t="n">
        <x:v>-6.861408</x:v>
      </x:c>
      <x:c r="E618" s="23" t="n">
        <x:f>'Parameters'!$B$2*'Parameters'!$B$3*LN(4*PI()*C618^2)</x:f>
        <x:v>3.613892410646456</x:v>
      </x:c>
      <x:c r="F618" s="23" t="n">
        <x:f>D618+E618</x:f>
        <x:v>-3.247515589353544</x:v>
      </x:c>
      <x:c r="G618" s="23" t="n">
        <x:f>AVERAGE($F$743:$F$767)</x:f>
        <x:v>-0.5858924514092341</x:v>
      </x:c>
      <x:c r="H618" s="24" t="n">
        <x:f>F618-G618</x:f>
        <x:v>-2.66162313794431</x:v>
      </x:c>
    </x:row>
    <x:row r="619">
      <x:c r="A619" s="2" t="str">
        <x:v>LiDS-1</x:v>
      </x:c>
      <x:c r="B619" s="4" t="str">
        <x:v>NaCl</x:v>
      </x:c>
      <x:c r="C619" s="23" t="n">
        <x:v>0.5969491</x:v>
      </x:c>
      <x:c r="D619" s="23" t="n">
        <x:v>-6.355113</x:v>
      </x:c>
      <x:c r="E619" s="23" t="n">
        <x:f>'Parameters'!$B$2*'Parameters'!$B$3*LN(4*PI()*C619^2)</x:f>
        <x:v>3.716396327721137</x:v>
      </x:c>
      <x:c r="F619" s="23" t="n">
        <x:f>D619+E619</x:f>
        <x:v>-2.6387166722788633</x:v>
      </x:c>
      <x:c r="G619" s="23" t="n">
        <x:f>AVERAGE($F$743:$F$767)</x:f>
        <x:v>-0.5858924514092341</x:v>
      </x:c>
      <x:c r="H619" s="24" t="n">
        <x:f>F619-G619</x:f>
        <x:v>-2.0528242208696295</x:v>
      </x:c>
    </x:row>
    <x:row r="620">
      <x:c r="A620" s="2" t="str">
        <x:v>LiDS-1</x:v>
      </x:c>
      <x:c r="B620" s="4" t="str">
        <x:v>NaCl</x:v>
      </x:c>
      <x:c r="C620" s="23" t="n">
        <x:v>0.6091641</x:v>
      </x:c>
      <x:c r="D620" s="23" t="n">
        <x:v>-7.01345</x:v>
      </x:c>
      <x:c r="E620" s="23" t="n">
        <x:f>'Parameters'!$B$2*'Parameters'!$B$3*LN(4*PI()*C620^2)</x:f>
        <x:v>3.8168230387345483</x:v>
      </x:c>
      <x:c r="F620" s="23" t="n">
        <x:f>D620+E620</x:f>
        <x:v>-3.1966269612654514</x:v>
      </x:c>
      <x:c r="G620" s="23" t="n">
        <x:f>AVERAGE($F$743:$F$767)</x:f>
        <x:v>-0.5858924514092341</x:v>
      </x:c>
      <x:c r="H620" s="24" t="n">
        <x:f>F620-G620</x:f>
        <x:v>-2.6107345098562176</x:v>
      </x:c>
    </x:row>
    <x:row r="621">
      <x:c r="A621" s="2" t="str">
        <x:v>LiDS-1</x:v>
      </x:c>
      <x:c r="B621" s="4" t="str">
        <x:v>NaCl</x:v>
      </x:c>
      <x:c r="C621" s="23" t="n">
        <x:v>0.6213792</x:v>
      </x:c>
      <x:c r="D621" s="23" t="n">
        <x:v>-7.335934</x:v>
      </x:c>
      <x:c r="E621" s="23" t="n">
        <x:f>'Parameters'!$B$2*'Parameters'!$B$3*LN(4*PI()*C621^2)</x:f>
        <x:v>3.9152566417235546</x:v>
      </x:c>
      <x:c r="F621" s="23" t="n">
        <x:f>D621+E621</x:f>
        <x:v>-3.4206773582764454</x:v>
      </x:c>
      <x:c r="G621" s="23" t="n">
        <x:f>AVERAGE($F$743:$F$767)</x:f>
        <x:v>-0.5858924514092341</x:v>
      </x:c>
      <x:c r="H621" s="24" t="n">
        <x:f>F621-G621</x:f>
        <x:v>-2.8347849068672115</x:v>
      </x:c>
    </x:row>
    <x:row r="622">
      <x:c r="A622" s="2" t="str">
        <x:v>LiDS-1</x:v>
      </x:c>
      <x:c r="B622" s="4" t="str">
        <x:v>NaCl</x:v>
      </x:c>
      <x:c r="C622" s="23" t="n">
        <x:v>0.6335943</x:v>
      </x:c>
      <x:c r="D622" s="23" t="n">
        <x:v>-7.618613</x:v>
      </x:c>
      <x:c r="E622" s="23" t="n">
        <x:f>'Parameters'!$B$2*'Parameters'!$B$3*LN(4*PI()*C622^2)</x:f>
        <x:v>4.011773944480422</x:v>
      </x:c>
      <x:c r="F622" s="23" t="n">
        <x:f>D622+E622</x:f>
        <x:v>-3.606839055519578</x:v>
      </x:c>
      <x:c r="G622" s="23" t="n">
        <x:f>AVERAGE($F$743:$F$767)</x:f>
        <x:v>-0.5858924514092341</x:v>
      </x:c>
      <x:c r="H622" s="24" t="n">
        <x:f>F622-G622</x:f>
        <x:v>-3.0209466041103443</x:v>
      </x:c>
    </x:row>
    <x:row r="623">
      <x:c r="A623" s="2" t="str">
        <x:v>LiDS-1</x:v>
      </x:c>
      <x:c r="B623" s="4" t="str">
        <x:v>NaCl</x:v>
      </x:c>
      <x:c r="C623" s="23" t="n">
        <x:v>0.6458094</x:v>
      </x:c>
      <x:c r="D623" s="23" t="n">
        <x:v>-7.717498</x:v>
      </x:c>
      <x:c r="E623" s="23" t="n">
        <x:f>'Parameters'!$B$2*'Parameters'!$B$3*LN(4*PI()*C623^2)</x:f>
        <x:v>4.106448137273345</x:v>
      </x:c>
      <x:c r="F623" s="23" t="n">
        <x:f>D623+E623</x:f>
        <x:v>-3.611049862726655</x:v>
      </x:c>
      <x:c r="G623" s="23" t="n">
        <x:f>AVERAGE($F$743:$F$767)</x:f>
        <x:v>-0.5858924514092341</x:v>
      </x:c>
      <x:c r="H623" s="24" t="n">
        <x:f>F623-G623</x:f>
        <x:v>-3.025157411317421</x:v>
      </x:c>
    </x:row>
    <x:row r="624">
      <x:c r="A624" s="2" t="str">
        <x:v>LiDS-1</x:v>
      </x:c>
      <x:c r="B624" s="4" t="str">
        <x:v>NaCl</x:v>
      </x:c>
      <x:c r="C624" s="23" t="n">
        <x:v>0.6580245</x:v>
      </x:c>
      <x:c r="D624" s="23" t="n">
        <x:v>-7.801979</x:v>
      </x:c>
      <x:c r="E624" s="23" t="n">
        <x:f>'Parameters'!$B$2*'Parameters'!$B$3*LN(4*PI()*C624^2)</x:f>
        <x:v>4.1993482957322</x:v>
      </x:c>
      <x:c r="F624" s="23" t="n">
        <x:f>D624+E624</x:f>
        <x:v>-3.6026307042678</x:v>
      </x:c>
      <x:c r="G624" s="23" t="n">
        <x:f>AVERAGE($F$743:$F$767)</x:f>
        <x:v>-0.5858924514092341</x:v>
      </x:c>
      <x:c r="H624" s="24" t="n">
        <x:f>F624-G624</x:f>
        <x:v>-3.0167382528585662</x:v>
      </x:c>
    </x:row>
    <x:row r="625">
      <x:c r="A625" s="2" t="str">
        <x:v>LiDS-1</x:v>
      </x:c>
      <x:c r="B625" s="4" t="str">
        <x:v>NaCl</x:v>
      </x:c>
      <x:c r="C625" s="23" t="n">
        <x:v>0.6702396</x:v>
      </x:c>
      <x:c r="D625" s="23" t="n">
        <x:v>-8.076491</x:v>
      </x:c>
      <x:c r="E625" s="23" t="n">
        <x:f>'Parameters'!$B$2*'Parameters'!$B$3*LN(4*PI()*C625^2)</x:f>
        <x:v>4.290539683608075</x:v>
      </x:c>
      <x:c r="F625" s="23" t="n">
        <x:f>D625+E625</x:f>
        <x:v>-3.785951316391926</x:v>
      </x:c>
      <x:c r="G625" s="23" t="n">
        <x:f>AVERAGE($F$743:$F$767)</x:f>
        <x:v>-0.5858924514092341</x:v>
      </x:c>
      <x:c r="H625" s="24" t="n">
        <x:f>F625-G625</x:f>
        <x:v>-3.200058864982692</x:v>
      </x:c>
    </x:row>
    <x:row r="626">
      <x:c r="A626" s="2" t="str">
        <x:v>LiDS-1</x:v>
      </x:c>
      <x:c r="B626" s="4" t="str">
        <x:v>NaCl</x:v>
      </x:c>
      <x:c r="C626" s="23" t="n">
        <x:v>0.6824546</x:v>
      </x:c>
      <x:c r="D626" s="23" t="n">
        <x:v>-8.05309</x:v>
      </x:c>
      <x:c r="E626" s="23" t="n">
        <x:f>'Parameters'!$B$2*'Parameters'!$B$3*LN(4*PI()*C626^2)</x:f>
        <x:v>4.38008330170579</x:v>
      </x:c>
      <x:c r="F626" s="23" t="n">
        <x:f>D626+E626</x:f>
        <x:v>-3.673006698294209</x:v>
      </x:c>
      <x:c r="G626" s="23" t="n">
        <x:f>AVERAGE($F$743:$F$767)</x:f>
        <x:v>-0.5858924514092341</x:v>
      </x:c>
      <x:c r="H626" s="24" t="n">
        <x:f>F626-G626</x:f>
        <x:v>-3.0871142468849753</x:v>
      </x:c>
    </x:row>
    <x:row r="627">
      <x:c r="A627" s="2" t="str">
        <x:v>LiDS-1</x:v>
      </x:c>
      <x:c r="B627" s="4" t="str">
        <x:v>NaCl</x:v>
      </x:c>
      <x:c r="C627" s="23" t="n">
        <x:v>0.6946697</x:v>
      </x:c>
      <x:c r="D627" s="23" t="n">
        <x:v>-8.19879</x:v>
      </x:c>
      <x:c r="E627" s="23" t="n">
        <x:f>'Parameters'!$B$2*'Parameters'!$B$3*LN(4*PI()*C627^2)</x:f>
        <x:v>4.468039057570388</x:v>
      </x:c>
      <x:c r="F627" s="23" t="n">
        <x:f>D627+E627</x:f>
        <x:v>-3.730750942429613</x:v>
      </x:c>
      <x:c r="G627" s="23" t="n">
        <x:f>AVERAGE($F$743:$F$767)</x:f>
        <x:v>-0.5858924514092341</x:v>
      </x:c>
      <x:c r="H627" s="24" t="n">
        <x:f>F627-G627</x:f>
        <x:v>-3.144858491020379</x:v>
      </x:c>
    </x:row>
    <x:row r="628">
      <x:c r="A628" s="2" t="str">
        <x:v>LiDS-1</x:v>
      </x:c>
      <x:c r="B628" s="4" t="str">
        <x:v>NaCl</x:v>
      </x:c>
      <x:c r="C628" s="23" t="n">
        <x:v>0.7068848</x:v>
      </x:c>
      <x:c r="D628" s="23" t="n">
        <x:v>-8.164055</x:v>
      </x:c>
      <x:c r="E628" s="23" t="n">
        <x:f>'Parameters'!$B$2*'Parameters'!$B$3*LN(4*PI()*C628^2)</x:f>
        <x:v>4.554461596930945</x:v>
      </x:c>
      <x:c r="F628" s="23" t="n">
        <x:f>D628+E628</x:f>
        <x:v>-3.609593403069054</x:v>
      </x:c>
      <x:c r="G628" s="23" t="n">
        <x:f>AVERAGE($F$743:$F$767)</x:f>
        <x:v>-0.5858924514092341</x:v>
      </x:c>
      <x:c r="H628" s="24" t="n">
        <x:f>F628-G628</x:f>
        <x:v>-3.02370095165982</x:v>
      </x:c>
    </x:row>
    <x:row r="629">
      <x:c r="A629" s="2" t="str">
        <x:v>LiDS-1</x:v>
      </x:c>
      <x:c r="B629" s="4" t="str">
        <x:v>NaCl</x:v>
      </x:c>
      <x:c r="C629" s="23" t="n">
        <x:v>0.7190999</x:v>
      </x:c>
      <x:c r="D629" s="23" t="n">
        <x:v>-8.089497</x:v>
      </x:c>
      <x:c r="E629" s="23" t="n">
        <x:f>'Parameters'!$B$2*'Parameters'!$B$3*LN(4*PI()*C629^2)</x:f>
        <x:v>4.639403458335758</x:v>
      </x:c>
      <x:c r="F629" s="23" t="n">
        <x:f>D629+E629</x:f>
        <x:v>-3.4500935416642413</x:v>
      </x:c>
      <x:c r="G629" s="23" t="n">
        <x:f>AVERAGE($F$743:$F$767)</x:f>
        <x:v>-0.5858924514092341</x:v>
      </x:c>
      <x:c r="H629" s="24" t="n">
        <x:f>F629-G629</x:f>
        <x:v>-2.8642010902550075</x:v>
      </x:c>
    </x:row>
    <x:row r="630">
      <x:c r="A630" s="2" t="str">
        <x:v>LiDS-1</x:v>
      </x:c>
      <x:c r="B630" s="4" t="str">
        <x:v>NaCl</x:v>
      </x:c>
      <x:c r="C630" s="23" t="n">
        <x:v>0.731315</x:v>
      </x:c>
      <x:c r="D630" s="23" t="n">
        <x:v>-8.2282</x:v>
      </x:c>
      <x:c r="E630" s="23" t="n">
        <x:f>'Parameters'!$B$2*'Parameters'!$B$3*LN(4*PI()*C630^2)</x:f>
        <x:v>4.722914525261475</x:v>
      </x:c>
      <x:c r="F630" s="23" t="n">
        <x:f>D630+E630</x:f>
        <x:v>-3.5052854747385247</x:v>
      </x:c>
      <x:c r="G630" s="23" t="n">
        <x:f>AVERAGE($F$743:$F$767)</x:f>
        <x:v>-0.5858924514092341</x:v>
      </x:c>
      <x:c r="H630" s="24" t="n">
        <x:f>F630-G630</x:f>
        <x:v>-2.919393023329291</x:v>
      </x:c>
    </x:row>
    <x:row r="631">
      <x:c r="A631" s="2" t="str">
        <x:v>LiDS-1</x:v>
      </x:c>
      <x:c r="B631" s="4" t="str">
        <x:v>NaCl</x:v>
      </x:c>
      <x:c r="C631" s="23" t="n">
        <x:v>0.7435301</x:v>
      </x:c>
      <x:c r="D631" s="23" t="n">
        <x:v>-7.995902</x:v>
      </x:c>
      <x:c r="E631" s="23" t="n">
        <x:f>'Parameters'!$B$2*'Parameters'!$B$3*LN(4*PI()*C631^2)</x:f>
        <x:v>4.8050422020545716</x:v>
      </x:c>
      <x:c r="F631" s="23" t="n">
        <x:f>D631+E631</x:f>
        <x:v>-3.1908597979454285</x:v>
      </x:c>
      <x:c r="G631" s="23" t="n">
        <x:f>AVERAGE($F$743:$F$767)</x:f>
        <x:v>-0.5858924514092341</x:v>
      </x:c>
      <x:c r="H631" s="24" t="n">
        <x:f>F631-G631</x:f>
        <x:v>-2.6049673465361947</x:v>
      </x:c>
    </x:row>
    <x:row r="632">
      <x:c r="A632" s="2" t="str">
        <x:v>LiDS-1</x:v>
      </x:c>
      <x:c r="B632" s="4" t="str">
        <x:v>NaCl</x:v>
      </x:c>
      <x:c r="C632" s="23" t="n">
        <x:v>0.7557451</x:v>
      </x:c>
      <x:c r="D632" s="23" t="n">
        <x:v>-8.021624</x:v>
      </x:c>
      <x:c r="E632" s="23" t="n">
        <x:f>'Parameters'!$B$2*'Parameters'!$B$3*LN(4*PI()*C632^2)</x:f>
        <x:v>4.885830919506415</x:v>
      </x:c>
      <x:c r="F632" s="23" t="n">
        <x:f>D632+E632</x:f>
        <x:v>-3.135793080493584</x:v>
      </x:c>
      <x:c r="G632" s="23" t="n">
        <x:f>AVERAGE($F$743:$F$767)</x:f>
        <x:v>-0.5858924514092341</x:v>
      </x:c>
      <x:c r="H632" s="24" t="n">
        <x:f>F632-G632</x:f>
        <x:v>-2.54990062908435</x:v>
      </x:c>
    </x:row>
    <x:row r="633">
      <x:c r="A633" s="2" t="str">
        <x:v>LiDS-1</x:v>
      </x:c>
      <x:c r="B633" s="4" t="str">
        <x:v>NaCl</x:v>
      </x:c>
      <x:c r="C633" s="23" t="n">
        <x:v>0.7679602</x:v>
      </x:c>
      <x:c r="D633" s="23" t="n">
        <x:v>-7.951791</x:v>
      </x:c>
      <x:c r="E633" s="23" t="n">
        <x:f>'Parameters'!$B$2*'Parameters'!$B$3*LN(4*PI()*C633^2)</x:f>
        <x:v>4.965324918055374</x:v>
      </x:c>
      <x:c r="F633" s="23" t="n">
        <x:f>D633+E633</x:f>
        <x:v>-2.9864660819446263</x:v>
      </x:c>
      <x:c r="G633" s="23" t="n">
        <x:f>AVERAGE($F$743:$F$767)</x:f>
        <x:v>-0.5858924514092341</x:v>
      </x:c>
      <x:c r="H633" s="24" t="n">
        <x:f>F633-G633</x:f>
        <x:v>-2.4005736305353924</x:v>
      </x:c>
    </x:row>
    <x:row r="634">
      <x:c r="A634" s="2" t="str">
        <x:v>LiDS-1</x:v>
      </x:c>
      <x:c r="B634" s="4" t="str">
        <x:v>NaCl</x:v>
      </x:c>
      <x:c r="C634" s="23" t="n">
        <x:v>0.7801753</x:v>
      </x:c>
      <x:c r="D634" s="23" t="n">
        <x:v>-8.084484</x:v>
      </x:c>
      <x:c r="E634" s="23" t="n">
        <x:f>'Parameters'!$B$2*'Parameters'!$B$3*LN(4*PI()*C634^2)</x:f>
        <x:v>5.0435644168941876</x:v>
      </x:c>
      <x:c r="F634" s="23" t="n">
        <x:f>D634+E634</x:f>
        <x:v>-3.0409195831058122</x:v>
      </x:c>
      <x:c r="G634" s="23" t="n">
        <x:f>AVERAGE($F$743:$F$767)</x:f>
        <x:v>-0.5858924514092341</x:v>
      </x:c>
      <x:c r="H634" s="24" t="n">
        <x:f>F634-G634</x:f>
        <x:v>-2.4550271316965784</x:v>
      </x:c>
    </x:row>
    <x:row r="635">
      <x:c r="A635" s="2" t="str">
        <x:v>LiDS-1</x:v>
      </x:c>
      <x:c r="B635" s="4" t="str">
        <x:v>NaCl</x:v>
      </x:c>
      <x:c r="C635" s="23" t="n">
        <x:v>0.7923904</x:v>
      </x:c>
      <x:c r="D635" s="23" t="n">
        <x:v>-7.964012</x:v>
      </x:c>
      <x:c r="E635" s="23" t="n">
        <x:f>'Parameters'!$B$2*'Parameters'!$B$3*LN(4*PI()*C635^2)</x:f>
        <x:v>5.120588396343468</x:v>
      </x:c>
      <x:c r="F635" s="23" t="n">
        <x:f>D635+E635</x:f>
        <x:v>-2.8434236036565324</x:v>
      </x:c>
      <x:c r="G635" s="23" t="n">
        <x:f>AVERAGE($F$743:$F$767)</x:f>
        <x:v>-0.5858924514092341</x:v>
      </x:c>
      <x:c r="H635" s="24" t="n">
        <x:f>F635-G635</x:f>
        <x:v>-2.2575311522472985</x:v>
      </x:c>
    </x:row>
    <x:row r="636">
      <x:c r="A636" s="2" t="str">
        <x:v>LiDS-1</x:v>
      </x:c>
      <x:c r="B636" s="4" t="str">
        <x:v>NaCl</x:v>
      </x:c>
      <x:c r="C636" s="23" t="n">
        <x:v>0.8046055</x:v>
      </x:c>
      <x:c r="D636" s="23" t="n">
        <x:v>-8.076173</x:v>
      </x:c>
      <x:c r="E636" s="23" t="n">
        <x:f>'Parameters'!$B$2*'Parameters'!$B$3*LN(4*PI()*C636^2)</x:f>
        <x:v>5.196434047665219</x:v>
      </x:c>
      <x:c r="F636" s="23" t="n">
        <x:f>D636+E636</x:f>
        <x:v>-2.8797389523347814</x:v>
      </x:c>
      <x:c r="G636" s="23" t="n">
        <x:f>AVERAGE($F$743:$F$767)</x:f>
        <x:v>-0.5858924514092341</x:v>
      </x:c>
      <x:c r="H636" s="24" t="n">
        <x:f>F636-G636</x:f>
        <x:v>-2.2938465009255475</x:v>
      </x:c>
    </x:row>
    <x:row r="637">
      <x:c r="A637" s="2" t="str">
        <x:v>LiDS-1</x:v>
      </x:c>
      <x:c r="B637" s="4" t="str">
        <x:v>NaCl</x:v>
      </x:c>
      <x:c r="C637" s="23" t="n">
        <x:v>0.8168206</x:v>
      </x:c>
      <x:c r="D637" s="23" t="n">
        <x:v>-8.194975</x:v>
      </x:c>
      <x:c r="E637" s="23" t="n">
        <x:f>'Parameters'!$B$2*'Parameters'!$B$3*LN(4*PI()*C637^2)</x:f>
        <x:v>5.271136880897116</x:v>
      </x:c>
      <x:c r="F637" s="23" t="n">
        <x:f>D637+E637</x:f>
        <x:v>-2.923838119102883</x:v>
      </x:c>
      <x:c r="G637" s="23" t="n">
        <x:f>AVERAGE($F$743:$F$767)</x:f>
        <x:v>-0.5858924514092341</x:v>
      </x:c>
      <x:c r="H637" s="24" t="n">
        <x:f>F637-G637</x:f>
        <x:v>-2.337945667693649</x:v>
      </x:c>
    </x:row>
    <x:row r="638">
      <x:c r="A638" s="2" t="str">
        <x:v>LiDS-1</x:v>
      </x:c>
      <x:c r="B638" s="4" t="str">
        <x:v>NaCl</x:v>
      </x:c>
      <x:c r="C638" s="23" t="n">
        <x:v>0.8290356</x:v>
      </x:c>
      <x:c r="D638" s="23" t="n">
        <x:v>-8.22692</x:v>
      </x:c>
      <x:c r="E638" s="23" t="n">
        <x:f>'Parameters'!$B$2*'Parameters'!$B$3*LN(4*PI()*C638^2)</x:f>
        <x:v>5.3447302266488</x:v>
      </x:c>
      <x:c r="F638" s="23" t="n">
        <x:f>D638+E638</x:f>
        <x:v>-2.8821897733511994</x:v>
      </x:c>
      <x:c r="G638" s="23" t="n">
        <x:f>AVERAGE($F$743:$F$767)</x:f>
        <x:v>-0.5858924514092341</x:v>
      </x:c>
      <x:c r="H638" s="24" t="n">
        <x:f>F638-G638</x:f>
        <x:v>-2.2962973219419656</x:v>
      </x:c>
    </x:row>
    <x:row r="639">
      <x:c r="A639" s="2" t="str">
        <x:v>LiDS-1</x:v>
      </x:c>
      <x:c r="B639" s="4" t="str">
        <x:v>NaCl</x:v>
      </x:c>
      <x:c r="C639" s="23" t="n">
        <x:v>0.8412507</x:v>
      </x:c>
      <x:c r="D639" s="23" t="n">
        <x:v>-8.367995</x:v>
      </x:c>
      <x:c r="E639" s="23" t="n">
        <x:f>'Parameters'!$B$2*'Parameters'!$B$3*LN(4*PI()*C639^2)</x:f>
        <x:v>5.417247729449567</x:v>
      </x:c>
      <x:c r="F639" s="23" t="n">
        <x:f>D639+E639</x:f>
        <x:v>-2.9507472705504334</x:v>
      </x:c>
      <x:c r="G639" s="23" t="n">
        <x:f>AVERAGE($F$743:$F$767)</x:f>
        <x:v>-0.5858924514092341</x:v>
      </x:c>
      <x:c r="H639" s="24" t="n">
        <x:f>F639-G639</x:f>
        <x:v>-2.3648548191411995</x:v>
      </x:c>
    </x:row>
    <x:row r="640">
      <x:c r="A640" s="2" t="str">
        <x:v>LiDS-1</x:v>
      </x:c>
      <x:c r="B640" s="4" t="str">
        <x:v>NaCl</x:v>
      </x:c>
      <x:c r="C640" s="23" t="n">
        <x:v>0.8534658</x:v>
      </x:c>
      <x:c r="D640" s="23" t="n">
        <x:v>-8.557824</x:v>
      </x:c>
      <x:c r="E640" s="23" t="n">
        <x:f>'Parameters'!$B$2*'Parameters'!$B$3*LN(4*PI()*C640^2)</x:f>
        <x:v>5.488719819104536</x:v>
      </x:c>
      <x:c r="F640" s="23" t="n">
        <x:f>D640+E640</x:f>
        <x:v>-3.069104180895464</x:v>
      </x:c>
      <x:c r="G640" s="23" t="n">
        <x:f>AVERAGE($F$743:$F$767)</x:f>
        <x:v>-0.5858924514092341</x:v>
      </x:c>
      <x:c r="H640" s="24" t="n">
        <x:f>F640-G640</x:f>
        <x:v>-2.4832117294862304</x:v>
      </x:c>
    </x:row>
    <x:row r="641">
      <x:c r="A641" s="2" t="str">
        <x:v>LiDS-1</x:v>
      </x:c>
      <x:c r="B641" s="4" t="str">
        <x:v>NaCl</x:v>
      </x:c>
      <x:c r="C641" s="23" t="n">
        <x:v>0.8656809</x:v>
      </x:c>
      <x:c r="D641" s="23" t="n">
        <x:v>-8.544065</x:v>
      </x:c>
      <x:c r="E641" s="23" t="n">
        <x:f>'Parameters'!$B$2*'Parameters'!$B$3*LN(4*PI()*C641^2)</x:f>
        <x:v>5.559176209145958</x:v>
      </x:c>
      <x:c r="F641" s="23" t="n">
        <x:f>D641+E641</x:f>
        <x:v>-2.9848887908540416</x:v>
      </x:c>
      <x:c r="G641" s="23" t="n">
        <x:f>AVERAGE($F$743:$F$767)</x:f>
        <x:v>-0.5858924514092341</x:v>
      </x:c>
      <x:c r="H641" s="24" t="n">
        <x:f>F641-G641</x:f>
        <x:v>-2.3989963394448077</x:v>
      </x:c>
    </x:row>
    <x:row r="642">
      <x:c r="A642" s="2" t="str">
        <x:v>LiDS-1</x:v>
      </x:c>
      <x:c r="B642" s="4" t="str">
        <x:v>NaCl</x:v>
      </x:c>
      <x:c r="C642" s="23" t="n">
        <x:v>0.877896</x:v>
      </x:c>
      <x:c r="D642" s="23" t="n">
        <x:v>-8.575421</x:v>
      </x:c>
      <x:c r="E642" s="23" t="n">
        <x:f>'Parameters'!$B$2*'Parameters'!$B$3*LN(4*PI()*C642^2)</x:f>
        <x:v>5.6286453640254015</x:v>
      </x:c>
      <x:c r="F642" s="23" t="n">
        <x:f>D642+E642</x:f>
        <x:v>-2.946775635974599</x:v>
      </x:c>
      <x:c r="G642" s="23" t="n">
        <x:f>AVERAGE($F$743:$F$767)</x:f>
        <x:v>-0.5858924514092341</x:v>
      </x:c>
      <x:c r="H642" s="24" t="n">
        <x:f>F642-G642</x:f>
        <x:v>-2.360883184565365</x:v>
      </x:c>
    </x:row>
    <x:row r="643">
      <x:c r="A643" s="2" t="str">
        <x:v>LiDS-1</x:v>
      </x:c>
      <x:c r="B643" s="4" t="str">
        <x:v>NaCl</x:v>
      </x:c>
      <x:c r="C643" s="23" t="n">
        <x:v>0.8901111</x:v>
      </x:c>
      <x:c r="D643" s="23" t="n">
        <x:v>-8.694992</x:v>
      </x:c>
      <x:c r="E643" s="23" t="n">
        <x:f>'Parameters'!$B$2*'Parameters'!$B$3*LN(4*PI()*C643^2)</x:f>
        <x:v>5.697154568158245</x:v>
      </x:c>
      <x:c r="F643" s="23" t="n">
        <x:f>D643+E643</x:f>
        <x:v>-2.997837431841754</x:v>
      </x:c>
      <x:c r="G643" s="23" t="n">
        <x:f>AVERAGE($F$743:$F$767)</x:f>
        <x:v>-0.5858924514092341</x:v>
      </x:c>
      <x:c r="H643" s="24" t="n">
        <x:f>F643-G643</x:f>
        <x:v>-2.41194498043252</x:v>
      </x:c>
    </x:row>
    <x:row r="644">
      <x:c r="A644" s="2" t="str">
        <x:v>LiDS-1</x:v>
      </x:c>
      <x:c r="B644" s="4" t="str">
        <x:v>NaCl</x:v>
      </x:c>
      <x:c r="C644" s="23" t="n">
        <x:v>0.9023262</x:v>
      </x:c>
      <x:c r="D644" s="23" t="n">
        <x:v>-8.709389</x:v>
      </x:c>
      <x:c r="E644" s="23" t="n">
        <x:f>'Parameters'!$B$2*'Parameters'!$B$3*LN(4*PI()*C644^2)</x:f>
        <x:v>5.764729990262478</x:v>
      </x:c>
      <x:c r="F644" s="23" t="n">
        <x:f>D644+E644</x:f>
        <x:v>-2.9446590097375216</x:v>
      </x:c>
      <x:c r="G644" s="23" t="n">
        <x:f>AVERAGE($F$743:$F$767)</x:f>
        <x:v>-0.5858924514092341</x:v>
      </x:c>
      <x:c r="H644" s="24" t="n">
        <x:f>F644-G644</x:f>
        <x:v>-2.3587665583282877</x:v>
      </x:c>
    </x:row>
    <x:row r="645">
      <x:c r="A645" s="2" t="str">
        <x:v>LiDS-1</x:v>
      </x:c>
      <x:c r="B645" s="4" t="str">
        <x:v>NaCl</x:v>
      </x:c>
      <x:c r="C645" s="23" t="n">
        <x:v>0.9145412</x:v>
      </x:c>
      <x:c r="D645" s="23" t="n">
        <x:v>-8.656768</x:v>
      </x:c>
      <x:c r="E645" s="23" t="n">
        <x:f>'Parameters'!$B$2*'Parameters'!$B$3*LN(4*PI()*C645^2)</x:f>
        <x:v>5.831396201251153</x:v>
      </x:c>
      <x:c r="F645" s="23" t="n">
        <x:f>D645+E645</x:f>
        <x:v>-2.8253717987488463</x:v>
      </x:c>
      <x:c r="G645" s="23" t="n">
        <x:f>AVERAGE($F$743:$F$767)</x:f>
        <x:v>-0.5858924514092341</x:v>
      </x:c>
      <x:c r="H645" s="24" t="n">
        <x:f>F645-G645</x:f>
        <x:v>-2.2394793473396124</x:v>
      </x:c>
    </x:row>
    <x:row r="646">
      <x:c r="A646" s="2" t="str">
        <x:v>LiDS-1</x:v>
      </x:c>
      <x:c r="B646" s="4" t="str">
        <x:v>NaCl</x:v>
      </x:c>
      <x:c r="C646" s="23" t="n">
        <x:v>0.9267563</x:v>
      </x:c>
      <x:c r="D646" s="23" t="n">
        <x:v>-8.801593</x:v>
      </x:c>
      <x:c r="E646" s="23" t="n">
        <x:f>'Parameters'!$B$2*'Parameters'!$B$3*LN(4*PI()*C646^2)</x:f>
        <x:v>5.89717840589033</x:v>
      </x:c>
      <x:c r="F646" s="23" t="n">
        <x:f>D646+E646</x:f>
        <x:v>-2.904414594109671</x:v>
      </x:c>
      <x:c r="G646" s="23" t="n">
        <x:f>AVERAGE($F$743:$F$767)</x:f>
        <x:v>-0.5858924514092341</x:v>
      </x:c>
      <x:c r="H646" s="24" t="n">
        <x:f>F646-G646</x:f>
        <x:v>-2.318522142700437</x:v>
      </x:c>
    </x:row>
    <x:row r="647">
      <x:c r="A647" s="2" t="str">
        <x:v>LiDS-1</x:v>
      </x:c>
      <x:c r="B647" s="4" t="str">
        <x:v>NaCl</x:v>
      </x:c>
      <x:c r="C647" s="23" t="n">
        <x:v>0.9389714</x:v>
      </x:c>
      <x:c r="D647" s="23" t="n">
        <x:v>-8.682709</x:v>
      </x:c>
      <x:c r="E647" s="23" t="n">
        <x:f>'Parameters'!$B$2*'Parameters'!$B$3*LN(4*PI()*C647^2)</x:f>
        <x:v>5.962099220817396</x:v>
      </x:c>
      <x:c r="F647" s="23" t="n">
        <x:f>D647+E647</x:f>
        <x:v>-2.7206097791826034</x:v>
      </x:c>
      <x:c r="G647" s="23" t="n">
        <x:f>AVERAGE($F$743:$F$767)</x:f>
        <x:v>-0.5858924514092341</x:v>
      </x:c>
      <x:c r="H647" s="24" t="n">
        <x:f>F647-G647</x:f>
        <x:v>-2.1347173277733695</x:v>
      </x:c>
    </x:row>
    <x:row r="648">
      <x:c r="A648" s="2" t="str">
        <x:v>LiDS-1</x:v>
      </x:c>
      <x:c r="B648" s="4" t="str">
        <x:v>NaCl</x:v>
      </x:c>
      <x:c r="C648" s="23" t="n">
        <x:v>0.9511865</x:v>
      </x:c>
      <x:c r="D648" s="23" t="n">
        <x:v>-8.646168</x:v>
      </x:c>
      <x:c r="E648" s="23" t="n">
        <x:f>'Parameters'!$B$2*'Parameters'!$B$3*LN(4*PI()*C648^2)</x:f>
        <x:v>6.026180913815864</x:v>
      </x:c>
      <x:c r="F648" s="23" t="n">
        <x:f>D648+E648</x:f>
        <x:v>-2.6199870861841354</x:v>
      </x:c>
      <x:c r="G648" s="23" t="n">
        <x:f>AVERAGE($F$743:$F$767)</x:f>
        <x:v>-0.5858924514092341</x:v>
      </x:c>
      <x:c r="H648" s="24" t="n">
        <x:f>F648-G648</x:f>
        <x:v>-2.0340946347749016</x:v>
      </x:c>
    </x:row>
    <x:row r="649">
      <x:c r="A649" s="2" t="str">
        <x:v>LiDS-1</x:v>
      </x:c>
      <x:c r="B649" s="4" t="str">
        <x:v>NaCl</x:v>
      </x:c>
      <x:c r="C649" s="23" t="n">
        <x:v>0.9634016</x:v>
      </x:c>
      <x:c r="D649" s="23" t="n">
        <x:v>-8.841469</x:v>
      </x:c>
      <x:c r="E649" s="23" t="n">
        <x:f>'Parameters'!$B$2*'Parameters'!$B$3*LN(4*PI()*C649^2)</x:f>
        <x:v>6.089444900209371</x:v>
      </x:c>
      <x:c r="F649" s="23" t="n">
        <x:f>D649+E649</x:f>
        <x:v>-2.7520240997906287</x:v>
      </x:c>
      <x:c r="G649" s="23" t="n">
        <x:f>AVERAGE($F$743:$F$767)</x:f>
        <x:v>-0.5858924514092341</x:v>
      </x:c>
      <x:c r="H649" s="24" t="n">
        <x:f>F649-G649</x:f>
        <x:v>-2.166131648381395</x:v>
      </x:c>
    </x:row>
    <x:row r="650">
      <x:c r="A650" s="2" t="str">
        <x:v>LiDS-1</x:v>
      </x:c>
      <x:c r="B650" s="4" t="str">
        <x:v>NaCl</x:v>
      </x:c>
      <x:c r="C650" s="23" t="n">
        <x:v>0.9756167</x:v>
      </x:c>
      <x:c r="D650" s="23" t="n">
        <x:v>-8.681093</x:v>
      </x:c>
      <x:c r="E650" s="23" t="n">
        <x:f>'Parameters'!$B$2*'Parameters'!$B$3*LN(4*PI()*C650^2)</x:f>
        <x:v>6.1519117858260515</x:v>
      </x:c>
      <x:c r="F650" s="23" t="n">
        <x:f>D650+E650</x:f>
        <x:v>-2.529181214173949</x:v>
      </x:c>
      <x:c r="G650" s="23" t="n">
        <x:f>AVERAGE($F$743:$F$767)</x:f>
        <x:v>-0.5858924514092341</x:v>
      </x:c>
      <x:c r="H650" s="24" t="n">
        <x:f>F650-G650</x:f>
        <x:v>-1.943288762764715</x:v>
      </x:c>
    </x:row>
    <x:row r="651">
      <x:c r="A651" s="2" t="str">
        <x:v>LiDS-1</x:v>
      </x:c>
      <x:c r="B651" s="4" t="str">
        <x:v>NaCl</x:v>
      </x:c>
      <x:c r="C651" s="23" t="n">
        <x:v>0.9878317</x:v>
      </x:c>
      <x:c r="D651" s="23" t="n">
        <x:v>-8.750501</x:v>
      </x:c>
      <x:c r="E651" s="23" t="n">
        <x:f>'Parameters'!$B$2*'Parameters'!$B$3*LN(4*PI()*C651^2)</x:f>
        <x:v>6.213600905391148</x:v>
      </x:c>
      <x:c r="F651" s="23" t="n">
        <x:f>D651+E651</x:f>
        <x:v>-2.5369000946088516</x:v>
      </x:c>
      <x:c r="G651" s="23" t="n">
        <x:f>AVERAGE($F$743:$F$767)</x:f>
        <x:v>-0.5858924514092341</x:v>
      </x:c>
      <x:c r="H651" s="24" t="n">
        <x:f>F651-G651</x:f>
        <x:v>-1.9510076431996175</x:v>
      </x:c>
    </x:row>
    <x:row r="652">
      <x:c r="A652" s="2" t="str">
        <x:v>LiDS-1</x:v>
      </x:c>
      <x:c r="B652" s="4" t="str">
        <x:v>NaCl</x:v>
      </x:c>
      <x:c r="C652" s="23" t="n">
        <x:v>1.000047</x:v>
      </x:c>
      <x:c r="D652" s="23" t="n">
        <x:v>-8.822405</x:v>
      </x:c>
      <x:c r="E652" s="23" t="n">
        <x:f>'Parameters'!$B$2*'Parameters'!$B$3*LN(4*PI()*C652^2)</x:f>
        <x:v>6.274533365603553</x:v>
      </x:c>
      <x:c r="F652" s="23" t="n">
        <x:f>D652+E652</x:f>
        <x:v>-2.547871634396447</x:v>
      </x:c>
      <x:c r="G652" s="23" t="n">
        <x:f>AVERAGE($F$743:$F$767)</x:f>
        <x:v>-0.5858924514092341</x:v>
      </x:c>
      <x:c r="H652" s="24" t="n">
        <x:f>F652-G652</x:f>
        <x:v>-1.961979182987213</x:v>
      </x:c>
    </x:row>
    <x:row r="653">
      <x:c r="A653" s="2" t="str">
        <x:v>LiDS-1</x:v>
      </x:c>
      <x:c r="B653" s="4" t="str">
        <x:v>NaCl</x:v>
      </x:c>
      <x:c r="C653" s="23" t="n">
        <x:v>1.012262</x:v>
      </x:c>
      <x:c r="D653" s="23" t="n">
        <x:v>-8.830497</x:v>
      </x:c>
      <x:c r="E653" s="23" t="n">
        <x:f>'Parameters'!$B$2*'Parameters'!$B$3*LN(4*PI()*C653^2)</x:f>
        <x:v>6.334724582828422</x:v>
      </x:c>
      <x:c r="F653" s="23" t="n">
        <x:f>D653+E653</x:f>
        <x:v>-2.495772417171577</x:v>
      </x:c>
      <x:c r="G653" s="23" t="n">
        <x:f>AVERAGE($F$743:$F$767)</x:f>
        <x:v>-0.5858924514092341</x:v>
      </x:c>
      <x:c r="H653" s="24" t="n">
        <x:f>F653-G653</x:f>
        <x:v>-1.9098799657623429</x:v>
      </x:c>
    </x:row>
    <x:row r="654">
      <x:c r="A654" s="2" t="str">
        <x:v>LiDS-1</x:v>
      </x:c>
      <x:c r="B654" s="4" t="str">
        <x:v>NaCl</x:v>
      </x:c>
      <x:c r="C654" s="23" t="n">
        <x:v>1.024477</x:v>
      </x:c>
      <x:c r="D654" s="23" t="n">
        <x:v>-8.873311</x:v>
      </x:c>
      <x:c r="E654" s="23" t="n">
        <x:f>'Parameters'!$B$2*'Parameters'!$B$3*LN(4*PI()*C654^2)</x:f>
        <x:v>6.394193809208179</x:v>
      </x:c>
      <x:c r="F654" s="23" t="n">
        <x:f>D654+E654</x:f>
        <x:v>-2.47911719079182</x:v>
      </x:c>
      <x:c r="G654" s="23" t="n">
        <x:f>AVERAGE($F$743:$F$767)</x:f>
        <x:v>-0.5858924514092341</x:v>
      </x:c>
      <x:c r="H654" s="24" t="n">
        <x:f>F654-G654</x:f>
        <x:v>-1.893224739382586</x:v>
      </x:c>
    </x:row>
    <x:row r="655">
      <x:c r="A655" s="2" t="str">
        <x:v>LiDS-1</x:v>
      </x:c>
      <x:c r="B655" s="4" t="str">
        <x:v>NaCl</x:v>
      </x:c>
      <x:c r="C655" s="23" t="n">
        <x:v>1.036692</x:v>
      </x:c>
      <x:c r="D655" s="23" t="n">
        <x:v>-8.868345</x:v>
      </x:c>
      <x:c r="E655" s="23" t="n">
        <x:f>'Parameters'!$B$2*'Parameters'!$B$3*LN(4*PI()*C655^2)</x:f>
        <x:v>6.452958160140269</x:v>
      </x:c>
      <x:c r="F655" s="23" t="n">
        <x:f>D655+E655</x:f>
        <x:v>-2.415386839859731</x:v>
      </x:c>
      <x:c r="G655" s="23" t="n">
        <x:f>AVERAGE($F$743:$F$767)</x:f>
        <x:v>-0.5858924514092341</x:v>
      </x:c>
      <x:c r="H655" s="24" t="n">
        <x:f>F655-G655</x:f>
        <x:v>-1.8294943884504968</x:v>
      </x:c>
    </x:row>
    <x:row r="656">
      <x:c r="A656" s="2" t="str">
        <x:v>LiDS-1</x:v>
      </x:c>
      <x:c r="B656" s="4" t="str">
        <x:v>NaCl</x:v>
      </x:c>
      <x:c r="C656" s="23" t="n">
        <x:v>1.048907</x:v>
      </x:c>
      <x:c r="D656" s="23" t="n">
        <x:v>-8.856202</x:v>
      </x:c>
      <x:c r="E656" s="23" t="n">
        <x:f>'Parameters'!$B$2*'Parameters'!$B$3*LN(4*PI()*C656^2)</x:f>
        <x:v>6.511034149542236</x:v>
      </x:c>
      <x:c r="F656" s="23" t="n">
        <x:f>D656+E656</x:f>
        <x:v>-2.3451678504577638</x:v>
      </x:c>
      <x:c r="G656" s="23" t="n">
        <x:f>AVERAGE($F$743:$F$767)</x:f>
        <x:v>-0.5858924514092341</x:v>
      </x:c>
      <x:c r="H656" s="24" t="n">
        <x:f>F656-G656</x:f>
        <x:v>-1.7592753990485297</x:v>
      </x:c>
    </x:row>
    <x:row r="657">
      <x:c r="A657" s="2" t="str">
        <x:v>LiDS-1</x:v>
      </x:c>
      <x:c r="B657" s="4" t="str">
        <x:v>NaCl</x:v>
      </x:c>
      <x:c r="C657" s="23" t="n">
        <x:v>1.061122</x:v>
      </x:c>
      <x:c r="D657" s="23" t="n">
        <x:v>-9.024172</x:v>
      </x:c>
      <x:c r="E657" s="23" t="n">
        <x:f>'Parameters'!$B$2*'Parameters'!$B$3*LN(4*PI()*C657^2)</x:f>
        <x:v>6.568437717709142</x:v>
      </x:c>
      <x:c r="F657" s="23" t="n">
        <x:f>D657+E657</x:f>
        <x:v>-2.455734282290858</x:v>
      </x:c>
      <x:c r="G657" s="23" t="n">
        <x:f>AVERAGE($F$743:$F$767)</x:f>
        <x:v>-0.5858924514092341</x:v>
      </x:c>
      <x:c r="H657" s="24" t="n">
        <x:f>F657-G657</x:f>
        <x:v>-1.8698418308816238</x:v>
      </x:c>
    </x:row>
    <x:row r="658">
      <x:c r="A658" s="2" t="str">
        <x:v>LiDS-1</x:v>
      </x:c>
      <x:c r="B658" s="4" t="str">
        <x:v>NaCl</x:v>
      </x:c>
      <x:c r="C658" s="23" t="n">
        <x:v>1.073337</x:v>
      </x:c>
      <x:c r="D658" s="23" t="n">
        <x:v>-9.025868</x:v>
      </x:c>
      <x:c r="E658" s="23" t="n">
        <x:f>'Parameters'!$B$2*'Parameters'!$B$3*LN(4*PI()*C658^2)</x:f>
        <x:v>6.625184257576682</x:v>
      </x:c>
      <x:c r="F658" s="23" t="n">
        <x:f>D658+E658</x:f>
        <x:v>-2.4006837424233174</x:v>
      </x:c>
      <x:c r="G658" s="23" t="n">
        <x:f>AVERAGE($F$743:$F$767)</x:f>
        <x:v>-0.5858924514092341</x:v>
      </x:c>
      <x:c r="H658" s="24" t="n">
        <x:f>F658-G658</x:f>
        <x:v>-1.8147912910140833</x:v>
      </x:c>
    </x:row>
    <x:row r="659">
      <x:c r="A659" s="2" t="str">
        <x:v>LiDS-1</x:v>
      </x:c>
      <x:c r="B659" s="4" t="str">
        <x:v>NaCl</x:v>
      </x:c>
      <x:c r="C659" s="23" t="n">
        <x:v>1.085552</x:v>
      </x:c>
      <x:c r="D659" s="23" t="n">
        <x:v>-9.080607</x:v>
      </x:c>
      <x:c r="E659" s="23" t="n">
        <x:f>'Parameters'!$B$2*'Parameters'!$B$3*LN(4*PI()*C659^2)</x:f>
        <x:v>6.681288639498209</x:v>
      </x:c>
      <x:c r="F659" s="23" t="n">
        <x:f>D659+E659</x:f>
        <x:v>-2.399318360501791</x:v>
      </x:c>
      <x:c r="G659" s="23" t="n">
        <x:f>AVERAGE($F$743:$F$767)</x:f>
        <x:v>-0.5858924514092341</x:v>
      </x:c>
      <x:c r="H659" s="24" t="n">
        <x:f>F659-G659</x:f>
        <x:v>-1.813425909092557</x:v>
      </x:c>
    </x:row>
    <x:row r="660">
      <x:c r="A660" s="2" t="str">
        <x:v>LiDS-1</x:v>
      </x:c>
      <x:c r="B660" s="4" t="str">
        <x:v>NaCl</x:v>
      </x:c>
      <x:c r="C660" s="23" t="n">
        <x:v>1.097767</x:v>
      </x:c>
      <x:c r="D660" s="23" t="n">
        <x:v>-8.974656</x:v>
      </x:c>
      <x:c r="E660" s="23" t="n">
        <x:f>'Parameters'!$B$2*'Parameters'!$B$3*LN(4*PI()*C660^2)</x:f>
        <x:v>6.736765234635498</x:v>
      </x:c>
      <x:c r="F660" s="23" t="n">
        <x:f>D660+E660</x:f>
        <x:v>-2.2378907653645017</x:v>
      </x:c>
      <x:c r="G660" s="23" t="n">
        <x:f>AVERAGE($F$743:$F$767)</x:f>
        <x:v>-0.5858924514092341</x:v>
      </x:c>
      <x:c r="H660" s="24" t="n">
        <x:f>F660-G660</x:f>
        <x:v>-1.6519983139552676</x:v>
      </x:c>
    </x:row>
    <x:row r="661">
      <x:c r="A661" s="2" t="str">
        <x:v>LiDS-1</x:v>
      </x:c>
      <x:c r="B661" s="4" t="str">
        <x:v>NaCl</x:v>
      </x:c>
      <x:c r="C661" s="23" t="n">
        <x:v>1.109983</x:v>
      </x:c>
      <x:c r="D661" s="23" t="n">
        <x:v>-9.024323</x:v>
      </x:c>
      <x:c r="E661" s="23" t="n">
        <x:f>'Parameters'!$B$2*'Parameters'!$B$3*LN(4*PI()*C661^2)</x:f>
        <x:v>6.791632403714914</x:v>
      </x:c>
      <x:c r="F661" s="23" t="n">
        <x:f>D661+E661</x:f>
        <x:v>-2.232690596285087</x:v>
      </x:c>
      <x:c r="G661" s="23" t="n">
        <x:f>AVERAGE($F$743:$F$767)</x:f>
        <x:v>-0.5858924514092341</x:v>
      </x:c>
      <x:c r="H661" s="24" t="n">
        <x:f>F661-G661</x:f>
        <x:v>-1.6467981448758529</x:v>
      </x:c>
    </x:row>
    <x:row r="662">
      <x:c r="A662" s="2" t="str">
        <x:v>LiDS-1</x:v>
      </x:c>
      <x:c r="B662" s="4" t="str">
        <x:v>NaCl</x:v>
      </x:c>
      <x:c r="C662" s="23" t="n">
        <x:v>1.122198</x:v>
      </x:c>
      <x:c r="D662" s="23" t="n">
        <x:v>-9.172236</x:v>
      </x:c>
      <x:c r="E662" s="23" t="n">
        <x:f>'Parameters'!$B$2*'Parameters'!$B$3*LN(4*PI()*C662^2)</x:f>
        <x:v>6.84589460265691</x:v>
      </x:c>
      <x:c r="F662" s="23" t="n">
        <x:f>D662+E662</x:f>
        <x:v>-2.32634139734309</x:v>
      </x:c>
      <x:c r="G662" s="23" t="n">
        <x:f>AVERAGE($F$743:$F$767)</x:f>
        <x:v>-0.5858924514092341</x:v>
      </x:c>
      <x:c r="H662" s="24" t="n">
        <x:f>F662-G662</x:f>
        <x:v>-1.7404489459338561</x:v>
      </x:c>
    </x:row>
    <x:row r="663">
      <x:c r="A663" s="2" t="str">
        <x:v>LiDS-1</x:v>
      </x:c>
      <x:c r="B663" s="4" t="str">
        <x:v>NaCl</x:v>
      </x:c>
      <x:c r="C663" s="23" t="n">
        <x:v>1.134413</x:v>
      </x:c>
      <x:c r="D663" s="23" t="n">
        <x:v>-9.076845</x:v>
      </x:c>
      <x:c r="E663" s="23" t="n">
        <x:f>'Parameters'!$B$2*'Parameters'!$B$3*LN(4*PI()*C663^2)</x:f>
        <x:v>6.899569349194942</x:v>
      </x:c>
      <x:c r="F663" s="23" t="n">
        <x:f>D663+E663</x:f>
        <x:v>-2.1772756508050586</x:v>
      </x:c>
      <x:c r="G663" s="23" t="n">
        <x:f>AVERAGE($F$743:$F$767)</x:f>
        <x:v>-0.5858924514092341</x:v>
      </x:c>
      <x:c r="H663" s="24" t="n">
        <x:f>F663-G663</x:f>
        <x:v>-1.5913831993958245</x:v>
      </x:c>
    </x:row>
    <x:row r="664">
      <x:c r="A664" s="2" t="str">
        <x:v>LiDS-1</x:v>
      </x:c>
      <x:c r="B664" s="4" t="str">
        <x:v>NaCl</x:v>
      </x:c>
      <x:c r="C664" s="23" t="n">
        <x:v>1.146628</x:v>
      </x:c>
      <x:c r="D664" s="23" t="n">
        <x:v>-9.230728</x:v>
      </x:c>
      <x:c r="E664" s="23" t="n">
        <x:f>'Parameters'!$B$2*'Parameters'!$B$3*LN(4*PI()*C664^2)</x:f>
        <x:v>6.952669226950506</x:v>
      </x:c>
      <x:c r="F664" s="23" t="n">
        <x:f>D664+E664</x:f>
        <x:v>-2.2780587730494934</x:v>
      </x:c>
      <x:c r="G664" s="23" t="n">
        <x:f>AVERAGE($F$743:$F$767)</x:f>
        <x:v>-0.5858924514092341</x:v>
      </x:c>
      <x:c r="H664" s="24" t="n">
        <x:f>F664-G664</x:f>
        <x:v>-1.6921663216402594</x:v>
      </x:c>
    </x:row>
    <x:row r="665">
      <x:c r="A665" s="2" t="str">
        <x:v>LiDS-1</x:v>
      </x:c>
      <x:c r="B665" s="4" t="str">
        <x:v>NaCl</x:v>
      </x:c>
      <x:c r="C665" s="23" t="n">
        <x:v>1.158843</x:v>
      </x:c>
      <x:c r="D665" s="23" t="n">
        <x:v>-9.321202</x:v>
      </x:c>
      <x:c r="E665" s="23" t="n">
        <x:f>'Parameters'!$B$2*'Parameters'!$B$3*LN(4*PI()*C665^2)</x:f>
        <x:v>7.0052064195015795</x:v>
      </x:c>
      <x:c r="F665" s="23" t="n">
        <x:f>D665+E665</x:f>
        <x:v>-2.31599558049842</x:v>
      </x:c>
      <x:c r="G665" s="23" t="n">
        <x:f>AVERAGE($F$743:$F$767)</x:f>
        <x:v>-0.5858924514092341</x:v>
      </x:c>
      <x:c r="H665" s="24" t="n">
        <x:f>F665-G665</x:f>
        <x:v>-1.730103129089186</x:v>
      </x:c>
    </x:row>
    <x:row r="666">
      <x:c r="A666" s="2" t="str">
        <x:v>LiDS-1</x:v>
      </x:c>
      <x:c r="B666" s="4" t="str">
        <x:v>NaCl</x:v>
      </x:c>
      <x:c r="C666" s="23" t="n">
        <x:v>1.171058</x:v>
      </x:c>
      <x:c r="D666" s="23" t="n">
        <x:v>-9.360664</x:v>
      </x:c>
      <x:c r="E666" s="23" t="n">
        <x:f>'Parameters'!$B$2*'Parameters'!$B$3*LN(4*PI()*C666^2)</x:f>
        <x:v>7.057192727161931</x:v>
      </x:c>
      <x:c r="F666" s="23" t="n">
        <x:f>D666+E666</x:f>
        <x:v>-2.3034712728380686</x:v>
      </x:c>
      <x:c r="G666" s="23" t="n">
        <x:f>AVERAGE($F$743:$F$767)</x:f>
        <x:v>-0.5858924514092341</x:v>
      </x:c>
      <x:c r="H666" s="24" t="n">
        <x:f>F666-G666</x:f>
        <x:v>-1.7175788214288346</x:v>
      </x:c>
    </x:row>
    <x:row r="667">
      <x:c r="A667" s="2" t="str">
        <x:v>LiDS-1</x:v>
      </x:c>
      <x:c r="B667" s="4" t="str">
        <x:v>NaCl</x:v>
      </x:c>
      <x:c r="C667" s="23" t="n">
        <x:v>1.183273</x:v>
      </x:c>
      <x:c r="D667" s="23" t="n">
        <x:v>-9.360229</x:v>
      </x:c>
      <x:c r="E667" s="23" t="n">
        <x:f>'Parameters'!$B$2*'Parameters'!$B$3*LN(4*PI()*C667^2)</x:f>
        <x:v>7.108639582889793</x:v>
      </x:c>
      <x:c r="F667" s="23" t="n">
        <x:f>D667+E667</x:f>
        <x:v>-2.2515894171102078</x:v>
      </x:c>
      <x:c r="G667" s="23" t="n">
        <x:f>AVERAGE($F$743:$F$767)</x:f>
        <x:v>-0.5858924514092341</x:v>
      </x:c>
      <x:c r="H667" s="24" t="n">
        <x:f>F667-G667</x:f>
        <x:v>-1.6656969657009737</x:v>
      </x:c>
    </x:row>
    <x:row r="668">
      <x:c r="A668" s="2" t="str">
        <x:v>LiDS-1</x:v>
      </x:c>
      <x:c r="B668" s="4" t="str">
        <x:v>NaCl</x:v>
      </x:c>
      <x:c r="C668" s="23" t="n">
        <x:v>1.195488</x:v>
      </x:c>
      <x:c r="D668" s="23" t="n">
        <x:v>-9.354013</x:v>
      </x:c>
      <x:c r="E668" s="23" t="n">
        <x:f>'Parameters'!$B$2*'Parameters'!$B$3*LN(4*PI()*C668^2)</x:f>
        <x:v>7.159558067379568</x:v>
      </x:c>
      <x:c r="F668" s="23" t="n">
        <x:f>D668+E668</x:f>
        <x:v>-2.194454932620432</x:v>
      </x:c>
      <x:c r="G668" s="23" t="n">
        <x:f>AVERAGE($F$743:$F$767)</x:f>
        <x:v>-0.5858924514092341</x:v>
      </x:c>
      <x:c r="H668" s="24" t="n">
        <x:f>F668-G668</x:f>
        <x:v>-1.6085624812111978</x:v>
      </x:c>
    </x:row>
    <x:row r="669">
      <x:c r="A669" s="2" t="str">
        <x:v>LiDS-1</x:v>
      </x:c>
      <x:c r="B669" s="4" t="str">
        <x:v>NaCl</x:v>
      </x:c>
      <x:c r="C669" s="23" t="n">
        <x:v>1.207703</x:v>
      </x:c>
      <x:c r="D669" s="23" t="n">
        <x:v>-9.333832</x:v>
      </x:c>
      <x:c r="E669" s="23" t="n">
        <x:f>'Parameters'!$B$2*'Parameters'!$B$3*LN(4*PI()*C669^2)</x:f>
        <x:v>7.209958923386443</x:v>
      </x:c>
      <x:c r="F669" s="23" t="n">
        <x:f>D669+E669</x:f>
        <x:v>-2.123873076613556</x:v>
      </x:c>
      <x:c r="G669" s="23" t="n">
        <x:f>AVERAGE($F$743:$F$767)</x:f>
        <x:v>-0.5858924514092341</x:v>
      </x:c>
      <x:c r="H669" s="24" t="n">
        <x:f>F669-G669</x:f>
        <x:v>-1.537980625204322</x:v>
      </x:c>
    </x:row>
    <x:row r="670">
      <x:c r="A670" s="2" t="str">
        <x:v>LiDS-1</x:v>
      </x:c>
      <x:c r="B670" s="4" t="str">
        <x:v>NaCl</x:v>
      </x:c>
      <x:c r="C670" s="23" t="n">
        <x:v>1.219918</x:v>
      </x:c>
      <x:c r="D670" s="23" t="n">
        <x:v>-9.470121</x:v>
      </x:c>
      <x:c r="E670" s="23" t="n">
        <x:f>'Parameters'!$B$2*'Parameters'!$B$3*LN(4*PI()*C670^2)</x:f>
        <x:v>7.259852569330165</x:v>
      </x:c>
      <x:c r="F670" s="23" t="n">
        <x:f>D670+E670</x:f>
        <x:v>-2.210268430669836</x:v>
      </x:c>
      <x:c r="G670" s="23" t="n">
        <x:f>AVERAGE($F$743:$F$767)</x:f>
        <x:v>-0.5858924514092341</x:v>
      </x:c>
      <x:c r="H670" s="24" t="n">
        <x:f>F670-G670</x:f>
        <x:v>-1.6243759792606018</x:v>
      </x:c>
    </x:row>
    <x:row r="671">
      <x:c r="A671" s="2" t="str">
        <x:v>LiDS-1</x:v>
      </x:c>
      <x:c r="B671" s="4" t="str">
        <x:v>NaCl</x:v>
      </x:c>
      <x:c r="C671" s="23" t="n">
        <x:v>1.232133</x:v>
      </x:c>
      <x:c r="D671" s="23" t="n">
        <x:v>-9.415458</x:v>
      </x:c>
      <x:c r="E671" s="23" t="n">
        <x:f>'Parameters'!$B$2*'Parameters'!$B$3*LN(4*PI()*C671^2)</x:f>
        <x:v>7.309249112221119</x:v>
      </x:c>
      <x:c r="F671" s="23" t="n">
        <x:f>D671+E671</x:f>
        <x:v>-2.1062088877788803</x:v>
      </x:c>
      <x:c r="G671" s="23" t="n">
        <x:f>AVERAGE($F$743:$F$767)</x:f>
        <x:v>-0.5858924514092341</x:v>
      </x:c>
      <x:c r="H671" s="24" t="n">
        <x:f>F671-G671</x:f>
        <x:v>-1.5203164363696462</x:v>
      </x:c>
    </x:row>
    <x:row r="672">
      <x:c r="A672" s="2" t="str">
        <x:v>LiDS-1</x:v>
      </x:c>
      <x:c r="B672" s="4" t="str">
        <x:v>NaCl</x:v>
      </x:c>
      <x:c r="C672" s="23" t="n">
        <x:v>1.244348</x:v>
      </x:c>
      <x:c r="D672" s="23" t="n">
        <x:v>-9.465994</x:v>
      </x:c>
      <x:c r="E672" s="23" t="n">
        <x:f>'Parameters'!$B$2*'Parameters'!$B$3*LN(4*PI()*C672^2)</x:f>
        <x:v>7.358158359948809</x:v>
      </x:c>
      <x:c r="F672" s="23" t="n">
        <x:f>D672+E672</x:f>
        <x:v>-2.1078356400511913</x:v>
      </x:c>
      <x:c r="G672" s="23" t="n">
        <x:f>AVERAGE($F$743:$F$767)</x:f>
        <x:v>-0.5858924514092341</x:v>
      </x:c>
      <x:c r="H672" s="24" t="n">
        <x:f>F672-G672</x:f>
        <x:v>-1.5219431886419572</x:v>
      </x:c>
    </x:row>
    <x:row r="673">
      <x:c r="A673" s="2" t="str">
        <x:v>LiDS-1</x:v>
      </x:c>
      <x:c r="B673" s="4" t="str">
        <x:v>NaCl</x:v>
      </x:c>
      <x:c r="C673" s="23" t="n">
        <x:v>1.256564</x:v>
      </x:c>
      <x:c r="D673" s="23" t="n">
        <x:v>-9.44978</x:v>
      </x:c>
      <x:c r="E673" s="23" t="n">
        <x:f>'Parameters'!$B$2*'Parameters'!$B$3*LN(4*PI()*C673^2)</x:f>
        <x:v>7.406593778583724</x:v>
      </x:c>
      <x:c r="F673" s="23" t="n">
        <x:f>D673+E673</x:f>
        <x:v>-2.043186221416277</x:v>
      </x:c>
      <x:c r="G673" s="23" t="n">
        <x:f>AVERAGE($F$743:$F$767)</x:f>
        <x:v>-0.5858924514092341</x:v>
      </x:c>
      <x:c r="H673" s="24" t="n">
        <x:f>F673-G673</x:f>
        <x:v>-1.4572937700070427</x:v>
      </x:c>
    </x:row>
    <x:row r="674">
      <x:c r="A674" s="2" t="str">
        <x:v>LiDS-1</x:v>
      </x:c>
      <x:c r="B674" s="4" t="str">
        <x:v>NaCl</x:v>
      </x:c>
      <x:c r="C674" s="23" t="n">
        <x:v>1.268779</x:v>
      </x:c>
      <x:c r="D674" s="23" t="n">
        <x:v>-9.57766</x:v>
      </x:c>
      <x:c r="E674" s="23" t="n">
        <x:f>'Parameters'!$B$2*'Parameters'!$B$3*LN(4*PI()*C674^2)</x:f>
        <x:v>7.454556683059853</x:v>
      </x:c>
      <x:c r="F674" s="23" t="n">
        <x:f>D674+E674</x:f>
        <x:v>-2.1231033169401465</x:v>
      </x:c>
      <x:c r="G674" s="23" t="n">
        <x:f>AVERAGE($F$743:$F$767)</x:f>
        <x:v>-0.5858924514092341</x:v>
      </x:c>
      <x:c r="H674" s="24" t="n">
        <x:f>F674-G674</x:f>
        <x:v>-1.5372108655309125</x:v>
      </x:c>
    </x:row>
    <x:row r="675">
      <x:c r="A675" s="2" t="str">
        <x:v>LiDS-1</x:v>
      </x:c>
      <x:c r="B675" s="4" t="str">
        <x:v>NaCl</x:v>
      </x:c>
      <x:c r="C675" s="23" t="n">
        <x:v>1.280994</x:v>
      </x:c>
      <x:c r="D675" s="23" t="n">
        <x:v>-9.589381</x:v>
      </x:c>
      <x:c r="E675" s="23" t="n">
        <x:f>'Parameters'!$B$2*'Parameters'!$B$3*LN(4*PI()*C675^2)</x:f>
        <x:v>7.502060036128462</x:v>
      </x:c>
      <x:c r="F675" s="23" t="n">
        <x:f>D675+E675</x:f>
        <x:v>-2.0873209638715373</x:v>
      </x:c>
      <x:c r="G675" s="23" t="n">
        <x:f>AVERAGE($F$743:$F$767)</x:f>
        <x:v>-0.5858924514092341</x:v>
      </x:c>
      <x:c r="H675" s="24" t="n">
        <x:f>F675-G675</x:f>
        <x:v>-1.5014285124623032</x:v>
      </x:c>
    </x:row>
    <x:row r="676">
      <x:c r="A676" s="2" t="str">
        <x:v>LiDS-1</x:v>
      </x:c>
      <x:c r="B676" s="4" t="str">
        <x:v>NaCl</x:v>
      </x:c>
      <x:c r="C676" s="23" t="n">
        <x:v>1.293209</x:v>
      </x:c>
      <x:c r="D676" s="23" t="n">
        <x:v>-9.568917</x:v>
      </x:c>
      <x:c r="E676" s="23" t="n">
        <x:f>'Parameters'!$B$2*'Parameters'!$B$3*LN(4*PI()*C676^2)</x:f>
        <x:v>7.5491125605640335</x:v>
      </x:c>
      <x:c r="F676" s="23" t="n">
        <x:f>D676+E676</x:f>
        <x:v>-2.0198044394359673</x:v>
      </x:c>
      <x:c r="G676" s="23" t="n">
        <x:f>AVERAGE($F$743:$F$767)</x:f>
        <x:v>-0.5858924514092341</x:v>
      </x:c>
      <x:c r="H676" s="24" t="n">
        <x:f>F676-G676</x:f>
        <x:v>-1.4339119880267333</x:v>
      </x:c>
    </x:row>
    <x:row r="677">
      <x:c r="A677" s="2" t="str">
        <x:v>LiDS-1</x:v>
      </x:c>
      <x:c r="B677" s="4" t="str">
        <x:v>NaCl</x:v>
      </x:c>
      <x:c r="C677" s="23" t="n">
        <x:v>1.305424</x:v>
      </x:c>
      <x:c r="D677" s="23" t="n">
        <x:v>-9.595944</x:v>
      </x:c>
      <x:c r="E677" s="23" t="n">
        <x:f>'Parameters'!$B$2*'Parameters'!$B$3*LN(4*PI()*C677^2)</x:f>
        <x:v>7.595722733122757</x:v>
      </x:c>
      <x:c r="F677" s="23" t="n">
        <x:f>D677+E677</x:f>
        <x:v>-2.0002212668772428</x:v>
      </x:c>
      <x:c r="G677" s="23" t="n">
        <x:f>AVERAGE($F$743:$F$767)</x:f>
        <x:v>-0.5858924514092341</x:v>
      </x:c>
      <x:c r="H677" s="24" t="n">
        <x:f>F677-G677</x:f>
        <x:v>-1.4143288154680087</x:v>
      </x:c>
    </x:row>
    <x:row r="678">
      <x:c r="A678" s="2" t="str">
        <x:v>LiDS-1</x:v>
      </x:c>
      <x:c r="B678" s="4" t="str">
        <x:v>NaCl</x:v>
      </x:c>
      <x:c r="C678" s="23" t="n">
        <x:v>1.317639</x:v>
      </x:c>
      <x:c r="D678" s="23" t="n">
        <x:v>-9.595476</x:v>
      </x:c>
      <x:c r="E678" s="23" t="n">
        <x:f>'Parameters'!$B$2*'Parameters'!$B$3*LN(4*PI()*C678^2)</x:f>
        <x:v>7.641898793708076</x:v>
      </x:c>
      <x:c r="F678" s="23" t="n">
        <x:f>D678+E678</x:f>
        <x:v>-1.953577206291924</x:v>
      </x:c>
      <x:c r="G678" s="23" t="n">
        <x:f>AVERAGE($F$743:$F$767)</x:f>
        <x:v>-0.5858924514092341</x:v>
      </x:c>
      <x:c r="H678" s="24" t="n">
        <x:f>F678-G678</x:f>
        <x:v>-1.36768475488269</x:v>
      </x:c>
    </x:row>
    <x:row r="679">
      <x:c r="A679" s="2" t="str">
        <x:v>LiDS-1</x:v>
      </x:c>
      <x:c r="B679" s="4" t="str">
        <x:v>NaCl</x:v>
      </x:c>
      <x:c r="C679" s="23" t="n">
        <x:v>1.329854</x:v>
      </x:c>
      <x:c r="D679" s="23" t="n">
        <x:v>-9.714251</x:v>
      </x:c>
      <x:c r="E679" s="23" t="n">
        <x:f>'Parameters'!$B$2*'Parameters'!$B$3*LN(4*PI()*C679^2)</x:f>
        <x:v>7.687648754113328</x:v>
      </x:c>
      <x:c r="F679" s="23" t="n">
        <x:f>D679+E679</x:f>
        <x:v>-2.0266022458866733</x:v>
      </x:c>
      <x:c r="G679" s="23" t="n">
        <x:f>AVERAGE($F$743:$F$767)</x:f>
        <x:v>-0.5858924514092341</x:v>
      </x:c>
      <x:c r="H679" s="24" t="n">
        <x:f>F679-G679</x:f>
        <x:v>-1.4407097944774392</x:v>
      </x:c>
    </x:row>
    <x:row r="680">
      <x:c r="A680" s="2" t="str">
        <x:v>LiDS-1</x:v>
      </x:c>
      <x:c r="B680" s="4" t="str">
        <x:v>NaCl</x:v>
      </x:c>
      <x:c r="C680" s="23" t="n">
        <x:v>1.342069</x:v>
      </x:c>
      <x:c r="D680" s="23" t="n">
        <x:v>-9.732247</x:v>
      </x:c>
      <x:c r="E680" s="23" t="n">
        <x:f>'Parameters'!$B$2*'Parameters'!$B$3*LN(4*PI()*C680^2)</x:f>
        <x:v>7.732980406364688</x:v>
      </x:c>
      <x:c r="F680" s="23" t="n">
        <x:f>D680+E680</x:f>
        <x:v>-1.9992665936353111</x:v>
      </x:c>
      <x:c r="G680" s="23" t="n">
        <x:f>AVERAGE($F$743:$F$767)</x:f>
        <x:v>-0.5858924514092341</x:v>
      </x:c>
      <x:c r="H680" s="24" t="n">
        <x:f>F680-G680</x:f>
        <x:v>-1.413374142226077</x:v>
      </x:c>
    </x:row>
    <x:row r="681">
      <x:c r="A681" s="2" t="str">
        <x:v>LiDS-1</x:v>
      </x:c>
      <x:c r="B681" s="4" t="str">
        <x:v>NaCl</x:v>
      </x:c>
      <x:c r="C681" s="23" t="n">
        <x:v>1.354284</x:v>
      </x:c>
      <x:c r="D681" s="23" t="n">
        <x:v>-9.702712</x:v>
      </x:c>
      <x:c r="E681" s="23" t="n">
        <x:f>'Parameters'!$B$2*'Parameters'!$B$3*LN(4*PI()*C681^2)</x:f>
        <x:v>7.777901330686158</x:v>
      </x:c>
      <x:c r="F681" s="23" t="n">
        <x:f>D681+E681</x:f>
        <x:v>-1.9248106693138416</x:v>
      </x:c>
      <x:c r="G681" s="23" t="n">
        <x:f>AVERAGE($F$743:$F$767)</x:f>
        <x:v>-0.5858924514092341</x:v>
      </x:c>
      <x:c r="H681" s="24" t="n">
        <x:f>F681-G681</x:f>
        <x:v>-1.3389182179046075</x:v>
      </x:c>
    </x:row>
    <x:row r="682">
      <x:c r="A682" s="2" t="str">
        <x:v>LiDS-1</x:v>
      </x:c>
      <x:c r="B682" s="4" t="str">
        <x:v>NaCl</x:v>
      </x:c>
      <x:c r="C682" s="23" t="n">
        <x:v>1.366499</x:v>
      </x:c>
      <x:c r="D682" s="23" t="n">
        <x:v>-9.837972</x:v>
      </x:c>
      <x:c r="E682" s="23" t="n">
        <x:f>'Parameters'!$B$2*'Parameters'!$B$3*LN(4*PI()*C682^2)</x:f>
        <x:v>7.822418903106932</x:v>
      </x:c>
      <x:c r="F682" s="23" t="n">
        <x:f>D682+E682</x:f>
        <x:v>-2.0155530968930684</x:v>
      </x:c>
      <x:c r="G682" s="23" t="n">
        <x:f>AVERAGE($F$743:$F$767)</x:f>
        <x:v>-0.5858924514092341</x:v>
      </x:c>
      <x:c r="H682" s="24" t="n">
        <x:f>F682-G682</x:f>
        <x:v>-1.4296606454838343</x:v>
      </x:c>
    </x:row>
    <x:row r="683">
      <x:c r="A683" s="2" t="str">
        <x:v>LiDS-1</x:v>
      </x:c>
      <x:c r="B683" s="4" t="str">
        <x:v>NaCl</x:v>
      </x:c>
      <x:c r="C683" s="23" t="n">
        <x:v>1.378714</x:v>
      </x:c>
      <x:c r="D683" s="23" t="n">
        <x:v>-9.931914</x:v>
      </x:c>
      <x:c r="E683" s="23" t="n">
        <x:f>'Parameters'!$B$2*'Parameters'!$B$3*LN(4*PI()*C683^2)</x:f>
        <x:v>7.866540302730265</x:v>
      </x:c>
      <x:c r="F683" s="23" t="n">
        <x:f>D683+E683</x:f>
        <x:v>-2.0653736972697354</x:v>
      </x:c>
      <x:c r="G683" s="23" t="n">
        <x:f>AVERAGE($F$743:$F$767)</x:f>
        <x:v>-0.5858924514092341</x:v>
      </x:c>
      <x:c r="H683" s="24" t="n">
        <x:f>F683-G683</x:f>
        <x:v>-1.4794812458605013</x:v>
      </x:c>
    </x:row>
    <x:row r="684">
      <x:c r="A684" s="2" t="str">
        <x:v>LiDS-1</x:v>
      </x:c>
      <x:c r="B684" s="4" t="str">
        <x:v>NaCl</x:v>
      </x:c>
      <x:c r="C684" s="23" t="n">
        <x:v>1.39093</x:v>
      </x:c>
      <x:c r="D684" s="23" t="n">
        <x:v>-9.972061</x:v>
      </x:c>
      <x:c r="E684" s="23" t="n">
        <x:f>'Parameters'!$B$2*'Parameters'!$B$3*LN(4*PI()*C684^2)</x:f>
        <x:v>7.910276083142823</x:v>
      </x:c>
      <x:c r="F684" s="23" t="n">
        <x:f>D684+E684</x:f>
        <x:v>-2.061784916857177</x:v>
      </x:c>
      <x:c r="G684" s="23" t="n">
        <x:f>AVERAGE($F$743:$F$767)</x:f>
        <x:v>-0.5858924514092341</x:v>
      </x:c>
      <x:c r="H684" s="24" t="n">
        <x:f>F684-G684</x:f>
        <x:v>-1.475892465447943</x:v>
      </x:c>
    </x:row>
    <x:row r="685">
      <x:c r="A685" s="2" t="str">
        <x:v>LiDS-1</x:v>
      </x:c>
      <x:c r="B685" s="4" t="str">
        <x:v>NaCl</x:v>
      </x:c>
      <x:c r="C685" s="23" t="n">
        <x:v>1.403145</x:v>
      </x:c>
      <x:c r="D685" s="23" t="n">
        <x:v>-10.19863</x:v>
      </x:c>
      <x:c r="E685" s="23" t="n">
        <x:f>'Parameters'!$B$2*'Parameters'!$B$3*LN(4*PI()*C685^2)</x:f>
        <x:v>7.953625890184661</x:v>
      </x:c>
      <x:c r="F685" s="23" t="n">
        <x:f>D685+E685</x:f>
        <x:v>-2.245004109815339</x:v>
      </x:c>
      <x:c r="G685" s="23" t="n">
        <x:f>AVERAGE($F$743:$F$767)</x:f>
        <x:v>-0.5858924514092341</x:v>
      </x:c>
      <x:c r="H685" s="24" t="n">
        <x:f>F685-G685</x:f>
        <x:v>-1.6591116584061048</x:v>
      </x:c>
    </x:row>
    <x:row r="686">
      <x:c r="A686" s="2" t="str">
        <x:v>LiDS-1</x:v>
      </x:c>
      <x:c r="B686" s="4" t="str">
        <x:v>NaCl</x:v>
      </x:c>
      <x:c r="C686" s="23" t="n">
        <x:v>1.41536</x:v>
      </x:c>
      <x:c r="D686" s="23" t="n">
        <x:v>-10.22416</x:v>
      </x:c>
      <x:c r="E686" s="23" t="n">
        <x:f>'Parameters'!$B$2*'Parameters'!$B$3*LN(4*PI()*C686^2)</x:f>
        <x:v>7.996599948698468</x:v>
      </x:c>
      <x:c r="F686" s="23" t="n">
        <x:f>D686+E686</x:f>
        <x:v>-2.2275600513015315</x:v>
      </x:c>
      <x:c r="G686" s="23" t="n">
        <x:f>AVERAGE($F$743:$F$767)</x:f>
        <x:v>-0.5858924514092341</x:v>
      </x:c>
      <x:c r="H686" s="24" t="n">
        <x:f>F686-G686</x:f>
        <x:v>-1.6416675998922974</x:v>
      </x:c>
    </x:row>
    <x:row r="687">
      <x:c r="A687" s="2" t="str">
        <x:v>LiDS-1</x:v>
      </x:c>
      <x:c r="B687" s="4" t="str">
        <x:v>NaCl</x:v>
      </x:c>
      <x:c r="C687" s="23" t="n">
        <x:v>1.427575</x:v>
      </x:c>
      <x:c r="D687" s="23" t="n">
        <x:v>-10.2517</x:v>
      </x:c>
      <x:c r="E687" s="23" t="n">
        <x:f>'Parameters'!$B$2*'Parameters'!$B$3*LN(4*PI()*C687^2)</x:f>
        <x:v>8.039204716593051</x:v>
      </x:c>
      <x:c r="F687" s="23" t="n">
        <x:f>D687+E687</x:f>
        <x:v>-2.2124952834069482</x:v>
      </x:c>
      <x:c r="G687" s="23" t="n">
        <x:f>AVERAGE($F$743:$F$767)</x:f>
        <x:v>-0.5858924514092341</x:v>
      </x:c>
      <x:c r="H687" s="24" t="n">
        <x:f>F687-G687</x:f>
        <x:v>-1.6266028319977142</x:v>
      </x:c>
    </x:row>
    <x:row r="688">
      <x:c r="A688" s="2" t="str">
        <x:v>LiDS-1</x:v>
      </x:c>
      <x:c r="B688" s="4" t="str">
        <x:v>NaCl</x:v>
      </x:c>
      <x:c r="C688" s="23" t="n">
        <x:v>1.43979</x:v>
      </x:c>
      <x:c r="D688" s="23" t="n">
        <x:v>-10.20372</x:v>
      </x:c>
      <x:c r="E688" s="23" t="n">
        <x:f>'Parameters'!$B$2*'Parameters'!$B$3*LN(4*PI()*C688^2)</x:f>
        <x:v>8.08144648670868</x:v>
      </x:c>
      <x:c r="F688" s="23" t="n">
        <x:f>D688+E688</x:f>
        <x:v>-2.1222735132913204</x:v>
      </x:c>
      <x:c r="G688" s="23" t="n">
        <x:f>AVERAGE($F$743:$F$767)</x:f>
        <x:v>-0.5858924514092341</x:v>
      </x:c>
      <x:c r="H688" s="24" t="n">
        <x:f>F688-G688</x:f>
        <x:v>-1.5363810618820863</x:v>
      </x:c>
    </x:row>
    <x:row r="689">
      <x:c r="A689" s="2" t="str">
        <x:v>LiDS-1</x:v>
      </x:c>
      <x:c r="B689" s="4" t="str">
        <x:v>NaCl</x:v>
      </x:c>
      <x:c r="C689" s="23" t="n">
        <x:v>1.452005</x:v>
      </x:c>
      <x:c r="D689" s="23" t="n">
        <x:v>-10.32207</x:v>
      </x:c>
      <x:c r="E689" s="23" t="n">
        <x:f>'Parameters'!$B$2*'Parameters'!$B$3*LN(4*PI()*C689^2)</x:f>
        <x:v>8.12333139239528</x:v>
      </x:c>
      <x:c r="F689" s="23" t="n">
        <x:f>D689+E689</x:f>
        <x:v>-2.198738607604721</x:v>
      </x:c>
      <x:c r="G689" s="23" t="n">
        <x:f>AVERAGE($F$743:$F$767)</x:f>
        <x:v>-0.5858924514092341</x:v>
      </x:c>
      <x:c r="H689" s="24" t="n">
        <x:f>F689-G689</x:f>
        <x:v>-1.6128461561954868</x:v>
      </x:c>
    </x:row>
    <x:row r="690">
      <x:c r="A690" s="2" t="str">
        <x:v>LiDS-1</x:v>
      </x:c>
      <x:c r="B690" s="4" t="str">
        <x:v>NaCl</x:v>
      </x:c>
      <x:c r="C690" s="23" t="n">
        <x:v>1.46422</x:v>
      </x:c>
      <x:c r="D690" s="23" t="n">
        <x:v>-10.28067</x:v>
      </x:c>
      <x:c r="E690" s="23" t="n">
        <x:f>'Parameters'!$B$2*'Parameters'!$B$3*LN(4*PI()*C690^2)</x:f>
        <x:v>8.164865412856967</x:v>
      </x:c>
      <x:c r="F690" s="23" t="n">
        <x:f>D690+E690</x:f>
        <x:v>-2.1158045871430335</x:v>
      </x:c>
      <x:c r="G690" s="23" t="n">
        <x:f>AVERAGE($F$743:$F$767)</x:f>
        <x:v>-0.5858924514092341</x:v>
      </x:c>
      <x:c r="H690" s="24" t="n">
        <x:f>F690-G690</x:f>
        <x:v>-1.5299121357337995</x:v>
      </x:c>
    </x:row>
    <x:row r="691">
      <x:c r="A691" s="2" t="str">
        <x:v>LiDS-1</x:v>
      </x:c>
      <x:c r="B691" s="4" t="str">
        <x:v>NaCl</x:v>
      </x:c>
      <x:c r="C691" s="23" t="n">
        <x:v>1.476435</x:v>
      </x:c>
      <x:c r="D691" s="23" t="n">
        <x:v>-10.29648</x:v>
      </x:c>
      <x:c r="E691" s="23" t="n">
        <x:f>'Parameters'!$B$2*'Parameters'!$B$3*LN(4*PI()*C691^2)</x:f>
        <x:v>8.206054378274567</x:v>
      </x:c>
      <x:c r="F691" s="23" t="n">
        <x:f>D691+E691</x:f>
        <x:v>-2.0904256217254336</x:v>
      </x:c>
      <x:c r="G691" s="23" t="n">
        <x:f>AVERAGE($F$743:$F$767)</x:f>
        <x:v>-0.5858924514092341</x:v>
      </x:c>
      <x:c r="H691" s="24" t="n">
        <x:f>F691-G691</x:f>
        <x:v>-1.5045331703161995</x:v>
      </x:c>
    </x:row>
    <x:row r="692">
      <x:c r="A692" s="2" t="str">
        <x:v>LiDS-1</x:v>
      </x:c>
      <x:c r="B692" s="4" t="str">
        <x:v>NaCl</x:v>
      </x:c>
      <x:c r="C692" s="23" t="n">
        <x:v>1.48865</x:v>
      </x:c>
      <x:c r="D692" s="23" t="n">
        <x:v>-10.25769</x:v>
      </x:c>
      <x:c r="E692" s="23" t="n">
        <x:f>'Parameters'!$B$2*'Parameters'!$B$3*LN(4*PI()*C692^2)</x:f>
        <x:v>8.246903974717107</x:v>
      </x:c>
      <x:c r="F692" s="23" t="n">
        <x:f>D692+E692</x:f>
        <x:v>-2.0107860252828935</x:v>
      </x:c>
      <x:c r="G692" s="23" t="n">
        <x:f>AVERAGE($F$743:$F$767)</x:f>
        <x:v>-0.5858924514092341</x:v>
      </x:c>
      <x:c r="H692" s="24" t="n">
        <x:f>F692-G692</x:f>
        <x:v>-1.4248935738736594</x:v>
      </x:c>
    </x:row>
    <x:row r="693">
      <x:c r="A693" s="2" t="str">
        <x:v>LiDS-1</x:v>
      </x:c>
      <x:c r="B693" s="4" t="str">
        <x:v>NaCl</x:v>
      </x:c>
      <x:c r="C693" s="23" t="n">
        <x:v>1.500865</x:v>
      </x:c>
      <x:c r="D693" s="23" t="n">
        <x:v>-10.13133</x:v>
      </x:c>
      <x:c r="E693" s="23" t="n">
        <x:f>'Parameters'!$B$2*'Parameters'!$B$3*LN(4*PI()*C693^2)</x:f>
        <x:v>8.287419748852605</x:v>
      </x:c>
      <x:c r="F693" s="23" t="n">
        <x:f>D693+E693</x:f>
        <x:v>-1.8439102511473955</x:v>
      </x:c>
      <x:c r="G693" s="23" t="n">
        <x:f>AVERAGE($F$743:$F$767)</x:f>
        <x:v>-0.5858924514092341</x:v>
      </x:c>
      <x:c r="H693" s="24" t="n">
        <x:f>F693-G693</x:f>
        <x:v>-1.2580177997381614</x:v>
      </x:c>
    </x:row>
    <x:row r="694">
      <x:c r="A694" s="2" t="str">
        <x:v>LiDS-1</x:v>
      </x:c>
      <x:c r="B694" s="4" t="str">
        <x:v>NaCl</x:v>
      </x:c>
      <x:c r="C694" s="23" t="n">
        <x:v>1.51308</x:v>
      </x:c>
      <x:c r="D694" s="23" t="n">
        <x:v>-10.21929</x:v>
      </x:c>
      <x:c r="E694" s="23" t="n">
        <x:f>'Parameters'!$B$2*'Parameters'!$B$3*LN(4*PI()*C694^2)</x:f>
        <x:v>8.327607112467954</x:v>
      </x:c>
      <x:c r="F694" s="23" t="n">
        <x:f>D694+E694</x:f>
        <x:v>-1.8916828875320473</x:v>
      </x:c>
      <x:c r="G694" s="23" t="n">
        <x:f>AVERAGE($F$743:$F$767)</x:f>
        <x:v>-0.5858924514092341</x:v>
      </x:c>
      <x:c r="H694" s="24" t="n">
        <x:f>F694-G694</x:f>
        <x:v>-1.3057904361228132</x:v>
      </x:c>
    </x:row>
    <x:row r="695">
      <x:c r="A695" s="2" t="str">
        <x:v>LiDS-1</x:v>
      </x:c>
      <x:c r="B695" s="4" t="str">
        <x:v>NaCl</x:v>
      </x:c>
      <x:c r="C695" s="23" t="n">
        <x:v>1.525295</x:v>
      </x:c>
      <x:c r="D695" s="23" t="n">
        <x:v>-10.1904</x:v>
      </x:c>
      <x:c r="E695" s="23" t="n">
        <x:f>'Parameters'!$B$2*'Parameters'!$B$3*LN(4*PI()*C695^2)</x:f>
        <x:v>8.367471346807061</x:v>
      </x:c>
      <x:c r="F695" s="23" t="n">
        <x:f>D695+E695</x:f>
        <x:v>-1.822928653192939</x:v>
      </x:c>
      <x:c r="G695" s="23" t="n">
        <x:f>AVERAGE($F$743:$F$767)</x:f>
        <x:v>-0.5858924514092341</x:v>
      </x:c>
      <x:c r="H695" s="24" t="n">
        <x:f>F695-G695</x:f>
        <x:v>-1.2370362017837049</x:v>
      </x:c>
    </x:row>
    <x:row r="696">
      <x:c r="A696" s="2" t="str">
        <x:v>LiDS-1</x:v>
      </x:c>
      <x:c r="B696" s="4" t="str">
        <x:v>NaCl</x:v>
      </x:c>
      <x:c r="C696" s="23" t="n">
        <x:v>1.537511</x:v>
      </x:c>
      <x:c r="D696" s="23" t="n">
        <x:v>-10.28356</x:v>
      </x:c>
      <x:c r="E696" s="23" t="n">
        <x:f>'Parameters'!$B$2*'Parameters'!$B$3*LN(4*PI()*C696^2)</x:f>
        <x:v>8.407020831373536</x:v>
      </x:c>
      <x:c r="F696" s="23" t="n">
        <x:f>D696+E696</x:f>
        <x:v>-1.8765391686264632</x:v>
      </x:c>
      <x:c r="G696" s="23" t="n">
        <x:f>AVERAGE($F$743:$F$767)</x:f>
        <x:v>-0.5858924514092341</x:v>
      </x:c>
      <x:c r="H696" s="24" t="n">
        <x:f>F696-G696</x:f>
        <x:v>-1.2906467172172291</x:v>
      </x:c>
    </x:row>
    <x:row r="697">
      <x:c r="A697" s="2" t="str">
        <x:v>LiDS-1</x:v>
      </x:c>
      <x:c r="B697" s="4" t="str">
        <x:v>NaCl</x:v>
      </x:c>
      <x:c r="C697" s="23" t="n">
        <x:v>1.549726</x:v>
      </x:c>
      <x:c r="D697" s="23" t="n">
        <x:v>-10.29456</x:v>
      </x:c>
      <x:c r="E697" s="23" t="n">
        <x:f>'Parameters'!$B$2*'Parameters'!$B$3*LN(4*PI()*C697^2)</x:f>
        <x:v>8.446254123964163</x:v>
      </x:c>
      <x:c r="F697" s="23" t="n">
        <x:f>D697+E697</x:f>
        <x:v>-1.8483058760358375</x:v>
      </x:c>
      <x:c r="G697" s="23" t="n">
        <x:f>AVERAGE($F$743:$F$767)</x:f>
        <x:v>-0.5858924514092341</x:v>
      </x:c>
      <x:c r="H697" s="24" t="n">
        <x:f>F697-G697</x:f>
        <x:v>-1.2624134246266034</x:v>
      </x:c>
    </x:row>
    <x:row r="698">
      <x:c r="A698" s="2" t="str">
        <x:v>LiDS-1</x:v>
      </x:c>
      <x:c r="B698" s="4" t="str">
        <x:v>NaCl</x:v>
      </x:c>
      <x:c r="C698" s="23" t="n">
        <x:v>1.561941</x:v>
      </x:c>
      <x:c r="D698" s="23" t="n">
        <x:v>-10.27846</x:v>
      </x:c>
      <x:c r="E698" s="23" t="n">
        <x:f>'Parameters'!$B$2*'Parameters'!$B$3*LN(4*PI()*C698^2)</x:f>
        <x:v>8.485179388985097</x:v>
      </x:c>
      <x:c r="F698" s="23" t="n">
        <x:f>D698+E698</x:f>
        <x:v>-1.7932806110149038</x:v>
      </x:c>
      <x:c r="G698" s="23" t="n">
        <x:f>AVERAGE($F$743:$F$767)</x:f>
        <x:v>-0.5858924514092341</x:v>
      </x:c>
      <x:c r="H698" s="24" t="n">
        <x:f>F698-G698</x:f>
        <x:v>-1.2073881596056697</x:v>
      </x:c>
    </x:row>
    <x:row r="699">
      <x:c r="A699" s="2" t="str">
        <x:v>LiDS-1</x:v>
      </x:c>
      <x:c r="B699" s="4" t="str">
        <x:v>NaCl</x:v>
      </x:c>
      <x:c r="C699" s="23" t="n">
        <x:v>1.574156</x:v>
      </x:c>
      <x:c r="D699" s="23" t="n">
        <x:v>-10.44634</x:v>
      </x:c>
      <x:c r="E699" s="23" t="n">
        <x:f>'Parameters'!$B$2*'Parameters'!$B$3*LN(4*PI()*C699^2)</x:f>
        <x:v>8.523801425540821</x:v>
      </x:c>
      <x:c r="F699" s="23" t="n">
        <x:f>D699+E699</x:f>
        <x:v>-1.9225385744591783</x:v>
      </x:c>
      <x:c r="G699" s="23" t="n">
        <x:f>AVERAGE($F$743:$F$767)</x:f>
        <x:v>-0.5858924514092341</x:v>
      </x:c>
      <x:c r="H699" s="24" t="n">
        <x:f>F699-G699</x:f>
        <x:v>-1.3366461230499442</x:v>
      </x:c>
    </x:row>
    <x:row r="700">
      <x:c r="A700" s="2" t="str">
        <x:v>LiDS-1</x:v>
      </x:c>
      <x:c r="B700" s="4" t="str">
        <x:v>NaCl</x:v>
      </x:c>
      <x:c r="C700" s="23" t="n">
        <x:v>1.586371</x:v>
      </x:c>
      <x:c r="D700" s="23" t="n">
        <x:v>-10.36551</x:v>
      </x:c>
      <x:c r="E700" s="23" t="n">
        <x:f>'Parameters'!$B$2*'Parameters'!$B$3*LN(4*PI()*C700^2)</x:f>
        <x:v>8.562124921446326</x:v>
      </x:c>
      <x:c r="F700" s="23" t="n">
        <x:f>D700+E700</x:f>
        <x:v>-1.8033850785536742</x:v>
      </x:c>
      <x:c r="G700" s="23" t="n">
        <x:f>AVERAGE($F$743:$F$767)</x:f>
        <x:v>-0.5858924514092341</x:v>
      </x:c>
      <x:c r="H700" s="24" t="n">
        <x:f>F700-G700</x:f>
        <x:v>-1.2174926271444402</x:v>
      </x:c>
    </x:row>
    <x:row r="701">
      <x:c r="A701" s="2" t="str">
        <x:v>LiDS-1</x:v>
      </x:c>
      <x:c r="B701" s="4" t="str">
        <x:v>NaCl</x:v>
      </x:c>
      <x:c r="C701" s="23" t="n">
        <x:v>1.598586</x:v>
      </x:c>
      <x:c r="D701" s="23" t="n">
        <x:v>-10.36571</x:v>
      </x:c>
      <x:c r="E701" s="23" t="n">
        <x:f>'Parameters'!$B$2*'Parameters'!$B$3*LN(4*PI()*C701^2)</x:f>
        <x:v>8.600154456641752</x:v>
      </x:c>
      <x:c r="F701" s="23" t="n">
        <x:f>D701+E701</x:f>
        <x:v>-1.7655555433582482</x:v>
      </x:c>
      <x:c r="G701" s="23" t="n">
        <x:f>AVERAGE($F$743:$F$767)</x:f>
        <x:v>-0.5858924514092341</x:v>
      </x:c>
      <x:c r="H701" s="24" t="n">
        <x:f>F701-G701</x:f>
        <x:v>-1.179663091949014</x:v>
      </x:c>
    </x:row>
    <x:row r="702">
      <x:c r="A702" s="2" t="str">
        <x:v>LiDS-1</x:v>
      </x:c>
      <x:c r="B702" s="4" t="str">
        <x:v>NaCl</x:v>
      </x:c>
      <x:c r="C702" s="23" t="n">
        <x:v>1.610801</x:v>
      </x:c>
      <x:c r="D702" s="23" t="n">
        <x:v>-10.4178</x:v>
      </x:c>
      <x:c r="E702" s="23" t="n">
        <x:f>'Parameters'!$B$2*'Parameters'!$B$3*LN(4*PI()*C702^2)</x:f>
        <x:v>8.637894506477048</x:v>
      </x:c>
      <x:c r="F702" s="23" t="n">
        <x:f>D702+E702</x:f>
        <x:v>-1.7799054935229517</x:v>
      </x:c>
      <x:c r="G702" s="23" t="n">
        <x:f>AVERAGE($F$743:$F$767)</x:f>
        <x:v>-0.5858924514092341</x:v>
      </x:c>
      <x:c r="H702" s="24" t="n">
        <x:f>F702-G702</x:f>
        <x:v>-1.1940130421137176</x:v>
      </x:c>
    </x:row>
    <x:row r="703">
      <x:c r="A703" s="2" t="str">
        <x:v>LiDS-1</x:v>
      </x:c>
      <x:c r="B703" s="4" t="str">
        <x:v>NaCl</x:v>
      </x:c>
      <x:c r="C703" s="23" t="n">
        <x:v>1.623016</x:v>
      </x:c>
      <x:c r="D703" s="23" t="n">
        <x:v>-10.43937</x:v>
      </x:c>
      <x:c r="E703" s="23" t="n">
        <x:f>'Parameters'!$B$2*'Parameters'!$B$3*LN(4*PI()*C703^2)</x:f>
        <x:v>8.675349444872586</x:v>
      </x:c>
      <x:c r="F703" s="23" t="n">
        <x:f>D703+E703</x:f>
        <x:v>-1.7640205551274146</x:v>
      </x:c>
      <x:c r="G703" s="23" t="n">
        <x:f>AVERAGE($F$743:$F$767)</x:f>
        <x:v>-0.5858924514092341</x:v>
      </x:c>
      <x:c r="H703" s="24" t="n">
        <x:f>F703-G703</x:f>
        <x:v>-1.1781281037181806</x:v>
      </x:c>
    </x:row>
    <x:row r="704">
      <x:c r="A704" s="2" t="str">
        <x:v>LiDS-1</x:v>
      </x:c>
      <x:c r="B704" s="4" t="str">
        <x:v>NaCl</x:v>
      </x:c>
      <x:c r="C704" s="23" t="n">
        <x:v>1.635231</x:v>
      </x:c>
      <x:c r="D704" s="23" t="n">
        <x:v>-10.44827</x:v>
      </x:c>
      <x:c r="E704" s="23" t="n">
        <x:f>'Parameters'!$B$2*'Parameters'!$B$3*LN(4*PI()*C704^2)</x:f>
        <x:v>8.71252354736126</x:v>
      </x:c>
      <x:c r="F704" s="23" t="n">
        <x:f>D704+E704</x:f>
        <x:v>-1.7357464526387414</x:v>
      </x:c>
      <x:c r="G704" s="23" t="n">
        <x:f>AVERAGE($F$743:$F$767)</x:f>
        <x:v>-0.5858924514092341</x:v>
      </x:c>
      <x:c r="H704" s="24" t="n">
        <x:f>F704-G704</x:f>
        <x:v>-1.1498540012295073</x:v>
      </x:c>
    </x:row>
    <x:row r="705">
      <x:c r="A705" s="2" t="str">
        <x:v>LiDS-1</x:v>
      </x:c>
      <x:c r="B705" s="4" t="str">
        <x:v>NaCl</x:v>
      </x:c>
      <x:c r="C705" s="23" t="n">
        <x:v>1.647446</x:v>
      </x:c>
      <x:c r="D705" s="23" t="n">
        <x:v>-10.35125</x:v>
      </x:c>
      <x:c r="E705" s="23" t="n">
        <x:f>'Parameters'!$B$2*'Parameters'!$B$3*LN(4*PI()*C705^2)</x:f>
        <x:v>8.74942099401739</x:v>
      </x:c>
      <x:c r="F705" s="23" t="n">
        <x:f>D705+E705</x:f>
        <x:v>-1.6018290059826104</x:v>
      </x:c>
      <x:c r="G705" s="23" t="n">
        <x:f>AVERAGE($F$743:$F$767)</x:f>
        <x:v>-0.5858924514092341</x:v>
      </x:c>
      <x:c r="H705" s="24" t="n">
        <x:f>F705-G705</x:f>
        <x:v>-1.0159365545733763</x:v>
      </x:c>
    </x:row>
    <x:row r="706">
      <x:c r="A706" s="2" t="str">
        <x:v>LiDS-1</x:v>
      </x:c>
      <x:c r="B706" s="4" t="str">
        <x:v>NaCl</x:v>
      </x:c>
      <x:c r="C706" s="23" t="n">
        <x:v>1.659661</x:v>
      </x:c>
      <x:c r="D706" s="23" t="n">
        <x:v>-10.57719</x:v>
      </x:c>
      <x:c r="E706" s="23" t="n">
        <x:f>'Parameters'!$B$2*'Parameters'!$B$3*LN(4*PI()*C706^2)</x:f>
        <x:v>8.78604587227745</x:v>
      </x:c>
      <x:c r="F706" s="23" t="n">
        <x:f>D706+E706</x:f>
        <x:v>-1.79114412772255</x:v>
      </x:c>
      <x:c r="G706" s="23" t="n">
        <x:f>AVERAGE($F$743:$F$767)</x:f>
        <x:v>-0.5858924514092341</x:v>
      </x:c>
      <x:c r="H706" s="24" t="n">
        <x:f>F706-G706</x:f>
        <x:v>-1.2052516763133159</x:v>
      </x:c>
    </x:row>
    <x:row r="707">
      <x:c r="A707" s="2" t="str">
        <x:v>LiDS-1</x:v>
      </x:c>
      <x:c r="B707" s="4" t="str">
        <x:v>NaCl</x:v>
      </x:c>
      <x:c r="C707" s="23" t="n">
        <x:v>1.671876</x:v>
      </x:c>
      <x:c r="D707" s="23" t="n">
        <x:v>-10.46764</x:v>
      </x:c>
      <x:c r="E707" s="23" t="n">
        <x:f>'Parameters'!$B$2*'Parameters'!$B$3*LN(4*PI()*C707^2)</x:f>
        <x:v>8.822402179657361</x:v>
      </x:c>
      <x:c r="F707" s="23" t="n">
        <x:f>D707+E707</x:f>
        <x:v>-1.645237820342638</x:v>
      </x:c>
      <x:c r="G707" s="23" t="n">
        <x:f>AVERAGE($F$743:$F$767)</x:f>
        <x:v>-0.5858924514092341</x:v>
      </x:c>
      <x:c r="H707" s="24" t="n">
        <x:f>F707-G707</x:f>
        <x:v>-1.059345368933404</x:v>
      </x:c>
    </x:row>
    <x:row r="708">
      <x:c r="A708" s="2" t="str">
        <x:v>LiDS-1</x:v>
      </x:c>
      <x:c r="B708" s="4" t="str">
        <x:v>NaCl</x:v>
      </x:c>
      <x:c r="C708" s="23" t="n">
        <x:v>1.684092</x:v>
      </x:c>
      <x:c r="D708" s="23" t="n">
        <x:v>-10.54756</x:v>
      </x:c>
      <x:c r="E708" s="23" t="n">
        <x:f>'Parameters'!$B$2*'Parameters'!$B$3*LN(4*PI()*C708^2)</x:f>
        <x:v>8.858496770340407</x:v>
      </x:c>
      <x:c r="F708" s="23" t="n">
        <x:f>D708+E708</x:f>
        <x:v>-1.6890632296595935</x:v>
      </x:c>
      <x:c r="G708" s="23" t="n">
        <x:f>AVERAGE($F$743:$F$767)</x:f>
        <x:v>-0.5858924514092341</x:v>
      </x:c>
      <x:c r="H708" s="24" t="n">
        <x:f>F708-G708</x:f>
        <x:v>-1.1031707782503595</x:v>
      </x:c>
    </x:row>
    <x:row r="709">
      <x:c r="A709" s="2" t="str">
        <x:v>LiDS-1</x:v>
      </x:c>
      <x:c r="B709" s="4" t="str">
        <x:v>NaCl</x:v>
      </x:c>
      <x:c r="C709" s="23" t="n">
        <x:v>1.696307</x:v>
      </x:c>
      <x:c r="D709" s="23" t="n">
        <x:v>-10.64712</x:v>
      </x:c>
      <x:c r="E709" s="23" t="n">
        <x:f>'Parameters'!$B$2*'Parameters'!$B$3*LN(4*PI()*C709^2)</x:f>
        <x:v>8.894327560623555</x:v>
      </x:c>
      <x:c r="F709" s="23" t="n">
        <x:f>D709+E709</x:f>
        <x:v>-1.752792439376444</x:v>
      </x:c>
      <x:c r="G709" s="23" t="n">
        <x:f>AVERAGE($F$743:$F$767)</x:f>
        <x:v>-0.5858924514092341</x:v>
      </x:c>
      <x:c r="H709" s="24" t="n">
        <x:f>F709-G709</x:f>
        <x:v>-1.16689998796721</x:v>
      </x:c>
    </x:row>
    <x:row r="710">
      <x:c r="A710" s="2" t="str">
        <x:v>LiDS-1</x:v>
      </x:c>
      <x:c r="B710" s="4" t="str">
        <x:v>NaCl</x:v>
      </x:c>
      <x:c r="C710" s="23" t="n">
        <x:v>1.708522</x:v>
      </x:c>
      <x:c r="D710" s="23" t="n">
        <x:v>-10.58829</x:v>
      </x:c>
      <x:c r="E710" s="23" t="n">
        <x:f>'Parameters'!$B$2*'Parameters'!$B$3*LN(4*PI()*C710^2)</x:f>
        <x:v>8.929901259069016</x:v>
      </x:c>
      <x:c r="F710" s="23" t="n">
        <x:f>D710+E710</x:f>
        <x:v>-1.6583887409309845</x:v>
      </x:c>
      <x:c r="G710" s="23" t="n">
        <x:f>AVERAGE($F$743:$F$767)</x:f>
        <x:v>-0.5858924514092341</x:v>
      </x:c>
      <x:c r="H710" s="24" t="n">
        <x:f>F710-G710</x:f>
        <x:v>-1.0724962895217505</x:v>
      </x:c>
    </x:row>
    <x:row r="711">
      <x:c r="A711" s="2" t="str">
        <x:v>LiDS-1</x:v>
      </x:c>
      <x:c r="B711" s="4" t="str">
        <x:v>NaCl</x:v>
      </x:c>
      <x:c r="C711" s="23" t="n">
        <x:v>1.720737</x:v>
      </x:c>
      <x:c r="D711" s="23" t="n">
        <x:v>-10.56497</x:v>
      </x:c>
      <x:c r="E711" s="23" t="n">
        <x:f>'Parameters'!$B$2*'Parameters'!$B$3*LN(4*PI()*C711^2)</x:f>
        <x:v>8.965221528761939</x:v>
      </x:c>
      <x:c r="F711" s="23" t="n">
        <x:f>D711+E711</x:f>
        <x:v>-1.5997484712380619</x:v>
      </x:c>
      <x:c r="G711" s="23" t="n">
        <x:f>AVERAGE($F$743:$F$767)</x:f>
        <x:v>-0.5858924514092341</x:v>
      </x:c>
      <x:c r="H711" s="24" t="n">
        <x:f>F711-G711</x:f>
        <x:v>-1.0138560198288278</x:v>
      </x:c>
    </x:row>
    <x:row r="712">
      <x:c r="A712" s="2" t="str">
        <x:v>LiDS-1</x:v>
      </x:c>
      <x:c r="B712" s="4" t="str">
        <x:v>NaCl</x:v>
      </x:c>
      <x:c r="C712" s="23" t="n">
        <x:v>1.732952</x:v>
      </x:c>
      <x:c r="D712" s="23" t="n">
        <x:v>-10.53742</x:v>
      </x:c>
      <x:c r="E712" s="23" t="n">
        <x:f>'Parameters'!$B$2*'Parameters'!$B$3*LN(4*PI()*C712^2)</x:f>
        <x:v>9.000291955052615</x:v>
      </x:c>
      <x:c r="F712" s="23" t="n">
        <x:f>D712+E712</x:f>
        <x:v>-1.5371280449473836</x:v>
      </x:c>
      <x:c r="G712" s="23" t="n">
        <x:f>AVERAGE($F$743:$F$767)</x:f>
        <x:v>-0.5858924514092341</x:v>
      </x:c>
      <x:c r="H712" s="24" t="n">
        <x:f>F712-G712</x:f>
        <x:v>-0.9512355935381496</x:v>
      </x:c>
    </x:row>
    <x:row r="713">
      <x:c r="A713" s="2" t="str">
        <x:v>LiDS-1</x:v>
      </x:c>
      <x:c r="B713" s="4" t="str">
        <x:v>NaCl</x:v>
      </x:c>
      <x:c r="C713" s="23" t="n">
        <x:v>1.745167</x:v>
      </x:c>
      <x:c r="D713" s="23" t="n">
        <x:v>-10.37588</x:v>
      </x:c>
      <x:c r="E713" s="23" t="n">
        <x:f>'Parameters'!$B$2*'Parameters'!$B$3*LN(4*PI()*C713^2)</x:f>
        <x:v>9.035116047740527</x:v>
      </x:c>
      <x:c r="F713" s="23" t="n">
        <x:f>D713+E713</x:f>
        <x:v>-1.3407639522594739</x:v>
      </x:c>
      <x:c r="G713" s="23" t="n">
        <x:f>AVERAGE($F$743:$F$767)</x:f>
        <x:v>-0.5858924514092341</x:v>
      </x:c>
      <x:c r="H713" s="24" t="n">
        <x:f>F713-G713</x:f>
        <x:v>-0.7548715008502398</x:v>
      </x:c>
    </x:row>
    <x:row r="714">
      <x:c r="A714" s="2" t="str">
        <x:v>LiDS-1</x:v>
      </x:c>
      <x:c r="B714" s="4" t="str">
        <x:v>NaCl</x:v>
      </x:c>
      <x:c r="C714" s="23" t="n">
        <x:v>1.757382</x:v>
      </x:c>
      <x:c r="D714" s="23" t="n">
        <x:v>-10.40871</x:v>
      </x:c>
      <x:c r="E714" s="23" t="n">
        <x:f>'Parameters'!$B$2*'Parameters'!$B$3*LN(4*PI()*C714^2)</x:f>
        <x:v>9.069697243182235</x:v>
      </x:c>
      <x:c r="F714" s="23" t="n">
        <x:f>D714+E714</x:f>
        <x:v>-1.3390127568177643</x:v>
      </x:c>
      <x:c r="G714" s="23" t="n">
        <x:f>AVERAGE($F$743:$F$767)</x:f>
        <x:v>-0.5858924514092341</x:v>
      </x:c>
      <x:c r="H714" s="24" t="n">
        <x:f>F714-G714</x:f>
        <x:v>-0.7531203054085303</x:v>
      </x:c>
    </x:row>
    <x:row r="715">
      <x:c r="A715" s="2" t="str">
        <x:v>LiDS-1</x:v>
      </x:c>
      <x:c r="B715" s="4" t="str">
        <x:v>NaCl</x:v>
      </x:c>
      <x:c r="C715" s="23" t="n">
        <x:v>1.769597</x:v>
      </x:c>
      <x:c r="D715" s="23" t="n">
        <x:v>-10.25142</x:v>
      </x:c>
      <x:c r="E715" s="23" t="n">
        <x:f>'Parameters'!$B$2*'Parameters'!$B$3*LN(4*PI()*C715^2)</x:f>
        <x:v>9.104038906326275</x:v>
      </x:c>
      <x:c r="F715" s="23" t="n">
        <x:f>D715+E715</x:f>
        <x:v>-1.147381093673724</x:v>
      </x:c>
      <x:c r="G715" s="23" t="n">
        <x:f>AVERAGE($F$743:$F$767)</x:f>
        <x:v>-0.5858924514092341</x:v>
      </x:c>
      <x:c r="H715" s="24" t="n">
        <x:f>F715-G715</x:f>
        <x:v>-0.56148864226449</x:v>
      </x:c>
    </x:row>
    <x:row r="716">
      <x:c r="A716" s="2" t="str">
        <x:v>LiDS-1</x:v>
      </x:c>
      <x:c r="B716" s="4" t="str">
        <x:v>NaCl</x:v>
      </x:c>
      <x:c r="C716" s="23" t="n">
        <x:v>1.781812</x:v>
      </x:c>
      <x:c r="D716" s="23" t="n">
        <x:v>-10.32834</x:v>
      </x:c>
      <x:c r="E716" s="23" t="n">
        <x:f>'Parameters'!$B$2*'Parameters'!$B$3*LN(4*PI()*C716^2)</x:f>
        <x:v>9.138144332678026</x:v>
      </x:c>
      <x:c r="F716" s="23" t="n">
        <x:f>D716+E716</x:f>
        <x:v>-1.1901956673219747</x:v>
      </x:c>
      <x:c r="G716" s="23" t="n">
        <x:f>AVERAGE($F$743:$F$767)</x:f>
        <x:v>-0.5858924514092341</x:v>
      </x:c>
      <x:c r="H716" s="24" t="n">
        <x:f>F716-G716</x:f>
        <x:v>-0.6043032159127406</x:v>
      </x:c>
    </x:row>
    <x:row r="717">
      <x:c r="A717" s="2" t="str">
        <x:v>LiDS-1</x:v>
      </x:c>
      <x:c r="B717" s="4" t="str">
        <x:v>NaCl</x:v>
      </x:c>
      <x:c r="C717" s="23" t="n">
        <x:v>1.794027</x:v>
      </x:c>
      <x:c r="D717" s="23" t="n">
        <x:v>-10.26574</x:v>
      </x:c>
      <x:c r="E717" s="23" t="n">
        <x:f>'Parameters'!$B$2*'Parameters'!$B$3*LN(4*PI()*C717^2)</x:f>
        <x:v>9.172016750197503</x:v>
      </x:c>
      <x:c r="F717" s="23" t="n">
        <x:f>D717+E717</x:f>
        <x:v>-1.0937232498024958</x:v>
      </x:c>
      <x:c r="G717" s="23" t="n">
        <x:f>AVERAGE($F$743:$F$767)</x:f>
        <x:v>-0.5858924514092341</x:v>
      </x:c>
      <x:c r="H717" s="24" t="n">
        <x:f>F717-G717</x:f>
        <x:v>-0.5078307983932617</x:v>
      </x:c>
    </x:row>
    <x:row r="718">
      <x:c r="A718" s="2" t="str">
        <x:v>LiDS-1</x:v>
      </x:c>
      <x:c r="B718" s="4" t="str">
        <x:v>NaCl</x:v>
      </x:c>
      <x:c r="C718" s="23" t="n">
        <x:v>1.806242</x:v>
      </x:c>
      <x:c r="D718" s="23" t="n">
        <x:v>-10.39863</x:v>
      </x:c>
      <x:c r="E718" s="23" t="n">
        <x:f>'Parameters'!$B$2*'Parameters'!$B$3*LN(4*PI()*C718^2)</x:f>
        <x:v>9.205659321132716</x:v>
      </x:c>
      <x:c r="F718" s="23" t="n">
        <x:f>D718+E718</x:f>
        <x:v>-1.192970678867285</x:v>
      </x:c>
      <x:c r="G718" s="23" t="n">
        <x:f>AVERAGE($F$743:$F$767)</x:f>
        <x:v>-0.5858924514092341</x:v>
      </x:c>
      <x:c r="H718" s="24" t="n">
        <x:f>F718-G718</x:f>
        <x:v>-0.6070782274580508</x:v>
      </x:c>
    </x:row>
    <x:row r="719">
      <x:c r="A719" s="2" t="str">
        <x:v>LiDS-1</x:v>
      </x:c>
      <x:c r="B719" s="4" t="str">
        <x:v>NaCl</x:v>
      </x:c>
      <x:c r="C719" s="23" t="n">
        <x:v>1.818457</x:v>
      </x:c>
      <x:c r="D719" s="23" t="n">
        <x:v>-10.4779</x:v>
      </x:c>
      <x:c r="E719" s="23" t="n">
        <x:f>'Parameters'!$B$2*'Parameters'!$B$3*LN(4*PI()*C719^2)</x:f>
        <x:v>9.239075143791283</x:v>
      </x:c>
      <x:c r="F719" s="23" t="n">
        <x:f>D719+E719</x:f>
        <x:v>-1.2388248562087174</x:v>
      </x:c>
      <x:c r="G719" s="23" t="n">
        <x:f>AVERAGE($F$743:$F$767)</x:f>
        <x:v>-0.5858924514092341</x:v>
      </x:c>
      <x:c r="H719" s="24" t="n">
        <x:f>F719-G719</x:f>
        <x:v>-0.6529324047994833</x:v>
      </x:c>
    </x:row>
    <x:row r="720">
      <x:c r="A720" s="2" t="str">
        <x:v>LiDS-1</x:v>
      </x:c>
      <x:c r="B720" s="4" t="str">
        <x:v>NaCl</x:v>
      </x:c>
      <x:c r="C720" s="23" t="n">
        <x:v>1.830673</x:v>
      </x:c>
      <x:c r="D720" s="23" t="n">
        <x:v>-10.41523</x:v>
      </x:c>
      <x:c r="E720" s="23" t="n">
        <x:f>'Parameters'!$B$2*'Parameters'!$B$3*LN(4*PI()*C720^2)</x:f>
        <x:v>9.272269962500122</x:v>
      </x:c>
      <x:c r="F720" s="23" t="n">
        <x:f>D720+E720</x:f>
        <x:v>-1.1429600374998774</x:v>
      </x:c>
      <x:c r="G720" s="23" t="n">
        <x:f>AVERAGE($F$743:$F$767)</x:f>
        <x:v>-0.5858924514092341</x:v>
      </x:c>
      <x:c r="H720" s="24" t="n">
        <x:f>F720-G720</x:f>
        <x:v>-0.5570675860906433</x:v>
      </x:c>
    </x:row>
    <x:row r="721">
      <x:c r="A721" s="2" t="str">
        <x:v>LiDS-1</x:v>
      </x:c>
      <x:c r="B721" s="4" t="str">
        <x:v>NaCl</x:v>
      </x:c>
      <x:c r="C721" s="23" t="n">
        <x:v>1.842888</x:v>
      </x:c>
      <x:c r="D721" s="23" t="n">
        <x:v>-10.45376</x:v>
      </x:c>
      <x:c r="E721" s="23" t="n">
        <x:f>'Parameters'!$B$2*'Parameters'!$B$3*LN(4*PI()*C721^2)</x:f>
        <x:v>9.305241318320398</x:v>
      </x:c>
      <x:c r="F721" s="23" t="n">
        <x:f>D721+E721</x:f>
        <x:v>-1.1485186816796027</x:v>
      </x:c>
      <x:c r="G721" s="23" t="n">
        <x:f>AVERAGE($F$743:$F$767)</x:f>
        <x:v>-0.5858924514092341</x:v>
      </x:c>
      <x:c r="H721" s="24" t="n">
        <x:f>F721-G721</x:f>
        <x:v>-0.5626262302703686</x:v>
      </x:c>
    </x:row>
    <x:row r="722">
      <x:c r="A722" s="2" t="str">
        <x:v>LiDS-1</x:v>
      </x:c>
      <x:c r="B722" s="4" t="str">
        <x:v>NaCl</x:v>
      </x:c>
      <x:c r="C722" s="23" t="n">
        <x:v>1.855103</x:v>
      </x:c>
      <x:c r="D722" s="23" t="n">
        <x:v>-10.53008</x:v>
      </x:c>
      <x:c r="E722" s="23" t="n">
        <x:f>'Parameters'!$B$2*'Parameters'!$B$3*LN(4*PI()*C722^2)</x:f>
        <x:v>9.337994854221362</x:v>
      </x:c>
      <x:c r="F722" s="23" t="n">
        <x:f>D722+E722</x:f>
        <x:v>-1.1920851457786377</x:v>
      </x:c>
      <x:c r="G722" s="23" t="n">
        <x:f>AVERAGE($F$743:$F$767)</x:f>
        <x:v>-0.5858924514092341</x:v>
      </x:c>
      <x:c r="H722" s="24" t="n">
        <x:f>F722-G722</x:f>
        <x:v>-0.6061926943694036</x:v>
      </x:c>
    </x:row>
    <x:row r="723">
      <x:c r="A723" s="2" t="str">
        <x:v>LiDS-1</x:v>
      </x:c>
      <x:c r="B723" s="4" t="str">
        <x:v>NaCl</x:v>
      </x:c>
      <x:c r="C723" s="23" t="n">
        <x:v>1.867318</x:v>
      </x:c>
      <x:c r="D723" s="23" t="n">
        <x:v>-10.64282</x:v>
      </x:c>
      <x:c r="E723" s="23" t="n">
        <x:f>'Parameters'!$B$2*'Parameters'!$B$3*LN(4*PI()*C723^2)</x:f>
        <x:v>9.370533429309125</x:v>
      </x:c>
      <x:c r="F723" s="23" t="n">
        <x:f>D723+E723</x:f>
        <x:v>-1.2722865706908753</x:v>
      </x:c>
      <x:c r="G723" s="23" t="n">
        <x:f>AVERAGE($F$743:$F$767)</x:f>
        <x:v>-0.5858924514092341</x:v>
      </x:c>
      <x:c r="H723" s="24" t="n">
        <x:f>F723-G723</x:f>
        <x:v>-0.6863941192816412</x:v>
      </x:c>
    </x:row>
    <x:row r="724">
      <x:c r="A724" s="2" t="str">
        <x:v>LiDS-1</x:v>
      </x:c>
      <x:c r="B724" s="4" t="str">
        <x:v>NaCl</x:v>
      </x:c>
      <x:c r="C724" s="23" t="n">
        <x:v>1.879533</x:v>
      </x:c>
      <x:c r="D724" s="23" t="n">
        <x:v>-10.59387</x:v>
      </x:c>
      <x:c r="E724" s="23" t="n">
        <x:f>'Parameters'!$B$2*'Parameters'!$B$3*LN(4*PI()*C724^2)</x:f>
        <x:v>9.402859846763658</x:v>
      </x:c>
      <x:c r="F724" s="23" t="n">
        <x:f>D724+E724</x:f>
        <x:v>-1.191010153236343</x:v>
      </x:c>
      <x:c r="G724" s="23" t="n">
        <x:f>AVERAGE($F$743:$F$767)</x:f>
        <x:v>-0.5858924514092341</x:v>
      </x:c>
      <x:c r="H724" s="24" t="n">
        <x:f>F724-G724</x:f>
        <x:v>-0.605117701827109</x:v>
      </x:c>
    </x:row>
    <x:row r="725">
      <x:c r="A725" s="2" t="str">
        <x:v>LiDS-1</x:v>
      </x:c>
      <x:c r="B725" s="4" t="str">
        <x:v>NaCl</x:v>
      </x:c>
      <x:c r="C725" s="23" t="n">
        <x:v>1.891748</x:v>
      </x:c>
      <x:c r="D725" s="23" t="n">
        <x:v>-10.63757</x:v>
      </x:c>
      <x:c r="E725" s="23" t="n">
        <x:f>'Parameters'!$B$2*'Parameters'!$B$3*LN(4*PI()*C725^2)</x:f>
        <x:v>9.434976855287971</x:v>
      </x:c>
      <x:c r="F725" s="23" t="n">
        <x:f>D725+E725</x:f>
        <x:v>-1.2025931447120293</x:v>
      </x:c>
      <x:c r="G725" s="23" t="n">
        <x:f>AVERAGE($F$743:$F$767)</x:f>
        <x:v>-0.5858924514092341</x:v>
      </x:c>
      <x:c r="H725" s="24" t="n">
        <x:f>F725-G725</x:f>
        <x:v>-0.6167006933027952</x:v>
      </x:c>
    </x:row>
    <x:row r="726">
      <x:c r="A726" s="2" t="str">
        <x:v>LiDS-1</x:v>
      </x:c>
      <x:c r="B726" s="4" t="str">
        <x:v>NaCl</x:v>
      </x:c>
      <x:c r="C726" s="23" t="n">
        <x:v>1.903963</x:v>
      </x:c>
      <x:c r="D726" s="23" t="n">
        <x:v>-10.65757</x:v>
      </x:c>
      <x:c r="E726" s="23" t="n">
        <x:f>'Parameters'!$B$2*'Parameters'!$B$3*LN(4*PI()*C726^2)</x:f>
        <x:v>9.466887150510622</x:v>
      </x:c>
      <x:c r="F726" s="23" t="n">
        <x:f>D726+E726</x:f>
        <x:v>-1.1906828494893773</x:v>
      </x:c>
      <x:c r="G726" s="23" t="n">
        <x:f>AVERAGE($F$743:$F$767)</x:f>
        <x:v>-0.5858924514092341</x:v>
      </x:c>
      <x:c r="H726" s="24" t="n">
        <x:f>F726-G726</x:f>
        <x:v>-0.6047903980801432</x:v>
      </x:c>
    </x:row>
    <x:row r="727">
      <x:c r="A727" s="2" t="str">
        <x:v>LiDS-1</x:v>
      </x:c>
      <x:c r="B727" s="4" t="str">
        <x:v>NaCl</x:v>
      </x:c>
      <x:c r="C727" s="23" t="n">
        <x:v>1.916178</x:v>
      </x:c>
      <x:c r="D727" s="23" t="n">
        <x:v>-10.5794</x:v>
      </x:c>
      <x:c r="E727" s="23" t="n">
        <x:f>'Parameters'!$B$2*'Parameters'!$B$3*LN(4*PI()*C727^2)</x:f>
        <x:v>9.49859337634341</x:v>
      </x:c>
      <x:c r="F727" s="23" t="n">
        <x:f>D727+E727</x:f>
        <x:v>-1.0808066236565903</x:v>
      </x:c>
      <x:c r="G727" s="23" t="n">
        <x:f>AVERAGE($F$743:$F$767)</x:f>
        <x:v>-0.5858924514092341</x:v>
      </x:c>
      <x:c r="H727" s="24" t="n">
        <x:f>F727-G727</x:f>
        <x:v>-0.49491417224735623</x:v>
      </x:c>
    </x:row>
    <x:row r="728">
      <x:c r="A728" s="2" t="str">
        <x:v>LiDS-1</x:v>
      </x:c>
      <x:c r="B728" s="4" t="str">
        <x:v>NaCl</x:v>
      </x:c>
      <x:c r="C728" s="23" t="n">
        <x:v>1.928393</x:v>
      </x:c>
      <x:c r="D728" s="23" t="n">
        <x:v>-10.61592</x:v>
      </x:c>
      <x:c r="E728" s="23" t="n">
        <x:f>'Parameters'!$B$2*'Parameters'!$B$3*LN(4*PI()*C728^2)</x:f>
        <x:v>9.530098126295904</x:v>
      </x:c>
      <x:c r="F728" s="23" t="n">
        <x:f>D728+E728</x:f>
        <x:v>-1.085821873704095</x:v>
      </x:c>
      <x:c r="G728" s="23" t="n">
        <x:f>AVERAGE($F$743:$F$767)</x:f>
        <x:v>-0.5858924514092341</x:v>
      </x:c>
      <x:c r="H728" s="24" t="n">
        <x:f>F728-G728</x:f>
        <x:v>-0.4999294222948609</x:v>
      </x:c>
    </x:row>
    <x:row r="729">
      <x:c r="A729" s="2" t="str">
        <x:v>LiDS-1</x:v>
      </x:c>
      <x:c r="B729" s="4" t="str">
        <x:v>NaCl</x:v>
      </x:c>
      <x:c r="C729" s="23" t="n">
        <x:v>1.940608</x:v>
      </x:c>
      <x:c r="D729" s="23" t="n">
        <x:v>-10.54942</x:v>
      </x:c>
      <x:c r="E729" s="23" t="n">
        <x:f>'Parameters'!$B$2*'Parameters'!$B$3*LN(4*PI()*C729^2)</x:f>
        <x:v>9.561403944748495</x:v>
      </x:c>
      <x:c r="F729" s="23" t="n">
        <x:f>D729+E729</x:f>
        <x:v>-0.9880160552515047</x:v>
      </x:c>
      <x:c r="G729" s="23" t="n">
        <x:f>AVERAGE($F$743:$F$767)</x:f>
        <x:v>-0.5858924514092341</x:v>
      </x:c>
      <x:c r="H729" s="24" t="n">
        <x:f>F729-G729</x:f>
        <x:v>-0.40212360384227064</x:v>
      </x:c>
    </x:row>
    <x:row r="730">
      <x:c r="A730" s="2" t="str">
        <x:v>LiDS-1</x:v>
      </x:c>
      <x:c r="B730" s="4" t="str">
        <x:v>NaCl</x:v>
      </x:c>
      <x:c r="C730" s="23" t="n">
        <x:v>1.952823</x:v>
      </x:c>
      <x:c r="D730" s="23" t="n">
        <x:v>-10.59173</x:v>
      </x:c>
      <x:c r="E730" s="23" t="n">
        <x:f>'Parameters'!$B$2*'Parameters'!$B$3*LN(4*PI()*C730^2)</x:f>
        <x:v>9.592513328185477</x:v>
      </x:c>
      <x:c r="F730" s="23" t="n">
        <x:f>D730+E730</x:f>
        <x:v>-0.9992166718145228</x:v>
      </x:c>
      <x:c r="G730" s="23" t="n">
        <x:f>AVERAGE($F$743:$F$767)</x:f>
        <x:v>-0.5858924514092341</x:v>
      </x:c>
      <x:c r="H730" s="24" t="n">
        <x:f>F730-G730</x:f>
        <x:v>-0.4133242204052887</x:v>
      </x:c>
    </x:row>
    <x:row r="731">
      <x:c r="A731" s="2" t="str">
        <x:v>LiDS-1</x:v>
      </x:c>
      <x:c r="B731" s="4" t="str">
        <x:v>NaCl</x:v>
      </x:c>
      <x:c r="C731" s="23" t="n">
        <x:v>1.965038</x:v>
      </x:c>
      <x:c r="D731" s="23" t="n">
        <x:v>-10.60682</x:v>
      </x:c>
      <x:c r="E731" s="23" t="n">
        <x:f>'Parameters'!$B$2*'Parameters'!$B$3*LN(4*PI()*C731^2)</x:f>
        <x:v>9.62342872638972</x:v>
      </x:c>
      <x:c r="F731" s="23" t="n">
        <x:f>D731+E731</x:f>
        <x:v>-0.9833912736102803</x:v>
      </x:c>
      <x:c r="G731" s="23" t="n">
        <x:f>AVERAGE($F$743:$F$767)</x:f>
        <x:v>-0.5858924514092341</x:v>
      </x:c>
      <x:c r="H731" s="24" t="n">
        <x:f>F731-G731</x:f>
        <x:v>-0.39749882220104626</x:v>
      </x:c>
    </x:row>
    <x:row r="732">
      <x:c r="A732" s="2" t="str">
        <x:v>LiDS-1</x:v>
      </x:c>
      <x:c r="B732" s="4" t="str">
        <x:v>NaCl</x:v>
      </x:c>
      <x:c r="C732" s="23" t="n">
        <x:v>1.977254</x:v>
      </x:c>
      <x:c r="D732" s="23" t="n">
        <x:v>-10.6725</x:v>
      </x:c>
      <x:c r="E732" s="23" t="n">
        <x:f>'Parameters'!$B$2*'Parameters'!$B$3*LN(4*PI()*C732^2)</x:f>
        <x:v>9.654155051075461</x:v>
      </x:c>
      <x:c r="F732" s="23" t="n">
        <x:f>D732+E732</x:f>
        <x:v>-1.018344948924538</x:v>
      </x:c>
      <x:c r="G732" s="23" t="n">
        <x:f>AVERAGE($F$743:$F$767)</x:f>
        <x:v>-0.5858924514092341</x:v>
      </x:c>
      <x:c r="H732" s="24" t="n">
        <x:f>F732-G732</x:f>
        <x:v>-0.4324524975153039</x:v>
      </x:c>
    </x:row>
    <x:row r="733">
      <x:c r="A733" s="2" t="str">
        <x:v>LiDS-1</x:v>
      </x:c>
      <x:c r="B733" s="4" t="str">
        <x:v>NaCl</x:v>
      </x:c>
      <x:c r="C733" s="23" t="n">
        <x:v>1.989469</x:v>
      </x:c>
      <x:c r="D733" s="23" t="n">
        <x:v>-10.63836</x:v>
      </x:c>
      <x:c r="E733" s="23" t="n">
        <x:f>'Parameters'!$B$2*'Parameters'!$B$3*LN(4*PI()*C733^2)</x:f>
        <x:v>9.684689631714141</x:v>
      </x:c>
      <x:c r="F733" s="23" t="n">
        <x:f>D733+E733</x:f>
        <x:v>-0.9536703682858594</x:v>
      </x:c>
      <x:c r="G733" s="23" t="n">
        <x:f>AVERAGE($F$743:$F$767)</x:f>
        <x:v>-0.5858924514092341</x:v>
      </x:c>
      <x:c r="H733" s="24" t="n">
        <x:f>F733-G733</x:f>
        <x:v>-0.3677779168766253</x:v>
      </x:c>
    </x:row>
    <x:row r="734">
      <x:c r="A734" s="2" t="str">
        <x:v>LiDS-1</x:v>
      </x:c>
      <x:c r="B734" s="4" t="str">
        <x:v>NaCl</x:v>
      </x:c>
      <x:c r="C734" s="23" t="n">
        <x:v>2.001684</x:v>
      </x:c>
      <x:c r="D734" s="23" t="n">
        <x:v>-10.65157</x:v>
      </x:c>
      <x:c r="E734" s="23" t="n">
        <x:f>'Parameters'!$B$2*'Parameters'!$B$3*LN(4*PI()*C734^2)</x:f>
        <x:v>9.715037307847394</x:v>
      </x:c>
      <x:c r="F734" s="23" t="n">
        <x:f>D734+E734</x:f>
        <x:v>-0.9365326921526052</x:v>
      </x:c>
      <x:c r="G734" s="23" t="n">
        <x:f>AVERAGE($F$743:$F$767)</x:f>
        <x:v>-0.5858924514092341</x:v>
      </x:c>
      <x:c r="H734" s="24" t="n">
        <x:f>F734-G734</x:f>
        <x:v>-0.3506402407433711</x:v>
      </x:c>
    </x:row>
    <x:row r="735">
      <x:c r="A735" s="2" t="str">
        <x:v>LiDS-1</x:v>
      </x:c>
      <x:c r="B735" s="4" t="str">
        <x:v>NaCl</x:v>
      </x:c>
      <x:c r="C735" s="23" t="n">
        <x:v>2.013899</x:v>
      </x:c>
      <x:c r="D735" s="23" t="n">
        <x:v>-10.67085</x:v>
      </x:c>
      <x:c r="E735" s="23" t="n">
        <x:f>'Parameters'!$B$2*'Parameters'!$B$3*LN(4*PI()*C735^2)</x:f>
        <x:v>9.745200353675296</x:v>
      </x:c>
      <x:c r="F735" s="23" t="n">
        <x:f>D735+E735</x:f>
        <x:v>-0.9256496463247039</x:v>
      </x:c>
      <x:c r="G735" s="23" t="n">
        <x:f>AVERAGE($F$743:$F$767)</x:f>
        <x:v>-0.5858924514092341</x:v>
      </x:c>
      <x:c r="H735" s="24" t="n">
        <x:f>F735-G735</x:f>
        <x:v>-0.33975719491546985</x:v>
      </x:c>
    </x:row>
    <x:row r="736">
      <x:c r="A736" s="2" t="str">
        <x:v>LiDS-1</x:v>
      </x:c>
      <x:c r="B736" s="4" t="str">
        <x:v>NaCl</x:v>
      </x:c>
      <x:c r="C736" s="23" t="n">
        <x:v>2.026114</x:v>
      </x:c>
      <x:c r="D736" s="23" t="n">
        <x:v>-10.65228</x:v>
      </x:c>
      <x:c r="E736" s="23" t="n">
        <x:f>'Parameters'!$B$2*'Parameters'!$B$3*LN(4*PI()*C736^2)</x:f>
        <x:v>9.77518100214108</x:v>
      </x:c>
      <x:c r="F736" s="23" t="n">
        <x:f>D736+E736</x:f>
        <x:v>-0.8770989978589192</x:v>
      </x:c>
      <x:c r="G736" s="23" t="n">
        <x:f>AVERAGE($F$743:$F$767)</x:f>
        <x:v>-0.5858924514092341</x:v>
      </x:c>
      <x:c r="H736" s="24" t="n">
        <x:f>F736-G736</x:f>
        <x:v>-0.29120654644968513</x:v>
      </x:c>
    </x:row>
    <x:row r="737">
      <x:c r="A737" s="2" t="str">
        <x:v>LiDS-1</x:v>
      </x:c>
      <x:c r="B737" s="4" t="str">
        <x:v>NaCl</x:v>
      </x:c>
      <x:c r="C737" s="23" t="n">
        <x:v>2.038329</x:v>
      </x:c>
      <x:c r="D737" s="23" t="n">
        <x:v>-10.68006</x:v>
      </x:c>
      <x:c r="E737" s="23" t="n">
        <x:f>'Parameters'!$B$2*'Parameters'!$B$3*LN(4*PI()*C737^2)</x:f>
        <x:v>9.804981445923074</x:v>
      </x:c>
      <x:c r="F737" s="23" t="n">
        <x:f>D737+E737</x:f>
        <x:v>-0.875078554076925</x:v>
      </x:c>
      <x:c r="G737" s="23" t="n">
        <x:f>AVERAGE($F$743:$F$767)</x:f>
        <x:v>-0.5858924514092341</x:v>
      </x:c>
      <x:c r="H737" s="24" t="n">
        <x:f>F737-G737</x:f>
        <x:v>-0.28918610266769096</x:v>
      </x:c>
    </x:row>
    <x:row r="738">
      <x:c r="A738" s="2" t="str">
        <x:v>LiDS-1</x:v>
      </x:c>
      <x:c r="B738" s="4" t="str">
        <x:v>NaCl</x:v>
      </x:c>
      <x:c r="C738" s="23" t="n">
        <x:v>2.050544</x:v>
      </x:c>
      <x:c r="D738" s="23" t="n">
        <x:v>-10.74967</x:v>
      </x:c>
      <x:c r="E738" s="23" t="n">
        <x:f>'Parameters'!$B$2*'Parameters'!$B$3*LN(4*PI()*C738^2)</x:f>
        <x:v>9.834603838397017</x:v>
      </x:c>
      <x:c r="F738" s="23" t="n">
        <x:f>D738+E738</x:f>
        <x:v>-0.9150661616029829</x:v>
      </x:c>
      <x:c r="G738" s="23" t="n">
        <x:f>AVERAGE($F$743:$F$767)</x:f>
        <x:v>-0.5858924514092341</x:v>
      </x:c>
      <x:c r="H738" s="24" t="n">
        <x:f>F738-G738</x:f>
        <x:v>-0.32917371019374886</x:v>
      </x:c>
    </x:row>
    <x:row r="739">
      <x:c r="A739" s="2" t="str">
        <x:v>LiDS-1</x:v>
      </x:c>
      <x:c r="B739" s="4" t="str">
        <x:v>NaCl</x:v>
      </x:c>
      <x:c r="C739" s="23" t="n">
        <x:v>2.062759</x:v>
      </x:c>
      <x:c r="D739" s="23" t="n">
        <x:v>-10.77634</x:v>
      </x:c>
      <x:c r="E739" s="23" t="n">
        <x:f>'Parameters'!$B$2*'Parameters'!$B$3*LN(4*PI()*C739^2)</x:f>
        <x:v>9.864050294569775</x:v>
      </x:c>
      <x:c r="F739" s="23" t="n">
        <x:f>D739+E739</x:f>
        <x:v>-0.9122897054302239</x:v>
      </x:c>
      <x:c r="G739" s="23" t="n">
        <x:f>AVERAGE($F$743:$F$767)</x:f>
        <x:v>-0.5858924514092341</x:v>
      </x:c>
      <x:c r="H739" s="24" t="n">
        <x:f>F739-G739</x:f>
        <x:v>-0.32639725402098985</x:v>
      </x:c>
    </x:row>
    <x:row r="740">
      <x:c r="A740" s="2" t="str">
        <x:v>LiDS-1</x:v>
      </x:c>
      <x:c r="B740" s="4" t="str">
        <x:v>NaCl</x:v>
      </x:c>
      <x:c r="C740" s="23" t="n">
        <x:v>2.074974</x:v>
      </x:c>
      <x:c r="D740" s="23" t="n">
        <x:v>-10.80193</x:v>
      </x:c>
      <x:c r="E740" s="23" t="n">
        <x:f>'Parameters'!$B$2*'Parameters'!$B$3*LN(4*PI()*C740^2)</x:f>
        <x:v>9.893322891985513</x:v>
      </x:c>
      <x:c r="F740" s="23" t="n">
        <x:f>D740+E740</x:f>
        <x:v>-0.908607108014488</x:v>
      </x:c>
      <x:c r="G740" s="23" t="n">
        <x:f>AVERAGE($F$743:$F$767)</x:f>
        <x:v>-0.5858924514092341</x:v>
      </x:c>
      <x:c r="H740" s="24" t="n">
        <x:f>F740-G740</x:f>
        <x:v>-0.3227146566052539</x:v>
      </x:c>
    </x:row>
    <x:row r="741">
      <x:c r="A741" s="2" t="str">
        <x:v>LiDS-1</x:v>
      </x:c>
      <x:c r="B741" s="4" t="str">
        <x:v>NaCl</x:v>
      </x:c>
      <x:c r="C741" s="23" t="n">
        <x:v>2.087189</x:v>
      </x:c>
      <x:c r="D741" s="23" t="n">
        <x:v>-10.84675</x:v>
      </x:c>
      <x:c r="E741" s="23" t="n">
        <x:f>'Parameters'!$B$2*'Parameters'!$B$3*LN(4*PI()*C741^2)</x:f>
        <x:v>9.922423671605252</x:v>
      </x:c>
      <x:c r="F741" s="23" t="n">
        <x:f>D741+E741</x:f>
        <x:v>-0.9243263283947485</x:v>
      </x:c>
      <x:c r="G741" s="23" t="n">
        <x:f>AVERAGE($F$743:$F$767)</x:f>
        <x:v>-0.5858924514092341</x:v>
      </x:c>
      <x:c r="H741" s="24" t="n">
        <x:f>F741-G741</x:f>
        <x:v>-0.3384338769855144</x:v>
      </x:c>
    </x:row>
    <x:row r="742">
      <x:c r="A742" s="2" t="str">
        <x:v>LiDS-1</x:v>
      </x:c>
      <x:c r="B742" s="4" t="str">
        <x:v>NaCl</x:v>
      </x:c>
      <x:c r="C742" s="23" t="n">
        <x:v>2.099404</x:v>
      </x:c>
      <x:c r="D742" s="23" t="n">
        <x:v>-10.99104</x:v>
      </x:c>
      <x:c r="E742" s="23" t="n">
        <x:f>'Parameters'!$B$2*'Parameters'!$B$3*LN(4*PI()*C742^2)</x:f>
        <x:v>9.951354638660787</x:v>
      </x:c>
      <x:c r="F742" s="23" t="n">
        <x:f>D742+E742</x:f>
        <x:v>-1.0396853613392132</x:v>
      </x:c>
      <x:c r="G742" s="23" t="n">
        <x:f>AVERAGE($F$743:$F$767)</x:f>
        <x:v>-0.5858924514092341</x:v>
      </x:c>
      <x:c r="H742" s="24" t="n">
        <x:f>F742-G742</x:f>
        <x:v>-0.4537929099299791</x:v>
      </x:c>
    </x:row>
    <x:row r="743">
      <x:c r="A743" s="2" t="str">
        <x:v>LiDS-1</x:v>
      </x:c>
      <x:c r="B743" s="4" t="str">
        <x:v>NaCl</x:v>
      </x:c>
      <x:c r="C743" s="23" t="n">
        <x:v>2.111619</x:v>
      </x:c>
      <x:c r="D743" s="23" t="n">
        <x:v>-11.02607</x:v>
      </x:c>
      <x:c r="E743" s="23" t="n">
        <x:f>'Parameters'!$B$2*'Parameters'!$B$3*LN(4*PI()*C743^2)</x:f>
        <x:v>9.980117763483825</x:v>
      </x:c>
      <x:c r="F743" s="23" t="n">
        <x:f>D743+E743</x:f>
        <x:v>-1.0459522365161753</x:v>
      </x:c>
      <x:c r="G743" s="23" t="n">
        <x:f>AVERAGE($F$743:$F$767)</x:f>
        <x:v>-0.5858924514092341</x:v>
      </x:c>
      <x:c r="H743" s="24" t="n">
        <x:f>F743-G743</x:f>
        <x:v>-0.46005978510694123</x:v>
      </x:c>
    </x:row>
    <x:row r="744">
      <x:c r="A744" s="2" t="str">
        <x:v>LiDS-1</x:v>
      </x:c>
      <x:c r="B744" s="4" t="str">
        <x:v>NaCl</x:v>
      </x:c>
      <x:c r="C744" s="23" t="n">
        <x:v>2.123835</x:v>
      </x:c>
      <x:c r="D744" s="23" t="n">
        <x:v>-10.92806</x:v>
      </x:c>
      <x:c r="E744" s="23" t="n">
        <x:f>'Parameters'!$B$2*'Parameters'!$B$3*LN(4*PI()*C744^2)</x:f>
        <x:v>10.008717316727576</x:v>
      </x:c>
      <x:c r="F744" s="23" t="n">
        <x:f>D744+E744</x:f>
        <x:v>-0.9193426832724239</x:v>
      </x:c>
      <x:c r="G744" s="23" t="n">
        <x:f>AVERAGE($F$743:$F$767)</x:f>
        <x:v>-0.5858924514092341</x:v>
      </x:c>
      <x:c r="H744" s="24" t="n">
        <x:f>F744-G744</x:f>
        <x:v>-0.3334502318631898</x:v>
      </x:c>
    </x:row>
    <x:row r="745">
      <x:c r="A745" s="2" t="str">
        <x:v>LiDS-1</x:v>
      </x:c>
      <x:c r="B745" s="4" t="str">
        <x:v>NaCl</x:v>
      </x:c>
      <x:c r="C745" s="23" t="n">
        <x:v>2.13605</x:v>
      </x:c>
      <x:c r="D745" s="23" t="n">
        <x:v>-10.97522</x:v>
      </x:c>
      <x:c r="E745" s="23" t="n">
        <x:f>'Parameters'!$B$2*'Parameters'!$B$3*LN(4*PI()*C745^2)</x:f>
        <x:v>10.037150519134</x:v>
      </x:c>
      <x:c r="F745" s="23" t="n">
        <x:f>D745+E745</x:f>
        <x:v>-0.938069480866</x:v>
      </x:c>
      <x:c r="G745" s="23" t="n">
        <x:f>AVERAGE($F$743:$F$767)</x:f>
        <x:v>-0.5858924514092341</x:v>
      </x:c>
      <x:c r="H745" s="24" t="n">
        <x:f>F745-G745</x:f>
        <x:v>-0.3521770294567659</x:v>
      </x:c>
    </x:row>
    <x:row r="746">
      <x:c r="A746" s="2" t="str">
        <x:v>LiDS-1</x:v>
      </x:c>
      <x:c r="B746" s="4" t="str">
        <x:v>NaCl</x:v>
      </x:c>
      <x:c r="C746" s="23" t="n">
        <x:v>2.148265</x:v>
      </x:c>
      <x:c r="D746" s="23" t="n">
        <x:v>-10.99439</x:v>
      </x:c>
      <x:c r="E746" s="23" t="n">
        <x:f>'Parameters'!$B$2*'Parameters'!$B$3*LN(4*PI()*C746^2)</x:f>
        <x:v>10.065421588991839</x:v>
      </x:c>
      <x:c r="F746" s="23" t="n">
        <x:f>D746+E746</x:f>
        <x:v>-0.9289684110081602</x:v>
      </x:c>
      <x:c r="G746" s="23" t="n">
        <x:f>AVERAGE($F$743:$F$767)</x:f>
        <x:v>-0.5858924514092341</x:v>
      </x:c>
      <x:c r="H746" s="24" t="n">
        <x:f>F746-G746</x:f>
        <x:v>-0.3430759595989261</x:v>
      </x:c>
    </x:row>
    <x:row r="747">
      <x:c r="A747" s="2" t="str">
        <x:v>LiDS-1</x:v>
      </x:c>
      <x:c r="B747" s="4" t="str">
        <x:v>NaCl</x:v>
      </x:c>
      <x:c r="C747" s="23" t="n">
        <x:v>2.16048</x:v>
      </x:c>
      <x:c r="D747" s="23" t="n">
        <x:v>-10.99325</x:v>
      </x:c>
      <x:c r="E747" s="23" t="n">
        <x:f>'Parameters'!$B$2*'Parameters'!$B$3*LN(4*PI()*C747^2)</x:f>
        <x:v>10.093532364855092</x:v>
      </x:c>
      <x:c r="F747" s="23" t="n">
        <x:f>D747+E747</x:f>
        <x:v>-0.8997176351449081</x:v>
      </x:c>
      <x:c r="G747" s="23" t="n">
        <x:f>AVERAGE($F$743:$F$767)</x:f>
        <x:v>-0.5858924514092341</x:v>
      </x:c>
      <x:c r="H747" s="24" t="n">
        <x:f>F747-G747</x:f>
        <x:v>-0.31382518373567403</x:v>
      </x:c>
    </x:row>
    <x:row r="748">
      <x:c r="A748" s="2" t="str">
        <x:v>LiDS-1</x:v>
      </x:c>
      <x:c r="B748" s="4" t="str">
        <x:v>NaCl</x:v>
      </x:c>
      <x:c r="C748" s="23" t="n">
        <x:v>2.172695</x:v>
      </x:c>
      <x:c r="D748" s="23" t="n">
        <x:v>-11.09334</x:v>
      </x:c>
      <x:c r="E748" s="23" t="n">
        <x:f>'Parameters'!$B$2*'Parameters'!$B$3*LN(4*PI()*C748^2)</x:f>
        <x:v>10.121484654180687</x:v>
      </x:c>
      <x:c r="F748" s="23" t="n">
        <x:f>D748+E748</x:f>
        <x:v>-0.9718553458193124</x:v>
      </x:c>
      <x:c r="G748" s="23" t="n">
        <x:f>AVERAGE($F$743:$F$767)</x:f>
        <x:v>-0.5858924514092341</x:v>
      </x:c>
      <x:c r="H748" s="24" t="n">
        <x:f>F748-G748</x:f>
        <x:v>-0.38596289441007836</x:v>
      </x:c>
    </x:row>
    <x:row r="749">
      <x:c r="A749" s="2" t="str">
        <x:v>LiDS-1</x:v>
      </x:c>
      <x:c r="B749" s="4" t="str">
        <x:v>NaCl</x:v>
      </x:c>
      <x:c r="C749" s="23" t="n">
        <x:v>2.18491</x:v>
      </x:c>
      <x:c r="D749" s="23" t="n">
        <x:v>-10.95068</x:v>
      </x:c>
      <x:c r="E749" s="23" t="n">
        <x:f>'Parameters'!$B$2*'Parameters'!$B$3*LN(4*PI()*C749^2)</x:f>
        <x:v>10.149280234025843</x:v>
      </x:c>
      <x:c r="F749" s="23" t="n">
        <x:f>D749+E749</x:f>
        <x:v>-0.801399765974157</x:v>
      </x:c>
      <x:c r="G749" s="23" t="n">
        <x:f>AVERAGE($F$743:$F$767)</x:f>
        <x:v>-0.5858924514092341</x:v>
      </x:c>
      <x:c r="H749" s="24" t="n">
        <x:f>F749-G749</x:f>
        <x:v>-0.2155073145649229</x:v>
      </x:c>
    </x:row>
    <x:row r="750">
      <x:c r="A750" s="2" t="str">
        <x:v>LiDS-1</x:v>
      </x:c>
      <x:c r="B750" s="4" t="str">
        <x:v>NaCl</x:v>
      </x:c>
      <x:c r="C750" s="23" t="n">
        <x:v>2.197125</x:v>
      </x:c>
      <x:c r="D750" s="23" t="n">
        <x:v>-10.90026</x:v>
      </x:c>
      <x:c r="E750" s="23" t="n">
        <x:f>'Parameters'!$B$2*'Parameters'!$B$3*LN(4*PI()*C750^2)</x:f>
        <x:v>10.176920851725995</x:v>
      </x:c>
      <x:c r="F750" s="23" t="n">
        <x:f>D750+E750</x:f>
        <x:v>-0.7233391482740039</x:v>
      </x:c>
      <x:c r="G750" s="23" t="n">
        <x:f>AVERAGE($F$743:$F$767)</x:f>
        <x:v>-0.5858924514092341</x:v>
      </x:c>
      <x:c r="H750" s="24" t="n">
        <x:f>F750-G750</x:f>
        <x:v>-0.13744669686476985</x:v>
      </x:c>
    </x:row>
    <x:row r="751">
      <x:c r="A751" s="2" t="str">
        <x:v>LiDS-1</x:v>
      </x:c>
      <x:c r="B751" s="4" t="str">
        <x:v>NaCl</x:v>
      </x:c>
      <x:c r="C751" s="23" t="n">
        <x:v>2.20934</x:v>
      </x:c>
      <x:c r="D751" s="23" t="n">
        <x:v>-10.90421</x:v>
      </x:c>
      <x:c r="E751" s="23" t="n">
        <x:f>'Parameters'!$B$2*'Parameters'!$B$3*LN(4*PI()*C751^2)</x:f>
        <x:v>10.204408225553935</x:v>
      </x:c>
      <x:c r="F751" s="23" t="n">
        <x:f>D751+E751</x:f>
        <x:v>-0.6998017744460654</x:v>
      </x:c>
      <x:c r="G751" s="23" t="n">
        <x:f>AVERAGE($F$743:$F$767)</x:f>
        <x:v>-0.5858924514092341</x:v>
      </x:c>
      <x:c r="H751" s="24" t="n">
        <x:f>F751-G751</x:f>
        <x:v>-0.11390932303683132</x:v>
      </x:c>
    </x:row>
    <x:row r="752">
      <x:c r="A752" s="2" t="str">
        <x:v>LiDS-1</x:v>
      </x:c>
      <x:c r="B752" s="4" t="str">
        <x:v>NaCl</x:v>
      </x:c>
      <x:c r="C752" s="23" t="n">
        <x:v>2.221555</x:v>
      </x:c>
      <x:c r="D752" s="23" t="n">
        <x:v>-10.89125</x:v>
      </x:c>
      <x:c r="E752" s="23" t="n">
        <x:f>'Parameters'!$B$2*'Parameters'!$B$3*LN(4*PI()*C752^2)</x:f>
        <x:v>10.23174404536077</x:v>
      </x:c>
      <x:c r="F752" s="23" t="n">
        <x:f>D752+E752</x:f>
        <x:v>-0.6595059546392292</x:v>
      </x:c>
      <x:c r="G752" s="23" t="n">
        <x:f>AVERAGE($F$743:$F$767)</x:f>
        <x:v>-0.5858924514092341</x:v>
      </x:c>
      <x:c r="H752" s="24" t="n">
        <x:f>F752-G752</x:f>
        <x:v>-0.07361350322999516</x:v>
      </x:c>
    </x:row>
    <x:row r="753">
      <x:c r="A753" s="2" t="str">
        <x:v>LiDS-1</x:v>
      </x:c>
      <x:c r="B753" s="4" t="str">
        <x:v>NaCl</x:v>
      </x:c>
      <x:c r="C753" s="23" t="n">
        <x:v>2.23377</x:v>
      </x:c>
      <x:c r="D753" s="23" t="n">
        <x:v>-10.88113</x:v>
      </x:c>
      <x:c r="E753" s="23" t="n">
        <x:f>'Parameters'!$B$2*'Parameters'!$B$3*LN(4*PI()*C753^2)</x:f>
        <x:v>10.258929973199312</x:v>
      </x:c>
      <x:c r="F753" s="23" t="n">
        <x:f>D753+E753</x:f>
        <x:v>-0.6222000268006891</x:v>
      </x:c>
      <x:c r="G753" s="23" t="n">
        <x:f>AVERAGE($F$743:$F$767)</x:f>
        <x:v>-0.5858924514092341</x:v>
      </x:c>
      <x:c r="H753" s="24" t="n">
        <x:f>F753-G753</x:f>
        <x:v>-0.036307575391455016</x:v>
      </x:c>
    </x:row>
    <x:row r="754">
      <x:c r="A754" s="2" t="str">
        <x:v>LiDS-1</x:v>
      </x:c>
      <x:c r="B754" s="4" t="str">
        <x:v>NaCl</x:v>
      </x:c>
      <x:c r="C754" s="23" t="n">
        <x:v>2.245985</x:v>
      </x:c>
      <x:c r="D754" s="23" t="n">
        <x:v>-10.8203</x:v>
      </x:c>
      <x:c r="E754" s="23" t="n">
        <x:f>'Parameters'!$B$2*'Parameters'!$B$3*LN(4*PI()*C754^2)</x:f>
        <x:v>10.285967643930467</x:v>
      </x:c>
      <x:c r="F754" s="23" t="n">
        <x:f>D754+E754</x:f>
        <x:v>-0.5343323560695321</x:v>
      </x:c>
      <x:c r="G754" s="23" t="n">
        <x:f>AVERAGE($F$743:$F$767)</x:f>
        <x:v>-0.5858924514092341</x:v>
      </x:c>
      <x:c r="H754" s="24" t="n">
        <x:f>F754-G754</x:f>
        <x:v>0.05156009533970196</x:v>
      </x:c>
    </x:row>
    <x:row r="755">
      <x:c r="A755" s="2" t="str">
        <x:v>LiDS-1</x:v>
      </x:c>
      <x:c r="B755" s="4" t="str">
        <x:v>NaCl</x:v>
      </x:c>
      <x:c r="C755" s="23" t="n">
        <x:v>2.2582</x:v>
      </x:c>
      <x:c r="D755" s="23" t="n">
        <x:v>-10.80713</x:v>
      </x:c>
      <x:c r="E755" s="23" t="n">
        <x:f>'Parameters'!$B$2*'Parameters'!$B$3*LN(4*PI()*C755^2)</x:f>
        <x:v>10.312858665813183</x:v>
      </x:c>
      <x:c r="F755" s="23" t="n">
        <x:f>D755+E755</x:f>
        <x:v>-0.4942713341868181</x:v>
      </x:c>
      <x:c r="G755" s="23" t="n">
        <x:f>AVERAGE($F$743:$F$767)</x:f>
        <x:v>-0.5858924514092341</x:v>
      </x:c>
      <x:c r="H755" s="24" t="n">
        <x:f>F755-G755</x:f>
        <x:v>0.09162111722241595</x:v>
      </x:c>
    </x:row>
    <x:row r="756">
      <x:c r="A756" s="2" t="str">
        <x:v>LiDS-1</x:v>
      </x:c>
      <x:c r="B756" s="4" t="str">
        <x:v>NaCl</x:v>
      </x:c>
      <x:c r="C756" s="23" t="n">
        <x:v>2.270416</x:v>
      </x:c>
      <x:c r="D756" s="23" t="n">
        <x:v>-10.75951</x:v>
      </x:c>
      <x:c r="E756" s="23" t="n">
        <x:f>'Parameters'!$B$2*'Parameters'!$B$3*LN(4*PI()*C756^2)</x:f>
        <x:v>10.339606804781889</x:v>
      </x:c>
      <x:c r="F756" s="23" t="n">
        <x:f>D756+E756</x:f>
        <x:v>-0.4199031952181116</x:v>
      </x:c>
      <x:c r="G756" s="23" t="n">
        <x:f>AVERAGE($F$743:$F$767)</x:f>
        <x:v>-0.5858924514092341</x:v>
      </x:c>
      <x:c r="H756" s="24" t="n">
        <x:f>F756-G756</x:f>
        <x:v>0.16598925619112248</x:v>
      </x:c>
    </x:row>
    <x:row r="757">
      <x:c r="A757" s="2" t="str">
        <x:v>LiDS-1</x:v>
      </x:c>
      <x:c r="B757" s="4" t="str">
        <x:v>NaCl</x:v>
      </x:c>
      <x:c r="C757" s="23" t="n">
        <x:v>2.282631</x:v>
      </x:c>
      <x:c r="D757" s="23" t="n">
        <x:v>-10.80305</x:v>
      </x:c>
      <x:c r="E757" s="23" t="n">
        <x:f>'Parameters'!$B$2*'Parameters'!$B$3*LN(4*PI()*C757^2)</x:f>
        <x:v>10.366209238505892</x:v>
      </x:c>
      <x:c r="F757" s="23" t="n">
        <x:f>D757+E757</x:f>
        <x:v>-0.4368407614941088</x:v>
      </x:c>
      <x:c r="G757" s="23" t="n">
        <x:f>AVERAGE($F$743:$F$767)</x:f>
        <x:v>-0.5858924514092341</x:v>
      </x:c>
      <x:c r="H757" s="24" t="n">
        <x:f>F757-G757</x:f>
        <x:v>0.1490516899151253</x:v>
      </x:c>
    </x:row>
    <x:row r="758">
      <x:c r="A758" s="2" t="str">
        <x:v>LiDS-1</x:v>
      </x:c>
      <x:c r="B758" s="4" t="str">
        <x:v>NaCl</x:v>
      </x:c>
      <x:c r="C758" s="23" t="n">
        <x:v>2.294846</x:v>
      </x:c>
      <x:c r="D758" s="23" t="n">
        <x:v>-10.69717</x:v>
      </x:c>
      <x:c r="E758" s="23" t="n">
        <x:f>'Parameters'!$B$2*'Parameters'!$B$3*LN(4*PI()*C758^2)</x:f>
        <x:v>10.392669694334781</x:v>
      </x:c>
      <x:c r="F758" s="23" t="n">
        <x:f>D758+E758</x:f>
        <x:v>-0.30450030566521846</x:v>
      </x:c>
      <x:c r="G758" s="23" t="n">
        <x:f>AVERAGE($F$743:$F$767)</x:f>
        <x:v>-0.5858924514092341</x:v>
      </x:c>
      <x:c r="H758" s="24" t="n">
        <x:f>F758-G758</x:f>
        <x:v>0.2813921457440156</x:v>
      </x:c>
    </x:row>
    <x:row r="759">
      <x:c r="A759" s="2" t="str">
        <x:v>LiDS-1</x:v>
      </x:c>
      <x:c r="B759" s="4" t="str">
        <x:v>NaCl</x:v>
      </x:c>
      <x:c r="C759" s="23" t="n">
        <x:v>2.307061</x:v>
      </x:c>
      <x:c r="D759" s="23" t="n">
        <x:v>-10.81977</x:v>
      </x:c>
      <x:c r="E759" s="23" t="n">
        <x:f>'Parameters'!$B$2*'Parameters'!$B$3*LN(4*PI()*C759^2)</x:f>
        <x:v>10.418989679706467</x:v>
      </x:c>
      <x:c r="F759" s="23" t="n">
        <x:f>D759+E759</x:f>
        <x:v>-0.40078032029353317</x:v>
      </x:c>
      <x:c r="G759" s="23" t="n">
        <x:f>AVERAGE($F$743:$F$767)</x:f>
        <x:v>-0.5858924514092341</x:v>
      </x:c>
      <x:c r="H759" s="24" t="n">
        <x:f>F759-G759</x:f>
        <x:v>0.1851121311157009</x:v>
      </x:c>
    </x:row>
    <x:row r="760">
      <x:c r="A760" s="2" t="str">
        <x:v>LiDS-1</x:v>
      </x:c>
      <x:c r="B760" s="4" t="str">
        <x:v>NaCl</x:v>
      </x:c>
      <x:c r="C760" s="23" t="n">
        <x:v>2.319276</x:v>
      </x:c>
      <x:c r="D760" s="23" t="n">
        <x:v>-10.92949</x:v>
      </x:c>
      <x:c r="E760" s="23" t="n">
        <x:f>'Parameters'!$B$2*'Parameters'!$B$3*LN(4*PI()*C760^2)</x:f>
        <x:v>10.445170678177949</x:v>
      </x:c>
      <x:c r="F760" s="23" t="n">
        <x:f>D760+E760</x:f>
        <x:v>-0.48431932182205095</x:v>
      </x:c>
      <x:c r="G760" s="23" t="n">
        <x:f>AVERAGE($F$743:$F$767)</x:f>
        <x:v>-0.5858924514092341</x:v>
      </x:c>
      <x:c r="H760" s="24" t="n">
        <x:f>F760-G760</x:f>
        <x:v>0.10157312958718312</x:v>
      </x:c>
    </x:row>
    <x:row r="761">
      <x:c r="A761" s="2" t="str">
        <x:v>LiDS-1</x:v>
      </x:c>
      <x:c r="B761" s="4" t="str">
        <x:v>NaCl</x:v>
      </x:c>
      <x:c r="C761" s="23" t="n">
        <x:v>2.331491</x:v>
      </x:c>
      <x:c r="D761" s="23" t="n">
        <x:v>-10.95235</x:v>
      </x:c>
      <x:c r="E761" s="23" t="n">
        <x:f>'Parameters'!$B$2*'Parameters'!$B$3*LN(4*PI()*C761^2)</x:f>
        <x:v>10.471214149927098</x:v>
      </x:c>
      <x:c r="F761" s="23" t="n">
        <x:f>D761+E761</x:f>
        <x:v>-0.48113585007290105</x:v>
      </x:c>
      <x:c r="G761" s="23" t="n">
        <x:f>AVERAGE($F$743:$F$767)</x:f>
        <x:v>-0.5858924514092341</x:v>
      </x:c>
      <x:c r="H761" s="24" t="n">
        <x:f>F761-G761</x:f>
        <x:v>0.10475660133633302</x:v>
      </x:c>
    </x:row>
    <x:row r="762">
      <x:c r="A762" s="2" t="str">
        <x:v>LiDS-1</x:v>
      </x:c>
      <x:c r="B762" s="4" t="str">
        <x:v>NaCl</x:v>
      </x:c>
      <x:c r="C762" s="23" t="n">
        <x:v>2.343706</x:v>
      </x:c>
      <x:c r="D762" s="23" t="n">
        <x:v>-10.9932</x:v>
      </x:c>
      <x:c r="E762" s="23" t="n">
        <x:f>'Parameters'!$B$2*'Parameters'!$B$3*LN(4*PI()*C762^2)</x:f>
        <x:v>10.497121532241314</x:v>
      </x:c>
      <x:c r="F762" s="23" t="n">
        <x:f>D762+E762</x:f>
        <x:v>-0.4960784677586858</x:v>
      </x:c>
      <x:c r="G762" s="23" t="n">
        <x:f>AVERAGE($F$743:$F$767)</x:f>
        <x:v>-0.5858924514092341</x:v>
      </x:c>
      <x:c r="H762" s="24" t="n">
        <x:f>F762-G762</x:f>
        <x:v>0.08981398365054827</x:v>
      </x:c>
    </x:row>
    <x:row r="763">
      <x:c r="A763" s="2" t="str">
        <x:v>LiDS-1</x:v>
      </x:c>
      <x:c r="B763" s="4" t="str">
        <x:v>NaCl</x:v>
      </x:c>
      <x:c r="C763" s="23" t="n">
        <x:v>2.355921</x:v>
      </x:c>
      <x:c r="D763" s="23" t="n">
        <x:v>-10.94712</x:v>
      </x:c>
      <x:c r="E763" s="23" t="n">
        <x:f>'Parameters'!$B$2*'Parameters'!$B$3*LN(4*PI()*C763^2)</x:f>
        <x:v>10.522894239993512</x:v>
      </x:c>
      <x:c r="F763" s="23" t="n">
        <x:f>D763+E763</x:f>
        <x:v>-0.4242257600064878</x:v>
      </x:c>
      <x:c r="G763" s="23" t="n">
        <x:f>AVERAGE($F$743:$F$767)</x:f>
        <x:v>-0.5858924514092341</x:v>
      </x:c>
      <x:c r="H763" s="24" t="n">
        <x:f>F763-G763</x:f>
        <x:v>0.16166669140274625</x:v>
      </x:c>
    </x:row>
    <x:row r="764">
      <x:c r="A764" s="2" t="str">
        <x:v>LiDS-1</x:v>
      </x:c>
      <x:c r="B764" s="4" t="str">
        <x:v>NaCl</x:v>
      </x:c>
      <x:c r="C764" s="23" t="n">
        <x:v>2.368136</x:v>
      </x:c>
      <x:c r="D764" s="23" t="n">
        <x:v>-10.84253</x:v>
      </x:c>
      <x:c r="E764" s="23" t="n">
        <x:f>'Parameters'!$B$2*'Parameters'!$B$3*LN(4*PI()*C764^2)</x:f>
        <x:v>10.54853366610578</x:v>
      </x:c>
      <x:c r="F764" s="23" t="n">
        <x:f>D764+E764</x:f>
        <x:v>-0.29399633389422064</x:v>
      </x:c>
      <x:c r="G764" s="23" t="n">
        <x:f>AVERAGE($F$743:$F$767)</x:f>
        <x:v>-0.5858924514092341</x:v>
      </x:c>
      <x:c r="H764" s="24" t="n">
        <x:f>F764-G764</x:f>
        <x:v>0.29189611751501343</x:v>
      </x:c>
    </x:row>
    <x:row r="765">
      <x:c r="A765" s="2" t="str">
        <x:v>LiDS-1</x:v>
      </x:c>
      <x:c r="B765" s="4" t="str">
        <x:v>NaCl</x:v>
      </x:c>
      <x:c r="C765" s="23" t="n">
        <x:v>2.380351</x:v>
      </x:c>
      <x:c r="D765" s="23" t="n">
        <x:v>-10.89953</x:v>
      </x:c>
      <x:c r="E765" s="23" t="n">
        <x:f>'Parameters'!$B$2*'Parameters'!$B$3*LN(4*PI()*C765^2)</x:f>
        <x:v>10.574041182001109</x:v>
      </x:c>
      <x:c r="F765" s="23" t="n">
        <x:f>D765+E765</x:f>
        <x:v>-0.32548881799889173</x:v>
      </x:c>
      <x:c r="G765" s="23" t="n">
        <x:f>AVERAGE($F$743:$F$767)</x:f>
        <x:v>-0.5858924514092341</x:v>
      </x:c>
      <x:c r="H765" s="24" t="n">
        <x:f>F765-G765</x:f>
        <x:v>0.26040363341034234</x:v>
      </x:c>
    </x:row>
    <x:row r="766">
      <x:c r="A766" s="2" t="str">
        <x:v>LiDS-1</x:v>
      </x:c>
      <x:c r="B766" s="4" t="str">
        <x:v>NaCl</x:v>
      </x:c>
      <x:c r="C766" s="23" t="n">
        <x:v>2.392566</x:v>
      </x:c>
      <x:c r="D766" s="23" t="n">
        <x:v>-10.84089</x:v>
      </x:c>
      <x:c r="E766" s="23" t="n">
        <x:f>'Parameters'!$B$2*'Parameters'!$B$3*LN(4*PI()*C766^2)</x:f>
        <x:v>10.599418138043564</x:v>
      </x:c>
      <x:c r="F766" s="23" t="n">
        <x:f>D766+E766</x:f>
        <x:v>-0.24147186195643577</x:v>
      </x:c>
      <x:c r="G766" s="23" t="n">
        <x:f>AVERAGE($F$743:$F$767)</x:f>
        <x:v>-0.5858924514092341</x:v>
      </x:c>
      <x:c r="H766" s="24" t="n">
        <x:f>F766-G766</x:f>
        <x:v>0.3444205894527983</x:v>
      </x:c>
    </x:row>
    <x:row r="767">
      <x:c r="A767" s="2" t="str">
        <x:v>LiDS-1</x:v>
      </x:c>
      <x:c r="B767" s="4" t="str">
        <x:v>NaCl</x:v>
      </x:c>
      <x:c r="C767" s="23" t="n">
        <x:v>2.404781</x:v>
      </x:c>
      <x:c r="D767" s="23" t="n">
        <x:v>-10.72448</x:v>
      </x:c>
      <x:c r="E767" s="23" t="n">
        <x:f>'Parameters'!$B$2*'Parameters'!$B$3*LN(4*PI()*C767^2)</x:f>
        <x:v>10.624665863967268</x:v>
      </x:c>
      <x:c r="F767" s="23" t="n">
        <x:f>D767+E767</x:f>
        <x:v>-0.09981413603273204</x:v>
      </x:c>
      <x:c r="G767" s="23" t="n">
        <x:f>AVERAGE($F$743:$F$767)</x:f>
        <x:v>-0.5858924514092341</x:v>
      </x:c>
      <x:c r="H767" s="24" t="n">
        <x:f>F767-G767</x:f>
        <x:v>0.48607831537650203</x:v>
      </x:c>
    </x:row>
    <x:row r="768">
      <x:c r="A768" s="2" t="str">
        <x:v>LiDS-1</x:v>
      </x:c>
      <x:c r="B768" s="4" t="str">
        <x:v>NaCl</x:v>
      </x:c>
      <x:c r="C768" s="23" t="n">
        <x:v>2.416997</x:v>
      </x:c>
      <x:c r="D768" s="23" t="n">
        <x:v>-10.75495</x:v>
      </x:c>
      <x:c r="E768" s="23" t="n">
        <x:f>'Parameters'!$B$2*'Parameters'!$B$3*LN(4*PI()*C768^2)</x:f>
        <x:v>10.649787720565167</x:v>
      </x:c>
      <x:c r="F768" s="23" t="n">
        <x:f>D768+E768</x:f>
        <x:v>-0.10516227943483258</x:v>
      </x:c>
      <x:c r="G768" s="23" t="n">
        <x:f>AVERAGE($F$743:$F$767)</x:f>
        <x:v>-0.5858924514092341</x:v>
      </x:c>
      <x:c r="H768" s="24" t="n">
        <x:f>F768-G768</x:f>
        <x:v>0.4807301719744015</x:v>
      </x:c>
    </x:row>
    <x:row r="769">
      <x:c r="A769" s="2" t="str">
        <x:v>LiDS-1</x:v>
      </x:c>
      <x:c r="B769" s="4" t="str">
        <x:v>NaCl</x:v>
      </x:c>
      <x:c r="C769" s="23" t="n">
        <x:v>2.429212</x:v>
      </x:c>
      <x:c r="D769" s="23" t="n">
        <x:v>-10.82044</x:v>
      </x:c>
      <x:c r="E769" s="23" t="n">
        <x:f>'Parameters'!$B$2*'Parameters'!$B$3*LN(4*PI()*C769^2)</x:f>
        <x:v>10.674780884699292</x:v>
      </x:c>
      <x:c r="F769" s="23" t="n">
        <x:f>D769+E769</x:f>
        <x:v>-0.14565911530070785</x:v>
      </x:c>
      <x:c r="G769" s="23" t="n">
        <x:f>AVERAGE($F$743:$F$767)</x:f>
        <x:v>-0.5858924514092341</x:v>
      </x:c>
      <x:c r="H769" s="24" t="n">
        <x:f>F769-G769</x:f>
        <x:v>0.4402333361085262</x:v>
      </x:c>
    </x:row>
    <x:row r="770">
      <x:c r="A770" s="2" t="str">
        <x:v>LiDS-1</x:v>
      </x:c>
      <x:c r="B770" s="4" t="str">
        <x:v>NaCl</x:v>
      </x:c>
      <x:c r="C770" s="23" t="n">
        <x:v>2.441427</x:v>
      </x:c>
      <x:c r="D770" s="23" t="n">
        <x:v>-10.85941</x:v>
      </x:c>
      <x:c r="E770" s="23" t="n">
        <x:f>'Parameters'!$B$2*'Parameters'!$B$3*LN(4*PI()*C770^2)</x:f>
        <x:v>10.699648688369129</x:v>
      </x:c>
      <x:c r="F770" s="23" t="n">
        <x:f>D770+E770</x:f>
        <x:v>-0.15976131163087182</x:v>
      </x:c>
      <x:c r="G770" s="23" t="n">
        <x:f>AVERAGE($F$743:$F$767)</x:f>
        <x:v>-0.5858924514092341</x:v>
      </x:c>
      <x:c r="H770" s="24" t="n">
        <x:f>F770-G770</x:f>
        <x:v>0.42613113977836226</x:v>
      </x:c>
    </x:row>
    <x:row r="771">
      <x:c r="A771" s="2" t="str">
        <x:v>LiDS-1</x:v>
      </x:c>
      <x:c r="B771" s="4" t="str">
        <x:v>NaCl</x:v>
      </x:c>
      <x:c r="C771" s="23" t="n">
        <x:v>2.453642</x:v>
      </x:c>
      <x:c r="D771" s="23" t="n">
        <x:v>-10.86917</x:v>
      </x:c>
      <x:c r="E771" s="23" t="n">
        <x:f>'Parameters'!$B$2*'Parameters'!$B$3*LN(4*PI()*C771^2)</x:f>
        <x:v>10.724392382864618</x:v>
      </x:c>
      <x:c r="F771" s="23" t="n">
        <x:f>D771+E771</x:f>
        <x:v>-0.14477761713538229</x:v>
      </x:c>
      <x:c r="G771" s="23" t="n">
        <x:f>AVERAGE($F$743:$F$767)</x:f>
        <x:v>-0.5858924514092341</x:v>
      </x:c>
      <x:c r="H771" s="24" t="n">
        <x:f>F771-G771</x:f>
        <x:v>0.4411148342738518</x:v>
      </x:c>
    </x:row>
    <x:row r="772">
      <x:c r="A772" s="2" t="str">
        <x:v>LiDS-1</x:v>
      </x:c>
      <x:c r="B772" s="4" t="str">
        <x:v>NaCl</x:v>
      </x:c>
      <x:c r="C772" s="23" t="n">
        <x:v>2.465857</x:v>
      </x:c>
      <x:c r="D772" s="23" t="n">
        <x:v>-10.96878</x:v>
      </x:c>
      <x:c r="E772" s="23" t="n">
        <x:f>'Parameters'!$B$2*'Parameters'!$B$3*LN(4*PI()*C772^2)</x:f>
        <x:v>10.749013200834014</x:v>
      </x:c>
      <x:c r="F772" s="23" t="n">
        <x:f>D772+E772</x:f>
        <x:v>-0.21976679916598663</x:v>
      </x:c>
      <x:c r="G772" s="23" t="n">
        <x:f>AVERAGE($F$743:$F$767)</x:f>
        <x:v>-0.5858924514092341</x:v>
      </x:c>
      <x:c r="H772" s="24" t="n">
        <x:f>F772-G772</x:f>
        <x:v>0.36612565224324745</x:v>
      </x:c>
    </x:row>
    <x:row r="773">
      <x:c r="A773" s="2" t="str">
        <x:v>LiDS-1</x:v>
      </x:c>
      <x:c r="B773" s="4" t="str">
        <x:v>NaCl</x:v>
      </x:c>
      <x:c r="C773" s="23" t="n">
        <x:v>2.478072</x:v>
      </x:c>
      <x:c r="D773" s="23" t="n">
        <x:v>-10.79551</x:v>
      </x:c>
      <x:c r="E773" s="23" t="n">
        <x:f>'Parameters'!$B$2*'Parameters'!$B$3*LN(4*PI()*C773^2)</x:f>
        <x:v>10.773512356652335</x:v>
      </x:c>
      <x:c r="F773" s="23" t="n">
        <x:f>D773+E773</x:f>
        <x:v>-0.02199764334766563</x:v>
      </x:c>
      <x:c r="G773" s="23" t="n">
        <x:f>AVERAGE($F$743:$F$767)</x:f>
        <x:v>-0.5858924514092341</x:v>
      </x:c>
      <x:c r="H773" s="24" t="n">
        <x:f>F773-G773</x:f>
        <x:v>0.5638948080615684</x:v>
      </x:c>
    </x:row>
    <x:row r="774">
      <x:c r="A774" s="2" t="str">
        <x:v>LiDS-1</x:v>
      </x:c>
      <x:c r="B774" s="4" t="str">
        <x:v>NaCl</x:v>
      </x:c>
      <x:c r="C774" s="23" t="n">
        <x:v>2.490287</x:v>
      </x:c>
      <x:c r="D774" s="23" t="n">
        <x:v>-11.01293</x:v>
      </x:c>
      <x:c r="E774" s="23" t="n">
        <x:f>'Parameters'!$B$2*'Parameters'!$B$3*LN(4*PI()*C774^2)</x:f>
        <x:v>10.797891046780792</x:v>
      </x:c>
      <x:c r="F774" s="23" t="n">
        <x:f>D774+E774</x:f>
        <x:v>-0.2150389532192083</x:v>
      </x:c>
      <x:c r="G774" s="23" t="n">
        <x:f>AVERAGE($F$743:$F$767)</x:f>
        <x:v>-0.5858924514092341</x:v>
      </x:c>
      <x:c r="H774" s="24" t="n">
        <x:f>F774-G774</x:f>
        <x:v>0.3708534981900258</x:v>
      </x:c>
    </x:row>
    <x:row r="775">
      <x:c r="A775" s="2" t="str">
        <x:v>LiDS-1</x:v>
      </x:c>
      <x:c r="B775" s="4" t="str">
        <x:v>NaCl</x:v>
      </x:c>
      <x:c r="C775" s="23" t="n">
        <x:v>2.502502</x:v>
      </x:c>
      <x:c r="D775" s="23" t="n">
        <x:v>-10.88825</x:v>
      </x:c>
      <x:c r="E775" s="23" t="n">
        <x:f>'Parameters'!$B$2*'Parameters'!$B$3*LN(4*PI()*C775^2)</x:f>
        <x:v>10.822150450117391</x:v>
      </x:c>
      <x:c r="F775" s="23" t="n">
        <x:f>D775+E775</x:f>
        <x:v>-0.06609954988260824</x:v>
      </x:c>
      <x:c r="G775" s="23" t="n">
        <x:f>AVERAGE($F$743:$F$767)</x:f>
        <x:v>-0.5858924514092341</x:v>
      </x:c>
      <x:c r="H775" s="24" t="n">
        <x:f>F775-G775</x:f>
        <x:v>0.5197929015266258</x:v>
      </x:c>
    </x:row>
    <x:row r="776">
      <x:c r="A776" s="2" t="str">
        <x:v>LiDS-1</x:v>
      </x:c>
      <x:c r="B776" s="4" t="str">
        <x:v>NaCl</x:v>
      </x:c>
      <x:c r="C776" s="23" t="n">
        <x:v>2.514717</x:v>
      </x:c>
      <x:c r="D776" s="23" t="n">
        <x:v>-10.936</x:v>
      </x:c>
      <x:c r="E776" s="23" t="n">
        <x:f>'Parameters'!$B$2*'Parameters'!$B$3*LN(4*PI()*C776^2)</x:f>
        <x:v>10.846291728339027</x:v>
      </x:c>
      <x:c r="F776" s="23" t="n">
        <x:f>D776+E776</x:f>
        <x:v>-0.08970827166097273</x:v>
      </x:c>
      <x:c r="G776" s="23" t="n">
        <x:f>AVERAGE($F$743:$F$767)</x:f>
        <x:v>-0.5858924514092341</x:v>
      </x:c>
      <x:c r="H776" s="24" t="n">
        <x:f>F776-G776</x:f>
        <x:v>0.49618417974826134</x:v>
      </x:c>
    </x:row>
    <x:row r="777">
      <x:c r="A777" s="2" t="str">
        <x:v>LiDS-1</x:v>
      </x:c>
      <x:c r="B777" s="4" t="str">
        <x:v>NaCl</x:v>
      </x:c>
      <x:c r="C777" s="23" t="n">
        <x:v>2.526932</x:v>
      </x:c>
      <x:c r="D777" s="23" t="n">
        <x:v>-10.99535</x:v>
      </x:c>
      <x:c r="E777" s="23" t="n">
        <x:f>'Parameters'!$B$2*'Parameters'!$B$3*LN(4*PI()*C777^2)</x:f>
        <x:v>10.870316026235262</x:v>
      </x:c>
      <x:c r="F777" s="23" t="n">
        <x:f>D777+E777</x:f>
        <x:v>-0.12503397376473835</x:v>
      </x:c>
      <x:c r="G777" s="23" t="n">
        <x:f>AVERAGE($F$743:$F$767)</x:f>
        <x:v>-0.5858924514092341</x:v>
      </x:c>
      <x:c r="H777" s="24" t="n">
        <x:f>F777-G777</x:f>
        <x:v>0.4608584776444957</x:v>
      </x:c>
    </x:row>
    <x:row r="778">
      <x:c r="A778" s="2" t="str">
        <x:v>LiDS-1</x:v>
      </x:c>
      <x:c r="B778" s="4" t="str">
        <x:v>NaCl</x:v>
      </x:c>
      <x:c r="C778" s="23" t="n">
        <x:v>2.539147</x:v>
      </x:c>
      <x:c r="D778" s="23" t="n">
        <x:v>-10.83697</x:v>
      </x:c>
      <x:c r="E778" s="23" t="n">
        <x:f>'Parameters'!$B$2*'Parameters'!$B$3*LN(4*PI()*C778^2)</x:f>
        <x:v>10.89422447203408</x:v>
      </x:c>
      <x:c r="F778" s="23" t="n">
        <x:f>D778+E778</x:f>
        <x:v>0.05725447203407974</x:v>
      </x:c>
      <x:c r="G778" s="23" t="n">
        <x:f>AVERAGE($F$743:$F$767)</x:f>
        <x:v>-0.5858924514092341</x:v>
      </x:c>
      <x:c r="H778" s="24" t="n">
        <x:f>F778-G778</x:f>
        <x:v>0.6431469234433138</x:v>
      </x:c>
    </x:row>
    <x:row r="779">
      <x:c r="A779" s="2" t="str">
        <x:v>LiDS-1</x:v>
      </x:c>
      <x:c r="B779" s="4" t="str">
        <x:v>NaCl</x:v>
      </x:c>
      <x:c r="C779" s="23" t="n">
        <x:v>2.551362</x:v>
      </x:c>
      <x:c r="D779" s="23" t="n">
        <x:v>-10.8596</x:v>
      </x:c>
      <x:c r="E779" s="23" t="n">
        <x:f>'Parameters'!$B$2*'Parameters'!$B$3*LN(4*PI()*C779^2)</x:f>
        <x:v>10.918018177719807</x:v>
      </x:c>
      <x:c r="F779" s="23" t="n">
        <x:f>D779+E779</x:f>
        <x:v>0.05841817771980651</x:v>
      </x:c>
      <x:c r="G779" s="23" t="n">
        <x:f>AVERAGE($F$743:$F$767)</x:f>
        <x:v>-0.5858924514092341</x:v>
      </x:c>
      <x:c r="H779" s="24" t="n">
        <x:f>F779-G779</x:f>
        <x:v>0.6443106291290406</x:v>
      </x:c>
    </x:row>
    <x:row r="780">
      <x:c r="A780" s="2" t="str">
        <x:v>LiDS-1</x:v>
      </x:c>
      <x:c r="B780" s="4" t="str">
        <x:v>NaCl</x:v>
      </x:c>
      <x:c r="C780" s="23" t="n">
        <x:v>2.563578</x:v>
      </x:c>
      <x:c r="D780" s="23" t="n">
        <x:v>-10.98242</x:v>
      </x:c>
      <x:c r="E780" s="23" t="n">
        <x:f>'Parameters'!$B$2*'Parameters'!$B$3*LN(4*PI()*C780^2)</x:f>
        <x:v>10.941700173325966</x:v>
      </x:c>
      <x:c r="F780" s="23" t="n">
        <x:f>D780+E780</x:f>
        <x:v>-0.0407198266740334</x:v>
      </x:c>
      <x:c r="G780" s="23" t="n">
        <x:f>AVERAGE($F$743:$F$767)</x:f>
        <x:v>-0.5858924514092341</x:v>
      </x:c>
      <x:c r="H780" s="24" t="n">
        <x:f>F780-G780</x:f>
        <x:v>0.5451726247352007</x:v>
      </x:c>
    </x:row>
    <x:row r="781">
      <x:c r="A781" s="2" t="str">
        <x:v>LiDS-1</x:v>
      </x:c>
      <x:c r="B781" s="4" t="str">
        <x:v>NaCl</x:v>
      </x:c>
      <x:c r="C781" s="23" t="n">
        <x:v>2.575793</x:v>
      </x:c>
      <x:c r="D781" s="23" t="n">
        <x:v>-10.86577</x:v>
      </x:c>
      <x:c r="E781" s="23" t="n">
        <x:f>'Parameters'!$B$2*'Parameters'!$B$3*LN(4*PI()*C781^2)</x:f>
        <x:v>10.96526766213679</x:v>
      </x:c>
      <x:c r="F781" s="23" t="n">
        <x:f>D781+E781</x:f>
        <x:v>0.09949766213679112</x:v>
      </x:c>
      <x:c r="G781" s="23" t="n">
        <x:f>AVERAGE($F$743:$F$767)</x:f>
        <x:v>-0.5858924514092341</x:v>
      </x:c>
      <x:c r="H781" s="24" t="n">
        <x:f>F781-G781</x:f>
        <x:v>0.6853901135460252</x:v>
      </x:c>
    </x:row>
    <x:row r="782">
      <x:c r="A782" s="2" t="str">
        <x:v>LiDS-1</x:v>
      </x:c>
      <x:c r="B782" s="4" t="str">
        <x:v>NaCl</x:v>
      </x:c>
      <x:c r="C782" s="23" t="n">
        <x:v>2.588008</x:v>
      </x:c>
      <x:c r="D782" s="23" t="n">
        <x:v>-11.03661</x:v>
      </x:c>
      <x:c r="E782" s="23" t="n">
        <x:f>'Parameters'!$B$2*'Parameters'!$B$3*LN(4*PI()*C782^2)</x:f>
        <x:v>10.988723652478836</x:v>
      </x:c>
      <x:c r="F782" s="23" t="n">
        <x:f>D782+E782</x:f>
        <x:v>-0.04788634752116394</x:v>
      </x:c>
      <x:c r="G782" s="23" t="n">
        <x:f>AVERAGE($F$743:$F$767)</x:f>
        <x:v>-0.5858924514092341</x:v>
      </x:c>
      <x:c r="H782" s="24" t="n">
        <x:f>F782-G782</x:f>
        <x:v>0.5380061038880701</x:v>
      </x:c>
    </x:row>
    <x:row r="783">
      <x:c r="A783" s="2" t="str">
        <x:v>LiDS-1</x:v>
      </x:c>
      <x:c r="B783" s="4" t="str">
        <x:v>NaCl</x:v>
      </x:c>
      <x:c r="C783" s="23" t="n">
        <x:v>2.600223</x:v>
      </x:c>
      <x:c r="D783" s="23" t="n">
        <x:v>-10.98222</x:v>
      </x:c>
      <x:c r="E783" s="23" t="n">
        <x:f>'Parameters'!$B$2*'Parameters'!$B$3*LN(4*PI()*C783^2)</x:f>
        <x:v>11.012069194391232</x:v>
      </x:c>
      <x:c r="F783" s="23" t="n">
        <x:f>D783+E783</x:f>
        <x:v>0.02984919439123246</x:v>
      </x:c>
      <x:c r="G783" s="23" t="n">
        <x:f>AVERAGE($F$743:$F$767)</x:f>
        <x:v>-0.5858924514092341</x:v>
      </x:c>
      <x:c r="H783" s="24" t="n">
        <x:f>F783-G783</x:f>
        <x:v>0.6157416458004665</x:v>
      </x:c>
    </x:row>
    <x:row r="784">
      <x:c r="A784" s="2" t="str">
        <x:v>LiDS-1</x:v>
      </x:c>
      <x:c r="B784" s="4" t="str">
        <x:v>NaCl</x:v>
      </x:c>
      <x:c r="C784" s="23" t="n">
        <x:v>2.612438</x:v>
      </x:c>
      <x:c r="D784" s="23" t="n">
        <x:v>-11.05865</x:v>
      </x:c>
      <x:c r="E784" s="23" t="n">
        <x:f>'Parameters'!$B$2*'Parameters'!$B$3*LN(4*PI()*C784^2)</x:f>
        <x:v>11.035305323149439</x:v>
      </x:c>
      <x:c r="F784" s="23" t="n">
        <x:f>D784+E784</x:f>
        <x:v>-0.023344676850561186</x:v>
      </x:c>
      <x:c r="G784" s="23" t="n">
        <x:f>AVERAGE($F$743:$F$767)</x:f>
        <x:v>-0.5858924514092341</x:v>
      </x:c>
      <x:c r="H784" s="24" t="n">
        <x:f>F784-G784</x:f>
        <x:v>0.5625477745586729</x:v>
      </x:c>
    </x:row>
    <x:row r="785">
      <x:c r="A785" s="2" t="str">
        <x:v>LiDS-1</x:v>
      </x:c>
      <x:c r="B785" s="4" t="str">
        <x:v>NaCl</x:v>
      </x:c>
      <x:c r="C785" s="23" t="n">
        <x:v>2.624653</x:v>
      </x:c>
      <x:c r="D785" s="23" t="n">
        <x:v>-11.06163</x:v>
      </x:c>
      <x:c r="E785" s="23" t="n">
        <x:f>'Parameters'!$B$2*'Parameters'!$B$3*LN(4*PI()*C785^2)</x:f>
        <x:v>11.058433059540748</x:v>
      </x:c>
      <x:c r="F785" s="23" t="n">
        <x:f>D785+E785</x:f>
        <x:v>-0.0031969404592508965</x:v>
      </x:c>
      <x:c r="G785" s="23" t="n">
        <x:f>AVERAGE($F$743:$F$767)</x:f>
        <x:v>-0.5858924514092341</x:v>
      </x:c>
      <x:c r="H785" s="24" t="n">
        <x:f>F785-G785</x:f>
        <x:v>0.5826955109499832</x:v>
      </x:c>
    </x:row>
    <x:row r="786">
      <x:c r="A786" s="2" t="str">
        <x:v>LiDS-1</x:v>
      </x:c>
      <x:c r="B786" s="4" t="str">
        <x:v>NaCl</x:v>
      </x:c>
      <x:c r="C786" s="23" t="n">
        <x:v>2.636868</x:v>
      </x:c>
      <x:c r="D786" s="23" t="n">
        <x:v>-11.01735</x:v>
      </x:c>
      <x:c r="E786" s="23" t="n">
        <x:f>'Parameters'!$B$2*'Parameters'!$B$3*LN(4*PI()*C786^2)</x:f>
        <x:v>11.081453410133365</x:v>
      </x:c>
      <x:c r="F786" s="23" t="n">
        <x:f>D786+E786</x:f>
        <x:v>0.06410341013336485</x:v>
      </x:c>
      <x:c r="G786" s="23" t="n">
        <x:f>AVERAGE($F$743:$F$767)</x:f>
        <x:v>-0.5858924514092341</x:v>
      </x:c>
      <x:c r="H786" s="24" t="n">
        <x:f>F786-G786</x:f>
        <x:v>0.6499958615425989</x:v>
      </x:c>
    </x:row>
    <x:row r="787">
      <x:c r="A787" s="2" t="str">
        <x:v>LiDS-1</x:v>
      </x:c>
      <x:c r="B787" s="4" t="str">
        <x:v>NaCl</x:v>
      </x:c>
      <x:c r="C787" s="23" t="n">
        <x:v>2.649083</x:v>
      </x:c>
      <x:c r="D787" s="23" t="n">
        <x:v>-11.04009</x:v>
      </x:c>
      <x:c r="E787" s="23" t="n">
        <x:f>'Parameters'!$B$2*'Parameters'!$B$3*LN(4*PI()*C787^2)</x:f>
        <x:v>11.10436736753926</x:v>
      </x:c>
      <x:c r="F787" s="23" t="n">
        <x:f>D787+E787</x:f>
        <x:v>0.06427736753926006</x:v>
      </x:c>
      <x:c r="G787" s="23" t="n">
        <x:f>AVERAGE($F$743:$F$767)</x:f>
        <x:v>-0.5858924514092341</x:v>
      </x:c>
      <x:c r="H787" s="24" t="n">
        <x:f>F787-G787</x:f>
        <x:v>0.6501698189484941</x:v>
      </x:c>
    </x:row>
    <x:row r="788">
      <x:c r="A788" s="2" t="str">
        <x:v>LiDS-1</x:v>
      </x:c>
      <x:c r="B788" s="4" t="str">
        <x:v>NaCl</x:v>
      </x:c>
      <x:c r="C788" s="23" t="n">
        <x:v>2.661298</x:v>
      </x:c>
      <x:c r="D788" s="23" t="n">
        <x:v>-10.88018</x:v>
      </x:c>
      <x:c r="E788" s="23" t="n">
        <x:f>'Parameters'!$B$2*'Parameters'!$B$3*LN(4*PI()*C788^2)</x:f>
        <x:v>11.12717591067101</x:v>
      </x:c>
      <x:c r="F788" s="23" t="n">
        <x:f>D788+E788</x:f>
        <x:v>0.24699591067101068</x:v>
      </x:c>
      <x:c r="G788" s="23" t="n">
        <x:f>AVERAGE($F$743:$F$767)</x:f>
        <x:v>-0.5858924514092341</x:v>
      </x:c>
      <x:c r="H788" s="24" t="n">
        <x:f>F788-G788</x:f>
        <x:v>0.8328883620802447</x:v>
      </x:c>
    </x:row>
    <x:row r="789">
      <x:c r="A789" s="2" t="str">
        <x:v>LiDS-1</x:v>
      </x:c>
      <x:c r="B789" s="4" t="str">
        <x:v>NaCl</x:v>
      </x:c>
      <x:c r="C789" s="23" t="n">
        <x:v>2.673513</x:v>
      </x:c>
      <x:c r="D789" s="23" t="n">
        <x:v>-11.01898</x:v>
      </x:c>
      <x:c r="E789" s="23" t="n">
        <x:f>'Parameters'!$B$2*'Parameters'!$B$3*LN(4*PI()*C789^2)</x:f>
        <x:v>11.149880004992728</x:v>
      </x:c>
      <x:c r="F789" s="23" t="n">
        <x:f>D789+E789</x:f>
        <x:v>0.1309000049927267</x:v>
      </x:c>
      <x:c r="G789" s="23" t="n">
        <x:f>AVERAGE($F$743:$F$767)</x:f>
        <x:v>-0.5858924514092341</x:v>
      </x:c>
      <x:c r="H789" s="24" t="n">
        <x:f>F789-G789</x:f>
        <x:v>0.7167924564019608</x:v>
      </x:c>
    </x:row>
    <x:row r="790">
      <x:c r="A790" s="2" t="str">
        <x:v>LiDS-1</x:v>
      </x:c>
      <x:c r="B790" s="4" t="str">
        <x:v>NaCl</x:v>
      </x:c>
      <x:c r="C790" s="23" t="n">
        <x:v>2.685728</x:v>
      </x:c>
      <x:c r="D790" s="23" t="n">
        <x:v>-11.13322</x:v>
      </x:c>
      <x:c r="E790" s="23" t="n">
        <x:f>'Parameters'!$B$2*'Parameters'!$B$3*LN(4*PI()*C790^2)</x:f>
        <x:v>11.172480602765281</x:v>
      </x:c>
      <x:c r="F790" s="23" t="n">
        <x:f>D790+E790</x:f>
        <x:v>0.03926060276528176</x:v>
      </x:c>
      <x:c r="G790" s="23" t="n">
        <x:f>AVERAGE($F$743:$F$767)</x:f>
        <x:v>-0.5858924514092341</x:v>
      </x:c>
      <x:c r="H790" s="24" t="n">
        <x:f>F790-G790</x:f>
        <x:v>0.6251530541745158</x:v>
      </x:c>
    </x:row>
    <x:row r="791">
      <x:c r="A791" s="2" t="str">
        <x:v>LiDS-1</x:v>
      </x:c>
      <x:c r="B791" s="4" t="str">
        <x:v>NaCl</x:v>
      </x:c>
      <x:c r="C791" s="23" t="n">
        <x:v>2.697943</x:v>
      </x:c>
      <x:c r="D791" s="23" t="n">
        <x:v>-11.23821</x:v>
      </x:c>
      <x:c r="E791" s="23" t="n">
        <x:f>'Parameters'!$B$2*'Parameters'!$B$3*LN(4*PI()*C791^2)</x:f>
        <x:v>11.194978643285955</x:v>
      </x:c>
      <x:c r="F791" s="23" t="n">
        <x:f>D791+E791</x:f>
        <x:v>-0.04323135671404543</x:v>
      </x:c>
      <x:c r="G791" s="23" t="n">
        <x:f>AVERAGE($F$743:$F$767)</x:f>
        <x:v>-0.5858924514092341</x:v>
      </x:c>
      <x:c r="H791" s="24" t="n">
        <x:f>F791-G791</x:f>
        <x:v>0.5426610946951886</x:v>
      </x:c>
    </x:row>
    <x:row r="792">
      <x:c r="A792" s="2" t="str">
        <x:v>LiDS-1</x:v>
      </x:c>
      <x:c r="B792" s="4" t="str">
        <x:v>NaCl</x:v>
      </x:c>
      <x:c r="C792" s="23" t="n">
        <x:v>2.710159</x:v>
      </x:c>
      <x:c r="D792" s="23" t="n">
        <x:v>-11.22244</x:v>
      </x:c>
      <x:c r="E792" s="23" t="n">
        <x:f>'Parameters'!$B$2*'Parameters'!$B$3*LN(4*PI()*C792^2)</x:f>
        <x:v>11.217376882504272</x:v>
      </x:c>
      <x:c r="F792" s="23" t="n">
        <x:f>D792+E792</x:f>
        <x:v>-0.00506311749572852</x:v>
      </x:c>
      <x:c r="G792" s="23" t="n">
        <x:f>AVERAGE($F$743:$F$767)</x:f>
        <x:v>-0.5858924514092341</x:v>
      </x:c>
      <x:c r="H792" s="24" t="n">
        <x:f>F792-G792</x:f>
        <x:v>0.5808293339135056</x:v>
      </x:c>
    </x:row>
    <x:row r="793">
      <x:c r="A793" s="2" t="str">
        <x:v>LiDS-1</x:v>
      </x:c>
      <x:c r="B793" s="4" t="str">
        <x:v>NaCl</x:v>
      </x:c>
      <x:c r="C793" s="23" t="n">
        <x:v>2.722374</x:v>
      </x:c>
      <x:c r="D793" s="23" t="n">
        <x:v>-11.15392</x:v>
      </x:c>
      <x:c r="E793" s="23" t="n">
        <x:f>'Parameters'!$B$2*'Parameters'!$B$3*LN(4*PI()*C793^2)</x:f>
        <x:v>11.2396725675164</x:v>
      </x:c>
      <x:c r="F793" s="23" t="n">
        <x:f>D793+E793</x:f>
        <x:v>0.08575256751640126</x:v>
      </x:c>
      <x:c r="G793" s="23" t="n">
        <x:f>AVERAGE($F$743:$F$767)</x:f>
        <x:v>-0.5858924514092341</x:v>
      </x:c>
      <x:c r="H793" s="24" t="n">
        <x:f>F793-G793</x:f>
        <x:v>0.6716450189256353</x:v>
      </x:c>
    </x:row>
    <x:row r="794">
      <x:c r="A794" s="2" t="str">
        <x:v>LiDS-1</x:v>
      </x:c>
      <x:c r="B794" s="4" t="str">
        <x:v>NaCl</x:v>
      </x:c>
      <x:c r="C794" s="23" t="n">
        <x:v>2.734589</x:v>
      </x:c>
      <x:c r="D794" s="23" t="n">
        <x:v>-11.01512</x:v>
      </x:c>
      <x:c r="E794" s="23" t="n">
        <x:f>'Parameters'!$B$2*'Parameters'!$B$3*LN(4*PI()*C794^2)</x:f>
        <x:v>11.261868437776549</x:v>
      </x:c>
      <x:c r="F794" s="23" t="n">
        <x:f>D794+E794</x:f>
        <x:v>0.24674843777654942</x:v>
      </x:c>
      <x:c r="G794" s="23" t="n">
        <x:f>AVERAGE($F$743:$F$767)</x:f>
        <x:v>-0.5858924514092341</x:v>
      </x:c>
      <x:c r="H794" s="24" t="n">
        <x:f>F794-G794</x:f>
        <x:v>0.8326408891857835</x:v>
      </x:c>
    </x:row>
    <x:row r="795">
      <x:c r="A795" s="2" t="str">
        <x:v>LiDS-1</x:v>
      </x:c>
      <x:c r="B795" s="4" t="str">
        <x:v>NaCl</x:v>
      </x:c>
      <x:c r="C795" s="23" t="n">
        <x:v>2.746804</x:v>
      </x:c>
      <x:c r="D795" s="23" t="n">
        <x:v>-10.97696</x:v>
      </x:c>
      <x:c r="E795" s="23" t="n">
        <x:f>'Parameters'!$B$2*'Parameters'!$B$3*LN(4*PI()*C795^2)</x:f>
        <x:v>11.283965383017152</x:v>
      </x:c>
      <x:c r="F795" s="23" t="n">
        <x:f>D795+E795</x:f>
        <x:v>0.3070053830171524</x:v>
      </x:c>
      <x:c r="G795" s="23" t="n">
        <x:f>AVERAGE($F$743:$F$767)</x:f>
        <x:v>-0.5858924514092341</x:v>
      </x:c>
      <x:c r="H795" s="24" t="n">
        <x:f>F795-G795</x:f>
        <x:v>0.8928978344263865</x:v>
      </x:c>
    </x:row>
    <x:row r="796">
      <x:c r="A796" s="2" t="str">
        <x:v>LiDS-1</x:v>
      </x:c>
      <x:c r="B796" s="4" t="str">
        <x:v>NaCl</x:v>
      </x:c>
      <x:c r="C796" s="23" t="n">
        <x:v>2.759019</x:v>
      </x:c>
      <x:c r="D796" s="23" t="n">
        <x:v>-11.34829</x:v>
      </x:c>
      <x:c r="E796" s="23" t="n">
        <x:f>'Parameters'!$B$2*'Parameters'!$B$3*LN(4*PI()*C796^2)</x:f>
        <x:v>11.305964281127011</x:v>
      </x:c>
      <x:c r="F796" s="23" t="n">
        <x:f>D796+E796</x:f>
        <x:v>-0.042325718872989526</x:v>
      </x:c>
      <x:c r="G796" s="23" t="n">
        <x:f>AVERAGE($F$743:$F$767)</x:f>
        <x:v>-0.5858924514092341</x:v>
      </x:c>
      <x:c r="H796" s="24" t="n">
        <x:f>F796-G796</x:f>
        <x:v>0.5435667325362445</x:v>
      </x:c>
    </x:row>
    <x:row r="797">
      <x:c r="A797" s="2" t="str">
        <x:v>LiDS-1</x:v>
      </x:c>
      <x:c r="B797" s="4" t="str">
        <x:v>NaCl</x:v>
      </x:c>
      <x:c r="C797" s="23" t="n">
        <x:v>2.771234</x:v>
      </x:c>
      <x:c r="D797" s="23" t="n">
        <x:v>-11.78231</x:v>
      </x:c>
      <x:c r="E797" s="23" t="n">
        <x:f>'Parameters'!$B$2*'Parameters'!$B$3*LN(4*PI()*C797^2)</x:f>
        <x:v>11.327865998360574</x:v>
      </x:c>
      <x:c r="F797" s="23" t="n">
        <x:f>D797+E797</x:f>
        <x:v>-0.4544440016394269</x:v>
      </x:c>
      <x:c r="G797" s="23" t="n">
        <x:f>AVERAGE($F$743:$F$767)</x:f>
        <x:v>-0.5858924514092341</x:v>
      </x:c>
      <x:c r="H797" s="24" t="n">
        <x:f>F797-G797</x:f>
        <x:v>0.13144844976980719</x:v>
      </x:c>
    </x:row>
    <x:row r="798">
      <x:c r="A798" s="2" t="str">
        <x:v>LiDS-1</x:v>
      </x:c>
      <x:c r="B798" s="4" t="str">
        <x:v>NaCl</x:v>
      </x:c>
      <x:c r="C798" s="23" t="n">
        <x:v>2.783449</x:v>
      </x:c>
      <x:c r="D798" s="23" t="n">
        <x:v>-10.91071</x:v>
      </x:c>
      <x:c r="E798" s="23" t="n">
        <x:f>'Parameters'!$B$2*'Parameters'!$B$3*LN(4*PI()*C798^2)</x:f>
        <x:v>11.349671389542626</x:v>
      </x:c>
      <x:c r="F798" s="23" t="n">
        <x:f>D798+E798</x:f>
        <x:v>0.43896138954262653</x:v>
      </x:c>
      <x:c r="G798" s="23" t="n">
        <x:f>AVERAGE($F$743:$F$767)</x:f>
        <x:v>-0.5858924514092341</x:v>
      </x:c>
      <x:c r="H798" s="24" t="n">
        <x:f>F798-G798</x:f>
        <x:v>1.0248538409518606</x:v>
      </x:c>
    </x:row>
    <x:row r="799">
      <x:c r="A799" s="2" t="str">
        <x:v>LiDS-1</x:v>
      </x:c>
      <x:c r="B799" s="4" t="str">
        <x:v>NaCl</x:v>
      </x:c>
      <x:c r="C799" s="23" t="n">
        <x:v>2.795664</x:v>
      </x:c>
      <x:c r="D799" s="23" t="n">
        <x:v>-11.41361</x:v>
      </x:c>
      <x:c r="E799" s="23" t="n">
        <x:f>'Parameters'!$B$2*'Parameters'!$B$3*LN(4*PI()*C799^2)</x:f>
        <x:v>11.371381298268473</x:v>
      </x:c>
      <x:c r="F799" s="23" t="n">
        <x:f>D799+E799</x:f>
        <x:v>-0.04222870173152771</x:v>
      </x:c>
      <x:c r="G799" s="23" t="n">
        <x:f>AVERAGE($F$743:$F$767)</x:f>
        <x:v>-0.5858924514092341</x:v>
      </x:c>
      <x:c r="H799" s="24" t="n">
        <x:f>F799-G799</x:f>
        <x:v>0.5436637496777064</x:v>
      </x:c>
    </x:row>
    <x:row r="800">
      <x:c r="A800" s="2" t="str">
        <x:v>LiDS-1</x:v>
      </x:c>
      <x:c r="B800" s="4" t="str">
        <x:v>NaCl</x:v>
      </x:c>
      <x:c r="C800" s="23" t="n">
        <x:v>2.807879</x:v>
      </x:c>
      <x:c r="D800" s="23" t="n">
        <x:v>-9.110793</x:v>
      </x:c>
      <x:c r="E800" s="23" t="n">
        <x:f>'Parameters'!$B$2*'Parameters'!$B$3*LN(4*PI()*C800^2)</x:f>
        <x:v>11.392996557099774</x:v>
      </x:c>
      <x:c r="F800" s="23" t="n">
        <x:f>D800+E800</x:f>
        <x:v>2.282203557099775</x:v>
      </x:c>
      <x:c r="G800" s="23" t="n">
        <x:f>AVERAGE($F$743:$F$767)</x:f>
        <x:v>-0.5858924514092341</x:v>
      </x:c>
      <x:c r="H800" s="24" t="n">
        <x:f>F800-G800</x:f>
        <x:v>2.868096008509009</x:v>
      </x:c>
    </x:row>
    <x:row r="801">
      <x:c r="A801" s="2" t="str">
        <x:v>LiDS-1</x:v>
      </x:c>
      <x:c r="B801" s="4" t="str">
        <x:v>NaCl</x:v>
      </x:c>
      <x:c r="C801" s="23" t="n">
        <x:v>2.820094</x:v>
      </x:c>
      <x:c r="D801" s="23" t="n">
        <x:v>-10.50253</x:v>
      </x:c>
      <x:c r="E801" s="23" t="n">
        <x:f>'Parameters'!$B$2*'Parameters'!$B$3*LN(4*PI()*C801^2)</x:f>
        <x:v>11.414517987756133</x:v>
      </x:c>
      <x:c r="F801" s="23" t="n">
        <x:f>D801+E801</x:f>
        <x:v>0.9119879877561328</x:v>
      </x:c>
      <x:c r="G801" s="23" t="n">
        <x:f>AVERAGE($F$743:$F$767)</x:f>
        <x:v>-0.5858924514092341</x:v>
      </x:c>
      <x:c r="H801" s="24" t="n">
        <x:f>F801-G801</x:f>
        <x:v>1.4978804391653668</x:v>
      </x:c>
    </x:row>
    <x:row r="802">
      <x:c r="A802" s="2" t="str">
        <x:v>LiD3-Core</x:v>
      </x:c>
      <x:c r="B802" s="4" t="str">
        <x:v>LiCl</x:v>
      </x:c>
      <x:c r="C802" s="23" t="n">
        <x:v>0.2941391</x:v>
      </x:c>
      <x:c r="D802" s="23" t="n">
        <x:v>0</x:v>
      </x:c>
      <x:c r="E802" s="23" t="n">
        <x:f>'Parameters'!$B$2*'Parameters'!$B$3*LN(4*PI()*C802^2)</x:f>
        <x:v>0.20728854843339783</x:v>
      </x:c>
      <x:c r="F802" s="23" t="n">
        <x:f>D802+E802</x:f>
        <x:v>0.20728854843339783</x:v>
      </x:c>
      <x:c r="G802" s="23" t="n">
        <x:f>AVERAGE($F$944:$F$967)</x:f>
        <x:v>-2.7458230778907833</x:v>
      </x:c>
      <x:c r="H802" s="24" t="n">
        <x:f>F802-G802</x:f>
        <x:v>2.9531116263241812</x:v>
      </x:c>
    </x:row>
    <x:row r="803">
      <x:c r="A803" s="2" t="str">
        <x:v>LiD3-Core</x:v>
      </x:c>
      <x:c r="B803" s="4" t="str">
        <x:v>LiCl</x:v>
      </x:c>
      <x:c r="C803" s="23" t="n">
        <x:v>0.3065034</x:v>
      </x:c>
      <x:c r="D803" s="23" t="n">
        <x:v>-2.054727</x:v>
      </x:c>
      <x:c r="E803" s="23" t="n">
        <x:f>'Parameters'!$B$2*'Parameters'!$B$3*LN(4*PI()*C803^2)</x:f>
        <x:v>0.41143593305868903</x:v>
      </x:c>
      <x:c r="F803" s="23" t="n">
        <x:f>D803+E803</x:f>
        <x:v>-1.6432910669413112</x:v>
      </x:c>
      <x:c r="G803" s="23" t="n">
        <x:f>AVERAGE($F$944:$F$967)</x:f>
        <x:v>-2.7458230778907833</x:v>
      </x:c>
      <x:c r="H803" s="24" t="n">
        <x:f>F803-G803</x:f>
        <x:v>1.102532010949472</x:v>
      </x:c>
    </x:row>
    <x:row r="804">
      <x:c r="A804" s="2" t="str">
        <x:v>LiD3-Core</x:v>
      </x:c>
      <x:c r="B804" s="4" t="str">
        <x:v>LiCl</x:v>
      </x:c>
      <x:c r="C804" s="23" t="n">
        <x:v>0.3188677</x:v>
      </x:c>
      <x:c r="D804" s="23" t="n">
        <x:v>-4.682182</x:v>
      </x:c>
      <x:c r="E804" s="23" t="n">
        <x:f>'Parameters'!$B$2*'Parameters'!$B$3*LN(4*PI()*C804^2)</x:f>
        <x:v>0.6075087166378101</x:v>
      </x:c>
      <x:c r="F804" s="23" t="n">
        <x:f>D804+E804</x:f>
        <x:v>-4.0746732833621895</x:v>
      </x:c>
      <x:c r="G804" s="23" t="n">
        <x:f>AVERAGE($F$944:$F$967)</x:f>
        <x:v>-2.7458230778907833</x:v>
      </x:c>
      <x:c r="H804" s="24" t="n">
        <x:f>F804-G804</x:f>
        <x:v>-1.3288502054714062</x:v>
      </x:c>
    </x:row>
    <x:row r="805">
      <x:c r="A805" s="2" t="str">
        <x:v>LiD3-Core</x:v>
      </x:c>
      <x:c r="B805" s="4" t="str">
        <x:v>LiCl</x:v>
      </x:c>
      <x:c r="C805" s="23" t="n">
        <x:v>0.3312319</x:v>
      </x:c>
      <x:c r="D805" s="23" t="n">
        <x:v>-6.810443</x:v>
      </x:c>
      <x:c r="E805" s="23" t="n">
        <x:f>'Parameters'!$B$2*'Parameters'!$B$3*LN(4*PI()*C805^2)</x:f>
        <x:v>0.7961199197004628</x:v>
      </x:c>
      <x:c r="F805" s="23" t="n">
        <x:f>D805+E805</x:f>
        <x:v>-6.014323080299538</x:v>
      </x:c>
      <x:c r="G805" s="23" t="n">
        <x:f>AVERAGE($F$944:$F$967)</x:f>
        <x:v>-2.7458230778907833</x:v>
      </x:c>
      <x:c r="H805" s="24" t="n">
        <x:f>F805-G805</x:f>
        <x:v>-3.2685000024087545</x:v>
      </x:c>
    </x:row>
    <x:row r="806">
      <x:c r="A806" s="2" t="str">
        <x:v>LiD3-Core</x:v>
      </x:c>
      <x:c r="B806" s="4" t="str">
        <x:v>LiCl</x:v>
      </x:c>
      <x:c r="C806" s="23" t="n">
        <x:v>0.3435962</x:v>
      </x:c>
      <x:c r="D806" s="23" t="n">
        <x:v>-7.710634</x:v>
      </x:c>
      <x:c r="E806" s="23" t="n">
        <x:f>'Parameters'!$B$2*'Parameters'!$B$3*LN(4*PI()*C806^2)</x:f>
        <x:v>0.9778195193576288</x:v>
      </x:c>
      <x:c r="F806" s="23" t="n">
        <x:f>D806+E806</x:f>
        <x:v>-6.732814480642371</x:v>
      </x:c>
      <x:c r="G806" s="23" t="n">
        <x:f>AVERAGE($F$944:$F$967)</x:f>
        <x:v>-2.7458230778907833</x:v>
      </x:c>
      <x:c r="H806" s="24" t="n">
        <x:f>F806-G806</x:f>
        <x:v>-3.9869914027515874</x:v>
      </x:c>
    </x:row>
    <x:row r="807">
      <x:c r="A807" s="2" t="str">
        <x:v>LiD3-Core</x:v>
      </x:c>
      <x:c r="B807" s="4" t="str">
        <x:v>LiCl</x:v>
      </x:c>
      <x:c r="C807" s="23" t="n">
        <x:v>0.3559605</x:v>
      </x:c>
      <x:c r="D807" s="23" t="n">
        <x:v>-7.743822</x:v>
      </x:c>
      <x:c r="E807" s="23" t="n">
        <x:f>'Parameters'!$B$2*'Parameters'!$B$3*LN(4*PI()*C807^2)</x:f>
        <x:v>1.153094865098807</x:v>
      </x:c>
      <x:c r="F807" s="23" t="n">
        <x:f>D807+E807</x:f>
        <x:v>-6.590727134901193</x:v>
      </x:c>
      <x:c r="G807" s="23" t="n">
        <x:f>AVERAGE($F$944:$F$967)</x:f>
        <x:v>-2.7458230778907833</x:v>
      </x:c>
      <x:c r="H807" s="24" t="n">
        <x:f>F807-G807</x:f>
        <x:v>-3.8449040570104094</x:v>
      </x:c>
    </x:row>
    <x:row r="808">
      <x:c r="A808" s="2" t="str">
        <x:v>LiD3-Core</x:v>
      </x:c>
      <x:c r="B808" s="4" t="str">
        <x:v>LiCl</x:v>
      </x:c>
      <x:c r="C808" s="23" t="n">
        <x:v>0.3683248</x:v>
      </x:c>
      <x:c r="D808" s="23" t="n">
        <x:v>-7.682148</x:v>
      </x:c>
      <x:c r="E808" s="23" t="n">
        <x:f>'Parameters'!$B$2*'Parameters'!$B$3*LN(4*PI()*C808^2)</x:f>
        <x:v>1.3223847640963018</x:v>
      </x:c>
      <x:c r="F808" s="23" t="n">
        <x:f>D808+E808</x:f>
        <x:v>-6.3597632359036975</x:v>
      </x:c>
      <x:c r="G808" s="23" t="n">
        <x:f>AVERAGE($F$944:$F$967)</x:f>
        <x:v>-2.7458230778907833</x:v>
      </x:c>
      <x:c r="H808" s="24" t="n">
        <x:f>F808-G808</x:f>
        <x:v>-3.6139401580129142</x:v>
      </x:c>
    </x:row>
    <x:row r="809">
      <x:c r="A809" s="2" t="str">
        <x:v>LiD3-Core</x:v>
      </x:c>
      <x:c r="B809" s="4" t="str">
        <x:v>LiCl</x:v>
      </x:c>
      <x:c r="C809" s="23" t="n">
        <x:v>0.380689</x:v>
      </x:c>
      <x:c r="D809" s="23" t="n">
        <x:v>-7.632357</x:v>
      </x:c>
      <x:c r="E809" s="23" t="n">
        <x:f>'Parameters'!$B$2*'Parameters'!$B$3*LN(4*PI()*C809^2)</x:f>
        <x:v>1.4860832430350968</x:v>
      </x:c>
      <x:c r="F809" s="23" t="n">
        <x:f>D809+E809</x:f>
        <x:v>-6.146273756964903</x:v>
      </x:c>
      <x:c r="G809" s="23" t="n">
        <x:f>AVERAGE($F$944:$F$967)</x:f>
        <x:v>-2.7458230778907833</x:v>
      </x:c>
      <x:c r="H809" s="24" t="n">
        <x:f>F809-G809</x:f>
        <x:v>-3.40045067907412</x:v>
      </x:c>
    </x:row>
    <x:row r="810">
      <x:c r="A810" s="2" t="str">
        <x:v>LiD3-Core</x:v>
      </x:c>
      <x:c r="B810" s="4" t="str">
        <x:v>LiCl</x:v>
      </x:c>
      <x:c r="C810" s="23" t="n">
        <x:v>0.3930533</x:v>
      </x:c>
      <x:c r="D810" s="23" t="n">
        <x:v>-8.543155</x:v>
      </x:c>
      <x:c r="E810" s="23" t="n">
        <x:f>'Parameters'!$B$2*'Parameters'!$B$3*LN(4*PI()*C810^2)</x:f>
        <x:v>1.6445503592227673</x:v>
      </x:c>
      <x:c r="F810" s="23" t="n">
        <x:f>D810+E810</x:f>
        <x:v>-6.898604640777233</x:v>
      </x:c>
      <x:c r="G810" s="23" t="n">
        <x:f>AVERAGE($F$944:$F$967)</x:f>
        <x:v>-2.7458230778907833</x:v>
      </x:c>
      <x:c r="H810" s="24" t="n">
        <x:f>F810-G810</x:f>
        <x:v>-4.1527815628864495</x:v>
      </x:c>
    </x:row>
    <x:row r="811">
      <x:c r="A811" s="2" t="str">
        <x:v>LiD3-Core</x:v>
      </x:c>
      <x:c r="B811" s="4" t="str">
        <x:v>LiCl</x:v>
      </x:c>
      <x:c r="C811" s="23" t="n">
        <x:v>0.4054176</x:v>
      </x:c>
      <x:c r="D811" s="23" t="n">
        <x:v>-9.497107</x:v>
      </x:c>
      <x:c r="E811" s="23" t="n">
        <x:f>'Parameters'!$B$2*'Parameters'!$B$3*LN(4*PI()*C811^2)</x:f>
        <x:v>1.798108960274388</x:v>
      </x:c>
      <x:c r="F811" s="23" t="n">
        <x:f>D811+E811</x:f>
        <x:v>-7.698998039725612</x:v>
      </x:c>
      <x:c r="G811" s="23" t="n">
        <x:f>AVERAGE($F$944:$F$967)</x:f>
        <x:v>-2.7458230778907833</x:v>
      </x:c>
      <x:c r="H811" s="24" t="n">
        <x:f>F811-G811</x:f>
        <x:v>-4.953174961834828</x:v>
      </x:c>
    </x:row>
    <x:row r="812">
      <x:c r="A812" s="2" t="str">
        <x:v>LiD3-Core</x:v>
      </x:c>
      <x:c r="B812" s="4" t="str">
        <x:v>LiCl</x:v>
      </x:c>
      <x:c r="C812" s="23" t="n">
        <x:v>0.4177819</x:v>
      </x:c>
      <x:c r="D812" s="23" t="n">
        <x:v>-10.86026</x:v>
      </x:c>
      <x:c r="E812" s="23" t="n">
        <x:f>'Parameters'!$B$2*'Parameters'!$B$3*LN(4*PI()*C812^2)</x:f>
        <x:v>1.9470540146949964</x:v>
      </x:c>
      <x:c r="F812" s="23" t="n">
        <x:f>D812+E812</x:f>
        <x:v>-8.913205985305003</x:v>
      </x:c>
      <x:c r="G812" s="23" t="n">
        <x:f>AVERAGE($F$944:$F$967)</x:f>
        <x:v>-2.7458230778907833</x:v>
      </x:c>
      <x:c r="H812" s="24" t="n">
        <x:f>F812-G812</x:f>
        <x:v>-6.16738290741422</x:v>
      </x:c>
    </x:row>
    <x:row r="813">
      <x:c r="A813" s="2" t="str">
        <x:v>LiD3-Core</x:v>
      </x:c>
      <x:c r="B813" s="4" t="str">
        <x:v>LiCl</x:v>
      </x:c>
      <x:c r="C813" s="23" t="n">
        <x:v>0.4301462</x:v>
      </x:c>
      <x:c r="D813" s="23" t="n">
        <x:v>-12.19607</x:v>
      </x:c>
      <x:c r="E813" s="23" t="n">
        <x:f>'Parameters'!$B$2*'Parameters'!$B$3*LN(4*PI()*C813^2)</x:f>
        <x:v>2.091654676334962</x:v>
      </x:c>
      <x:c r="F813" s="23" t="n">
        <x:f>D813+E813</x:f>
        <x:v>-10.10441532366504</x:v>
      </x:c>
      <x:c r="G813" s="23" t="n">
        <x:f>AVERAGE($F$944:$F$967)</x:f>
        <x:v>-2.7458230778907833</x:v>
      </x:c>
      <x:c r="H813" s="24" t="n">
        <x:f>F813-G813</x:f>
        <x:v>-7.358592245774256</x:v>
      </x:c>
    </x:row>
    <x:row r="814">
      <x:c r="A814" s="2" t="str">
        <x:v>LiD3-Core</x:v>
      </x:c>
      <x:c r="B814" s="4" t="str">
        <x:v>LiCl</x:v>
      </x:c>
      <x:c r="C814" s="23" t="n">
        <x:v>0.4425104</x:v>
      </x:c>
      <x:c r="D814" s="23" t="n">
        <x:v>-13.79624</x:v>
      </x:c>
      <x:c r="E814" s="23" t="n">
        <x:f>'Parameters'!$B$2*'Parameters'!$B$3*LN(4*PI()*C814^2)</x:f>
        <x:v>2.2321560910782905</x:v>
      </x:c>
      <x:c r="F814" s="23" t="n">
        <x:f>D814+E814</x:f>
        <x:v>-11.56408390892171</x:v>
      </x:c>
      <x:c r="G814" s="23" t="n">
        <x:f>AVERAGE($F$944:$F$967)</x:f>
        <x:v>-2.7458230778907833</x:v>
      </x:c>
      <x:c r="H814" s="24" t="n">
        <x:f>F814-G814</x:f>
        <x:v>-8.818260831030926</x:v>
      </x:c>
    </x:row>
    <x:row r="815">
      <x:c r="A815" s="2" t="str">
        <x:v>LiD3-Core</x:v>
      </x:c>
      <x:c r="B815" s="4" t="str">
        <x:v>LiCl</x:v>
      </x:c>
      <x:c r="C815" s="23" t="n">
        <x:v>0.4548747</x:v>
      </x:c>
      <x:c r="D815" s="23" t="n">
        <x:v>-14.64305</x:v>
      </x:c>
      <x:c r="E815" s="23" t="n">
        <x:f>'Parameters'!$B$2*'Parameters'!$B$3*LN(4*PI()*C815^2)</x:f>
        <x:v>2.3687864325519756</x:v>
      </x:c>
      <x:c r="F815" s="23" t="n">
        <x:f>D815+E815</x:f>
        <x:v>-12.274263567448024</x:v>
      </x:c>
      <x:c r="G815" s="23" t="n">
        <x:f>AVERAGE($F$944:$F$967)</x:f>
        <x:v>-2.7458230778907833</x:v>
      </x:c>
      <x:c r="H815" s="24" t="n">
        <x:f>F815-G815</x:f>
        <x:v>-9.52844048955724</x:v>
      </x:c>
    </x:row>
    <x:row r="816">
      <x:c r="A816" s="2" t="str">
        <x:v>LiD3-Core</x:v>
      </x:c>
      <x:c r="B816" s="4" t="str">
        <x:v>LiCl</x:v>
      </x:c>
      <x:c r="C816" s="23" t="n">
        <x:v>0.467239</x:v>
      </x:c>
      <x:c r="D816" s="23" t="n">
        <x:v>-14.52513</x:v>
      </x:c>
      <x:c r="E816" s="23" t="n">
        <x:f>'Parameters'!$B$2*'Parameters'!$B$3*LN(4*PI()*C816^2)</x:f>
        <x:v>2.5017522718286678</x:v>
      </x:c>
      <x:c r="F816" s="23" t="n">
        <x:f>D816+E816</x:f>
        <x:v>-12.023377728171333</x:v>
      </x:c>
      <x:c r="G816" s="23" t="n">
        <x:f>AVERAGE($F$944:$F$967)</x:f>
        <x:v>-2.7458230778907833</x:v>
      </x:c>
      <x:c r="H816" s="24" t="n">
        <x:f>F816-G816</x:f>
        <x:v>-9.27755465028055</x:v>
      </x:c>
    </x:row>
    <x:row r="817">
      <x:c r="A817" s="2" t="str">
        <x:v>LiD3-Core</x:v>
      </x:c>
      <x:c r="B817" s="4" t="str">
        <x:v>LiCl</x:v>
      </x:c>
      <x:c r="C817" s="23" t="n">
        <x:v>0.4796033</x:v>
      </x:c>
      <x:c r="D817" s="23" t="n">
        <x:v>-13.14742</x:v>
      </x:c>
      <x:c r="E817" s="23" t="n">
        <x:f>'Parameters'!$B$2*'Parameters'!$B$3*LN(4*PI()*C817^2)</x:f>
        <x:v>2.6312450534314955</x:v>
      </x:c>
      <x:c r="F817" s="23" t="n">
        <x:f>D817+E817</x:f>
        <x:v>-10.516174946568505</x:v>
      </x:c>
      <x:c r="G817" s="23" t="n">
        <x:f>AVERAGE($F$944:$F$967)</x:f>
        <x:v>-2.7458230778907833</x:v>
      </x:c>
      <x:c r="H817" s="24" t="n">
        <x:f>F817-G817</x:f>
        <x:v>-7.7703518686777215</x:v>
      </x:c>
    </x:row>
    <x:row r="818">
      <x:c r="A818" s="2" t="str">
        <x:v>LiD3-Core</x:v>
      </x:c>
      <x:c r="B818" s="4" t="str">
        <x:v>LiCl</x:v>
      </x:c>
      <x:c r="C818" s="23" t="n">
        <x:v>0.4919675</x:v>
      </x:c>
      <x:c r="D818" s="23" t="n">
        <x:v>-11.17983</x:v>
      </x:c>
      <x:c r="E818" s="23" t="n">
        <x:f>'Parameters'!$B$2*'Parameters'!$B$3*LN(4*PI()*C818^2)</x:f>
        <x:v>2.7574405927827947</x:v>
      </x:c>
      <x:c r="F818" s="23" t="n">
        <x:f>D818+E818</x:f>
        <x:v>-8.422389407217207</x:v>
      </x:c>
      <x:c r="G818" s="23" t="n">
        <x:f>AVERAGE($F$944:$F$967)</x:f>
        <x:v>-2.7458230778907833</x:v>
      </x:c>
      <x:c r="H818" s="24" t="n">
        <x:f>F818-G818</x:f>
        <x:v>-5.676566329326423</x:v>
      </x:c>
    </x:row>
    <x:row r="819">
      <x:c r="A819" s="2" t="str">
        <x:v>LiD3-Core</x:v>
      </x:c>
      <x:c r="B819" s="4" t="str">
        <x:v>LiCl</x:v>
      </x:c>
      <x:c r="C819" s="23" t="n">
        <x:v>0.5043318</x:v>
      </x:c>
      <x:c r="D819" s="23" t="n">
        <x:v>-8.802596</x:v>
      </x:c>
      <x:c r="E819" s="23" t="n">
        <x:f>'Parameters'!$B$2*'Parameters'!$B$3*LN(4*PI()*C819^2)</x:f>
        <x:v>2.8805045840255104</x:v>
      </x:c>
      <x:c r="F819" s="23" t="n">
        <x:f>D819+E819</x:f>
        <x:v>-5.922091415974489</x:v>
      </x:c>
      <x:c r="G819" s="23" t="n">
        <x:f>AVERAGE($F$944:$F$967)</x:f>
        <x:v>-2.7458230778907833</x:v>
      </x:c>
      <x:c r="H819" s="24" t="n">
        <x:f>F819-G819</x:f>
        <x:v>-3.1762683380837053</x:v>
      </x:c>
    </x:row>
    <x:row r="820">
      <x:c r="A820" s="2" t="str">
        <x:v>LiD3-Core</x:v>
      </x:c>
      <x:c r="B820" s="4" t="str">
        <x:v>LiCl</x:v>
      </x:c>
      <x:c r="C820" s="23" t="n">
        <x:v>0.5166961</x:v>
      </x:c>
      <x:c r="D820" s="23" t="n">
        <x:v>-6.093673</x:v>
      </x:c>
      <x:c r="E820" s="23" t="n">
        <x:f>'Parameters'!$B$2*'Parameters'!$B$3*LN(4*PI()*C820^2)</x:f>
        <x:v>3.000587754219201</x:v>
      </x:c>
      <x:c r="F820" s="23" t="n">
        <x:f>D820+E820</x:f>
        <x:v>-3.0930852457807987</x:v>
      </x:c>
      <x:c r="G820" s="23" t="n">
        <x:f>AVERAGE($F$944:$F$967)</x:f>
        <x:v>-2.7458230778907833</x:v>
      </x:c>
      <x:c r="H820" s="24" t="n">
        <x:f>F820-G820</x:f>
        <x:v>-0.3472621678900154</x:v>
      </x:c>
    </x:row>
    <x:row r="821">
      <x:c r="A821" s="2" t="str">
        <x:v>LiD3-Core</x:v>
      </x:c>
      <x:c r="B821" s="4" t="str">
        <x:v>LiCl</x:v>
      </x:c>
      <x:c r="C821" s="23" t="n">
        <x:v>0.5290604</x:v>
      </x:c>
      <x:c r="D821" s="23" t="n">
        <x:v>-4.457454</x:v>
      </x:c>
      <x:c r="E821" s="23" t="n">
        <x:f>'Parameters'!$B$2*'Parameters'!$B$3*LN(4*PI()*C821^2)</x:f>
        <x:v>3.1178310962064137</x:v>
      </x:c>
      <x:c r="F821" s="23" t="n">
        <x:f>D821+E821</x:f>
        <x:v>-1.3396229037935865</x:v>
      </x:c>
      <x:c r="G821" s="23" t="n">
        <x:f>AVERAGE($F$944:$F$967)</x:f>
        <x:v>-2.7458230778907833</x:v>
      </x:c>
      <x:c r="H821" s="24" t="n">
        <x:f>F821-G821</x:f>
        <x:v>1.4062001740971968</x:v>
      </x:c>
    </x:row>
    <x:row r="822">
      <x:c r="A822" s="2" t="str">
        <x:v>LiD3-Core</x:v>
      </x:c>
      <x:c r="B822" s="4" t="str">
        <x:v>LiCl</x:v>
      </x:c>
      <x:c r="C822" s="23" t="n">
        <x:v>0.5414246</x:v>
      </x:c>
      <x:c r="D822" s="23" t="n">
        <x:v>-3.457799</x:v>
      </x:c>
      <x:c r="E822" s="23" t="n">
        <x:f>'Parameters'!$B$2*'Parameters'!$B$3*LN(4*PI()*C822^2)</x:f>
        <x:v>3.232364914351661</x:v>
      </x:c>
      <x:c r="F822" s="23" t="n">
        <x:f>D822+E822</x:f>
        <x:v>-0.225434085648339</x:v>
      </x:c>
      <x:c r="G822" s="23" t="n">
        <x:f>AVERAGE($F$944:$F$967)</x:f>
        <x:v>-2.7458230778907833</x:v>
      </x:c>
      <x:c r="H822" s="24" t="n">
        <x:f>F822-G822</x:f>
        <x:v>2.5203889922424443</x:v>
      </x:c>
    </x:row>
    <x:row r="823">
      <x:c r="A823" s="2" t="str">
        <x:v>LiD3-Core</x:v>
      </x:c>
      <x:c r="B823" s="4" t="str">
        <x:v>LiCl</x:v>
      </x:c>
      <x:c r="C823" s="23" t="n">
        <x:v>0.5537889</x:v>
      </x:c>
      <x:c r="D823" s="23" t="n">
        <x:v>-4.493653</x:v>
      </x:c>
      <x:c r="E823" s="23" t="n">
        <x:f>'Parameters'!$B$2*'Parameters'!$B$3*LN(4*PI()*C823^2)</x:f>
        <x:v>3.3443133906769167</x:v>
      </x:c>
      <x:c r="F823" s="23" t="n">
        <x:f>D823+E823</x:f>
        <x:v>-1.1493396093230834</x:v>
      </x:c>
      <x:c r="G823" s="23" t="n">
        <x:f>AVERAGE($F$944:$F$967)</x:f>
        <x:v>-2.7458230778907833</x:v>
      </x:c>
      <x:c r="H823" s="24" t="n">
        <x:f>F823-G823</x:f>
        <x:v>1.5964834685676998</x:v>
      </x:c>
    </x:row>
    <x:row r="824">
      <x:c r="A824" s="2" t="str">
        <x:v>LiD3-Core</x:v>
      </x:c>
      <x:c r="B824" s="4" t="str">
        <x:v>LiCl</x:v>
      </x:c>
      <x:c r="C824" s="23" t="n">
        <x:v>0.5661532</x:v>
      </x:c>
      <x:c r="D824" s="23" t="n">
        <x:v>-4.999336</x:v>
      </x:c>
      <x:c r="E824" s="23" t="n">
        <x:f>'Parameters'!$B$2*'Parameters'!$B$3*LN(4*PI()*C824^2)</x:f>
        <x:v>3.453789813670581</x:v>
      </x:c>
      <x:c r="F824" s="23" t="n">
        <x:f>D824+E824</x:f>
        <x:v>-1.5455461863294184</x:v>
      </x:c>
      <x:c r="G824" s="23" t="n">
        <x:f>AVERAGE($F$944:$F$967)</x:f>
        <x:v>-2.7458230778907833</x:v>
      </x:c>
      <x:c r="H824" s="24" t="n">
        <x:f>F824-G824</x:f>
        <x:v>1.2002768915613649</x:v>
      </x:c>
    </x:row>
    <x:row r="825">
      <x:c r="A825" s="2" t="str">
        <x:v>LiD3-Core</x:v>
      </x:c>
      <x:c r="B825" s="4" t="str">
        <x:v>LiCl</x:v>
      </x:c>
      <x:c r="C825" s="23" t="n">
        <x:v>0.5785175</x:v>
      </x:c>
      <x:c r="D825" s="23" t="n">
        <x:v>-5.422261</x:v>
      </x:c>
      <x:c r="E825" s="23" t="n">
        <x:f>'Parameters'!$B$2*'Parameters'!$B$3*LN(4*PI()*C825^2)</x:f>
        <x:v>3.5609010048161345</x:v>
      </x:c>
      <x:c r="F825" s="23" t="n">
        <x:f>D825+E825</x:f>
        <x:v>-1.8613599951838653</x:v>
      </x:c>
      <x:c r="G825" s="23" t="n">
        <x:f>AVERAGE($F$944:$F$967)</x:f>
        <x:v>-2.7458230778907833</x:v>
      </x:c>
      <x:c r="H825" s="24" t="n">
        <x:f>F825-G825</x:f>
        <x:v>0.884463082706918</x:v>
      </x:c>
    </x:row>
    <x:row r="826">
      <x:c r="A826" s="2" t="str">
        <x:v>LiD3-Core</x:v>
      </x:c>
      <x:c r="B826" s="4" t="str">
        <x:v>LiCl</x:v>
      </x:c>
      <x:c r="C826" s="23" t="n">
        <x:v>0.5908817</x:v>
      </x:c>
      <x:c r="D826" s="23" t="n">
        <x:v>-5.661263</x:v>
      </x:c>
      <x:c r="E826" s="23" t="n">
        <x:f>'Parameters'!$B$2*'Parameters'!$B$3*LN(4*PI()*C826^2)</x:f>
        <x:v>3.6657461688092146</x:v>
      </x:c>
      <x:c r="F826" s="23" t="n">
        <x:f>D826+E826</x:f>
        <x:v>-1.9955168311907854</x:v>
      </x:c>
      <x:c r="G826" s="23" t="n">
        <x:f>AVERAGE($F$944:$F$967)</x:f>
        <x:v>-2.7458230778907833</x:v>
      </x:c>
      <x:c r="H826" s="24" t="n">
        <x:f>F826-G826</x:f>
        <x:v>0.7503062466999979</x:v>
      </x:c>
    </x:row>
    <x:row r="827">
      <x:c r="A827" s="2" t="str">
        <x:v>LiD3-Core</x:v>
      </x:c>
      <x:c r="B827" s="4" t="str">
        <x:v>LiCl</x:v>
      </x:c>
      <x:c r="C827" s="23" t="n">
        <x:v>0.603246</x:v>
      </x:c>
      <x:c r="D827" s="23" t="n">
        <x:v>-5.901541</x:v>
      </x:c>
      <x:c r="E827" s="23" t="n">
        <x:f>'Parameters'!$B$2*'Parameters'!$B$3*LN(4*PI()*C827^2)</x:f>
        <x:v>3.768420828567429</x:v>
      </x:c>
      <x:c r="F827" s="23" t="n">
        <x:f>D827+E827</x:f>
        <x:v>-2.1331201714325707</x:v>
      </x:c>
      <x:c r="G827" s="23" t="n">
        <x:f>AVERAGE($F$944:$F$967)</x:f>
        <x:v>-2.7458230778907833</x:v>
      </x:c>
      <x:c r="H827" s="24" t="n">
        <x:f>F827-G827</x:f>
        <x:v>0.6127029064582126</x:v>
      </x:c>
    </x:row>
    <x:row r="828">
      <x:c r="A828" s="2" t="str">
        <x:v>LiD3-Core</x:v>
      </x:c>
      <x:c r="B828" s="4" t="str">
        <x:v>LiCl</x:v>
      </x:c>
      <x:c r="C828" s="23" t="n">
        <x:v>0.6156103</x:v>
      </x:c>
      <x:c r="D828" s="23" t="n">
        <x:v>-6.325719</x:v>
      </x:c>
      <x:c r="E828" s="23" t="n">
        <x:f>'Parameters'!$B$2*'Parameters'!$B$3*LN(4*PI()*C828^2)</x:f>
        <x:v>3.8690122430787177</x:v>
      </x:c>
      <x:c r="F828" s="23" t="n">
        <x:f>D828+E828</x:f>
        <x:v>-2.4567067569212826</x:v>
      </x:c>
      <x:c r="G828" s="23" t="n">
        <x:f>AVERAGE($F$944:$F$967)</x:f>
        <x:v>-2.7458230778907833</x:v>
      </x:c>
      <x:c r="H828" s="24" t="n">
        <x:f>F828-G828</x:f>
        <x:v>0.2891163209695007</x:v>
      </x:c>
    </x:row>
    <x:row r="829">
      <x:c r="A829" s="2" t="str">
        <x:v>LiD3-Core</x:v>
      </x:c>
      <x:c r="B829" s="4" t="str">
        <x:v>LiCl</x:v>
      </x:c>
      <x:c r="C829" s="23" t="n">
        <x:v>0.6279746</x:v>
      </x:c>
      <x:c r="D829" s="23" t="n">
        <x:v>-6.487645</x:v>
      </x:c>
      <x:c r="E829" s="23" t="n">
        <x:f>'Parameters'!$B$2*'Parameters'!$B$3*LN(4*PI()*C829^2)</x:f>
        <x:v>3.9676032710785742</x:v>
      </x:c>
      <x:c r="F829" s="23" t="n">
        <x:f>D829+E829</x:f>
        <x:v>-2.5200417289214254</x:v>
      </x:c>
      <x:c r="G829" s="23" t="n">
        <x:f>AVERAGE($F$944:$F$967)</x:f>
        <x:v>-2.7458230778907833</x:v>
      </x:c>
      <x:c r="H829" s="24" t="n">
        <x:f>F829-G829</x:f>
        <x:v>0.22578134896935786</x:v>
      </x:c>
    </x:row>
    <x:row r="830">
      <x:c r="A830" s="2" t="str">
        <x:v>LiD3-Core</x:v>
      </x:c>
      <x:c r="B830" s="4" t="str">
        <x:v>LiCl</x:v>
      </x:c>
      <x:c r="C830" s="23" t="n">
        <x:v>0.6403388</x:v>
      </x:c>
      <x:c r="D830" s="23" t="n">
        <x:v>-6.707834</x:v>
      </x:c>
      <x:c r="E830" s="23" t="n">
        <x:f>'Parameters'!$B$2*'Parameters'!$B$3*LN(4*PI()*C830^2)</x:f>
        <x:v>4.064271149857884</x:v>
      </x:c>
      <x:c r="F830" s="23" t="n">
        <x:f>D830+E830</x:f>
        <x:v>-2.643562850142116</x:v>
      </x:c>
      <x:c r="G830" s="23" t="n">
        <x:f>AVERAGE($F$944:$F$967)</x:f>
        <x:v>-2.7458230778907833</x:v>
      </x:c>
      <x:c r="H830" s="24" t="n">
        <x:f>F830-G830</x:f>
        <x:v>0.10226022774866728</x:v>
      </x:c>
    </x:row>
    <x:row r="831">
      <x:c r="A831" s="2" t="str">
        <x:v>LiD3-Core</x:v>
      </x:c>
      <x:c r="B831" s="4" t="str">
        <x:v>LiCl</x:v>
      </x:c>
      <x:c r="C831" s="23" t="n">
        <x:v>0.6527031</x:v>
      </x:c>
      <x:c r="D831" s="23" t="n">
        <x:v>-6.806013</x:v>
      </x:c>
      <x:c r="E831" s="23" t="n">
        <x:f>'Parameters'!$B$2*'Parameters'!$B$3*LN(4*PI()*C831^2)</x:f>
        <x:v>4.159090977842188</x:v>
      </x:c>
      <x:c r="F831" s="23" t="n">
        <x:f>D831+E831</x:f>
        <x:v>-2.6469220221578125</x:v>
      </x:c>
      <x:c r="G831" s="23" t="n">
        <x:f>AVERAGE($F$944:$F$967)</x:f>
        <x:v>-2.7458230778907833</x:v>
      </x:c>
      <x:c r="H831" s="24" t="n">
        <x:f>F831-G831</x:f>
        <x:v>0.09890105573297081</x:v>
      </x:c>
    </x:row>
    <x:row r="832">
      <x:c r="A832" s="2" t="str">
        <x:v>LiD3-Core</x:v>
      </x:c>
      <x:c r="B832" s="4" t="str">
        <x:v>LiCl</x:v>
      </x:c>
      <x:c r="C832" s="23" t="n">
        <x:v>0.6650674</x:v>
      </x:c>
      <x:c r="D832" s="23" t="n">
        <x:v>-6.672162</x:v>
      </x:c>
      <x:c r="E832" s="23" t="n">
        <x:f>'Parameters'!$B$2*'Parameters'!$B$3*LN(4*PI()*C832^2)</x:f>
        <x:v>4.252131360513143</x:v>
      </x:c>
      <x:c r="F832" s="23" t="n">
        <x:f>D832+E832</x:f>
        <x:v>-2.420030639486857</x:v>
      </x:c>
      <x:c r="G832" s="23" t="n">
        <x:f>AVERAGE($F$944:$F$967)</x:f>
        <x:v>-2.7458230778907833</x:v>
      </x:c>
      <x:c r="H832" s="24" t="n">
        <x:f>F832-G832</x:f>
        <x:v>0.32579243840392635</x:v>
      </x:c>
    </x:row>
    <x:row r="833">
      <x:c r="A833" s="2" t="str">
        <x:v>LiD3-Core</x:v>
      </x:c>
      <x:c r="B833" s="4" t="str">
        <x:v>LiCl</x:v>
      </x:c>
      <x:c r="C833" s="23" t="n">
        <x:v>0.6774317</x:v>
      </x:c>
      <x:c r="D833" s="23" t="n">
        <x:v>-6.651009</x:v>
      </x:c>
      <x:c r="E833" s="23" t="n">
        <x:f>'Parameters'!$B$2*'Parameters'!$B$3*LN(4*PI()*C833^2)</x:f>
        <x:v>4.343457857683938</x:v>
      </x:c>
      <x:c r="F833" s="23" t="n">
        <x:f>D833+E833</x:f>
        <x:v>-2.307551142316062</x:v>
      </x:c>
      <x:c r="G833" s="23" t="n">
        <x:f>AVERAGE($F$944:$F$967)</x:f>
        <x:v>-2.7458230778907833</x:v>
      </x:c>
      <x:c r="H833" s="24" t="n">
        <x:f>F833-G833</x:f>
        <x:v>0.4382719355747211</x:v>
      </x:c>
    </x:row>
    <x:row r="834">
      <x:c r="A834" s="2" t="str">
        <x:v>LiD3-Core</x:v>
      </x:c>
      <x:c r="B834" s="4" t="str">
        <x:v>LiCl</x:v>
      </x:c>
      <x:c r="C834" s="23" t="n">
        <x:v>0.6897959</x:v>
      </x:c>
      <x:c r="D834" s="23" t="n">
        <x:v>-6.642125</x:v>
      </x:c>
      <x:c r="E834" s="23" t="n">
        <x:f>'Parameters'!$B$2*'Parameters'!$B$3*LN(4*PI()*C834^2)</x:f>
        <x:v>4.433131752741359</x:v>
      </x:c>
      <x:c r="F834" s="23" t="n">
        <x:f>D834+E834</x:f>
        <x:v>-2.2089932472586407</x:v>
      </x:c>
      <x:c r="G834" s="23" t="n">
        <x:f>AVERAGE($F$944:$F$967)</x:f>
        <x:v>-2.7458230778907833</x:v>
      </x:c>
      <x:c r="H834" s="24" t="n">
        <x:f>F834-G834</x:f>
        <x:v>0.5368298306321426</x:v>
      </x:c>
    </x:row>
    <x:row r="835">
      <x:c r="A835" s="2" t="str">
        <x:v>LiD3-Core</x:v>
      </x:c>
      <x:c r="B835" s="4" t="str">
        <x:v>LiCl</x:v>
      </x:c>
      <x:c r="C835" s="23" t="n">
        <x:v>0.7021602</x:v>
      </x:c>
      <x:c r="D835" s="23" t="n">
        <x:v>-6.651748</x:v>
      </x:c>
      <x:c r="E835" s="23" t="n">
        <x:f>'Parameters'!$B$2*'Parameters'!$B$3*LN(4*PI()*C835^2)</x:f>
        <x:v>4.521213193153516</x:v>
      </x:c>
      <x:c r="F835" s="23" t="n">
        <x:f>D835+E835</x:f>
        <x:v>-2.1305348068464847</x:v>
      </x:c>
      <x:c r="G835" s="23" t="n">
        <x:f>AVERAGE($F$944:$F$967)</x:f>
        <x:v>-2.7458230778907833</x:v>
      </x:c>
      <x:c r="H835" s="24" t="n">
        <x:f>F835-G835</x:f>
        <x:v>0.6152882710442986</x:v>
      </x:c>
    </x:row>
    <x:row r="836">
      <x:c r="A836" s="2" t="str">
        <x:v>LiD3-Core</x:v>
      </x:c>
      <x:c r="B836" s="4" t="str">
        <x:v>LiCl</x:v>
      </x:c>
      <x:c r="C836" s="23" t="n">
        <x:v>0.7145245</x:v>
      </x:c>
      <x:c r="D836" s="23" t="n">
        <x:v>-6.666313</x:v>
      </x:c>
      <x:c r="E836" s="23" t="n">
        <x:f>'Parameters'!$B$2*'Parameters'!$B$3*LN(4*PI()*C836^2)</x:f>
        <x:v>4.607757070334411</x:v>
      </x:c>
      <x:c r="F836" s="23" t="n">
        <x:f>D836+E836</x:f>
        <x:v>-2.058555929665589</x:v>
      </x:c>
      <x:c r="G836" s="23" t="n">
        <x:f>AVERAGE($F$944:$F$967)</x:f>
        <x:v>-2.7458230778907833</x:v>
      </x:c>
      <x:c r="H836" s="24" t="n">
        <x:f>F836-G836</x:f>
        <x:v>0.6872671482251942</x:v>
      </x:c>
    </x:row>
    <x:row r="837">
      <x:c r="A837" s="2" t="str">
        <x:v>LiD3-Core</x:v>
      </x:c>
      <x:c r="B837" s="4" t="str">
        <x:v>LiCl</x:v>
      </x:c>
      <x:c r="C837" s="23" t="n">
        <x:v>0.7268888</x:v>
      </x:c>
      <x:c r="D837" s="23" t="n">
        <x:v>-6.913799</x:v>
      </x:c>
      <x:c r="E837" s="23" t="n">
        <x:f>'Parameters'!$B$2*'Parameters'!$B$3*LN(4*PI()*C837^2)</x:f>
        <x:v>4.692816144492934</x:v>
      </x:c>
      <x:c r="F837" s="23" t="n">
        <x:f>D837+E837</x:f>
        <x:v>-2.2209828555070663</x:v>
      </x:c>
      <x:c r="G837" s="23" t="n">
        <x:f>AVERAGE($F$944:$F$967)</x:f>
        <x:v>-2.7458230778907833</x:v>
      </x:c>
      <x:c r="H837" s="24" t="n">
        <x:f>F837-G837</x:f>
        <x:v>0.524840222383717</x:v>
      </x:c>
    </x:row>
    <x:row r="838">
      <x:c r="A838" s="2" t="str">
        <x:v>LiD3-Core</x:v>
      </x:c>
      <x:c r="B838" s="4" t="str">
        <x:v>LiCl</x:v>
      </x:c>
      <x:c r="C838" s="23" t="n">
        <x:v>0.739253</x:v>
      </x:c>
      <x:c r="D838" s="23" t="n">
        <x:v>-7.032587</x:v>
      </x:c>
      <x:c r="E838" s="23" t="n">
        <x:f>'Parameters'!$B$2*'Parameters'!$B$3*LN(4*PI()*C838^2)</x:f>
        <x:v>4.776439835281493</x:v>
      </x:c>
      <x:c r="F838" s="23" t="n">
        <x:f>D838+E838</x:f>
        <x:v>-2.2561471647185076</x:v>
      </x:c>
      <x:c r="G838" s="23" t="n">
        <x:f>AVERAGE($F$944:$F$967)</x:f>
        <x:v>-2.7458230778907833</x:v>
      </x:c>
      <x:c r="H838" s="24" t="n">
        <x:f>F838-G838</x:f>
        <x:v>0.48967591317227566</x:v>
      </x:c>
    </x:row>
    <x:row r="839">
      <x:c r="A839" s="2" t="str">
        <x:v>LiD3-Core</x:v>
      </x:c>
      <x:c r="B839" s="4" t="str">
        <x:v>LiCl</x:v>
      </x:c>
      <x:c r="C839" s="23" t="n">
        <x:v>0.7516173</x:v>
      </x:c>
      <x:c r="D839" s="23" t="n">
        <x:v>-7.088419</x:v>
      </x:c>
      <x:c r="E839" s="23" t="n">
        <x:f>'Parameters'!$B$2*'Parameters'!$B$3*LN(4*PI()*C839^2)</x:f>
        <x:v>4.8586770926496206</x:v>
      </x:c>
      <x:c r="F839" s="23" t="n">
        <x:f>D839+E839</x:f>
        <x:v>-2.2297419073503795</x:v>
      </x:c>
      <x:c r="G839" s="23" t="n">
        <x:f>AVERAGE($F$944:$F$967)</x:f>
        <x:v>-2.7458230778907833</x:v>
      </x:c>
      <x:c r="H839" s="24" t="n">
        <x:f>F839-G839</x:f>
        <x:v>0.5160811705404038</x:v>
      </x:c>
    </x:row>
    <x:row r="840">
      <x:c r="A840" s="2" t="str">
        <x:v>LiD3-Core</x:v>
      </x:c>
      <x:c r="B840" s="4" t="str">
        <x:v>LiCl</x:v>
      </x:c>
      <x:c r="C840" s="23" t="n">
        <x:v>0.7639816</x:v>
      </x:c>
      <x:c r="D840" s="23" t="n">
        <x:v>-7.319941</x:v>
      </x:c>
      <x:c r="E840" s="23" t="n">
        <x:f>'Parameters'!$B$2*'Parameters'!$B$3*LN(4*PI()*C840^2)</x:f>
        <x:v>4.939572502101775</x:v>
      </x:c>
      <x:c r="F840" s="23" t="n">
        <x:f>D840+E840</x:f>
        <x:v>-2.3803684978982247</x:v>
      </x:c>
      <x:c r="G840" s="23" t="n">
        <x:f>AVERAGE($F$944:$F$967)</x:f>
        <x:v>-2.7458230778907833</x:v>
      </x:c>
      <x:c r="H840" s="24" t="n">
        <x:f>F840-G840</x:f>
        <x:v>0.3654545799925586</x:v>
      </x:c>
    </x:row>
    <x:row r="841">
      <x:c r="A841" s="2" t="str">
        <x:v>LiD3-Core</x:v>
      </x:c>
      <x:c r="B841" s="4" t="str">
        <x:v>LiCl</x:v>
      </x:c>
      <x:c r="C841" s="23" t="n">
        <x:v>0.7763459</x:v>
      </x:c>
      <x:c r="D841" s="23" t="n">
        <x:v>-7.687653</x:v>
      </x:c>
      <x:c r="E841" s="23" t="n">
        <x:f>'Parameters'!$B$2*'Parameters'!$B$3*LN(4*PI()*C841^2)</x:f>
        <x:v>5.019169150830551</x:v>
      </x:c>
      <x:c r="F841" s="23" t="n">
        <x:f>D841+E841</x:f>
        <x:v>-2.6684838491694487</x:v>
      </x:c>
      <x:c r="G841" s="23" t="n">
        <x:f>AVERAGE($F$944:$F$967)</x:f>
        <x:v>-2.7458230778907833</x:v>
      </x:c>
      <x:c r="H841" s="24" t="n">
        <x:f>F841-G841</x:f>
        <x:v>0.07733922872133459</x:v>
      </x:c>
    </x:row>
    <x:row r="842">
      <x:c r="A842" s="2" t="str">
        <x:v>LiD3-Core</x:v>
      </x:c>
      <x:c r="B842" s="4" t="str">
        <x:v>LiCl</x:v>
      </x:c>
      <x:c r="C842" s="23" t="n">
        <x:v>0.7887101</x:v>
      </x:c>
      <x:c r="D842" s="23" t="n">
        <x:v>-7.907411</x:v>
      </x:c>
      <x:c r="E842" s="23" t="n">
        <x:f>'Parameters'!$B$2*'Parameters'!$B$3*LN(4*PI()*C842^2)</x:f>
        <x:v>5.097507454852117</x:v>
      </x:c>
      <x:c r="F842" s="23" t="n">
        <x:f>D842+E842</x:f>
        <x:v>-2.8099035451478827</x:v>
      </x:c>
      <x:c r="G842" s="23" t="n">
        <x:f>AVERAGE($F$944:$F$967)</x:f>
        <x:v>-2.7458230778907833</x:v>
      </x:c>
      <x:c r="H842" s="24" t="n">
        <x:f>F842-G842</x:f>
        <x:v>-0.06408046725709937</x:v>
      </x:c>
    </x:row>
    <x:row r="843">
      <x:c r="A843" s="2" t="str">
        <x:v>LiD3-Core</x:v>
      </x:c>
      <x:c r="B843" s="4" t="str">
        <x:v>LiCl</x:v>
      </x:c>
      <x:c r="C843" s="23" t="n">
        <x:v>0.8010744</x:v>
      </x:c>
      <x:c r="D843" s="23" t="n">
        <x:v>-8.139721</x:v>
      </x:c>
      <x:c r="E843" s="23" t="n">
        <x:f>'Parameters'!$B$2*'Parameters'!$B$3*LN(4*PI()*C843^2)</x:f>
        <x:v>5.174627810249315</x:v>
      </x:c>
      <x:c r="F843" s="23" t="n">
        <x:f>D843+E843</x:f>
        <x:v>-2.965093189750685</x:v>
      </x:c>
      <x:c r="G843" s="23" t="n">
        <x:f>AVERAGE($F$944:$F$967)</x:f>
        <x:v>-2.7458230778907833</x:v>
      </x:c>
      <x:c r="H843" s="24" t="n">
        <x:f>F843-G843</x:f>
        <x:v>-0.21927011185990164</x:v>
      </x:c>
    </x:row>
    <x:row r="844">
      <x:c r="A844" s="2" t="str">
        <x:v>LiD3-Core</x:v>
      </x:c>
      <x:c r="B844" s="4" t="str">
        <x:v>LiCl</x:v>
      </x:c>
      <x:c r="C844" s="23" t="n">
        <x:v>0.8134387</x:v>
      </x:c>
      <x:c r="D844" s="23" t="n">
        <x:v>-8.126458</x:v>
      </x:c>
      <x:c r="E844" s="23" t="n">
        <x:f>'Parameters'!$B$2*'Parameters'!$B$3*LN(4*PI()*C844^2)</x:f>
        <x:v>5.250566909471547</x:v>
      </x:c>
      <x:c r="F844" s="23" t="n">
        <x:f>D844+E844</x:f>
        <x:v>-2.8758910905284525</x:v>
      </x:c>
      <x:c r="G844" s="23" t="n">
        <x:f>AVERAGE($F$944:$F$967)</x:f>
        <x:v>-2.7458230778907833</x:v>
      </x:c>
      <x:c r="H844" s="24" t="n">
        <x:f>F844-G844</x:f>
        <x:v>-0.1300680126376692</x:v>
      </x:c>
    </x:row>
    <x:row r="845">
      <x:c r="A845" s="2" t="str">
        <x:v>LiD3-Core</x:v>
      </x:c>
      <x:c r="B845" s="4" t="str">
        <x:v>LiCl</x:v>
      </x:c>
      <x:c r="C845" s="23" t="n">
        <x:v>0.825803</x:v>
      </x:c>
      <x:c r="D845" s="23" t="n">
        <x:v>-8.353487</x:v>
      </x:c>
      <x:c r="E845" s="23" t="n">
        <x:f>'Parameters'!$B$2*'Parameters'!$B$3*LN(4*PI()*C845^2)</x:f>
        <x:v>5.325360393997594</x:v>
      </x:c>
      <x:c r="F845" s="23" t="n">
        <x:f>D845+E845</x:f>
        <x:v>-3.028126606002405</x:v>
      </x:c>
      <x:c r="G845" s="23" t="n">
        <x:f>AVERAGE($F$944:$F$967)</x:f>
        <x:v>-2.7458230778907833</x:v>
      </x:c>
      <x:c r="H845" s="24" t="n">
        <x:f>F845-G845</x:f>
        <x:v>-0.28230352811162174</x:v>
      </x:c>
    </x:row>
    <x:row r="846">
      <x:c r="A846" s="2" t="str">
        <x:v>LiD3-Core</x:v>
      </x:c>
      <x:c r="B846" s="4" t="str">
        <x:v>LiCl</x:v>
      </x:c>
      <x:c r="C846" s="23" t="n">
        <x:v>0.8381672</x:v>
      </x:c>
      <x:c r="D846" s="23" t="n">
        <x:v>-8.473123</x:v>
      </x:c>
      <x:c r="E846" s="23" t="n">
        <x:f>'Parameters'!$B$2*'Parameters'!$B$3*LN(4*PI()*C846^2)</x:f>
        <x:v>5.399041724642352</x:v>
      </x:c>
      <x:c r="F846" s="23" t="n">
        <x:f>D846+E846</x:f>
        <x:v>-3.0740812753576474</x:v>
      </x:c>
      <x:c r="G846" s="23" t="n">
        <x:f>AVERAGE($F$944:$F$967)</x:f>
        <x:v>-2.7458230778907833</x:v>
      </x:c>
      <x:c r="H846" s="24" t="n">
        <x:f>F846-G846</x:f>
        <x:v>-0.32825819746686413</x:v>
      </x:c>
    </x:row>
    <x:row r="847">
      <x:c r="A847" s="2" t="str">
        <x:v>LiD3-Core</x:v>
      </x:c>
      <x:c r="B847" s="4" t="str">
        <x:v>LiCl</x:v>
      </x:c>
      <x:c r="C847" s="23" t="n">
        <x:v>0.8505315</x:v>
      </x:c>
      <x:c r="D847" s="23" t="n">
        <x:v>-8.545433</x:v>
      </x:c>
      <x:c r="E847" s="23" t="n">
        <x:f>'Parameters'!$B$2*'Parameters'!$B$3*LN(4*PI()*C847^2)</x:f>
        <x:v>5.471644649321378</x:v>
      </x:c>
      <x:c r="F847" s="23" t="n">
        <x:f>D847+E847</x:f>
        <x:v>-3.0737883506786208</x:v>
      </x:c>
      <x:c r="G847" s="23" t="n">
        <x:f>AVERAGE($F$944:$F$967)</x:f>
        <x:v>-2.7458230778907833</x:v>
      </x:c>
      <x:c r="H847" s="24" t="n">
        <x:f>F847-G847</x:f>
        <x:v>-0.3279652727878375</x:v>
      </x:c>
    </x:row>
    <x:row r="848">
      <x:c r="A848" s="2" t="str">
        <x:v>LiD3-Core</x:v>
      </x:c>
      <x:c r="B848" s="4" t="str">
        <x:v>LiCl</x:v>
      </x:c>
      <x:c r="C848" s="23" t="n">
        <x:v>0.8628958</x:v>
      </x:c>
      <x:c r="D848" s="23" t="n">
        <x:v>-8.638761</x:v>
      </x:c>
      <x:c r="E848" s="23" t="n">
        <x:f>'Parameters'!$B$2*'Parameters'!$B$3*LN(4*PI()*C848^2)</x:f>
        <x:v>5.543199714270065</x:v>
      </x:c>
      <x:c r="F848" s="23" t="n">
        <x:f>D848+E848</x:f>
        <x:v>-3.0955612857299357</x:v>
      </x:c>
      <x:c r="G848" s="23" t="n">
        <x:f>AVERAGE($F$944:$F$967)</x:f>
        <x:v>-2.7458230778907833</x:v>
      </x:c>
      <x:c r="H848" s="24" t="n">
        <x:f>F848-G848</x:f>
        <x:v>-0.34973820783915244</x:v>
      </x:c>
    </x:row>
    <x:row r="849">
      <x:c r="A849" s="2" t="str">
        <x:v>LiD3-Core</x:v>
      </x:c>
      <x:c r="B849" s="4" t="str">
        <x:v>LiCl</x:v>
      </x:c>
      <x:c r="C849" s="23" t="n">
        <x:v>0.8752601</x:v>
      </x:c>
      <x:c r="D849" s="23" t="n">
        <x:v>-8.61444</x:v>
      </x:c>
      <x:c r="E849" s="23" t="n">
        <x:f>'Parameters'!$B$2*'Parameters'!$B$3*LN(4*PI()*C849^2)</x:f>
        <x:v>5.613736736646342</x:v>
      </x:c>
      <x:c r="F849" s="23" t="n">
        <x:f>D849+E849</x:f>
        <x:v>-3.0007032633536577</x:v>
      </x:c>
      <x:c r="G849" s="23" t="n">
        <x:f>AVERAGE($F$944:$F$967)</x:f>
        <x:v>-2.7458230778907833</x:v>
      </x:c>
      <x:c r="H849" s="24" t="n">
        <x:f>F849-G849</x:f>
        <x:v>-0.2548801854628744</x:v>
      </x:c>
    </x:row>
    <x:row r="850">
      <x:c r="A850" s="2" t="str">
        <x:v>LiD3-Core</x:v>
      </x:c>
      <x:c r="B850" s="4" t="str">
        <x:v>LiCl</x:v>
      </x:c>
      <x:c r="C850" s="23" t="n">
        <x:v>0.8876243</x:v>
      </x:c>
      <x:c r="D850" s="23" t="n">
        <x:v>-8.598377</x:v>
      </x:c>
      <x:c r="E850" s="23" t="n">
        <x:f>'Parameters'!$B$2*'Parameters'!$B$3*LN(4*PI()*C850^2)</x:f>
        <x:v>5.6832837201968704</x:v>
      </x:c>
      <x:c r="F850" s="23" t="n">
        <x:f>D850+E850</x:f>
        <x:v>-2.915093279803129</x:v>
      </x:c>
      <x:c r="G850" s="23" t="n">
        <x:f>AVERAGE($F$944:$F$967)</x:f>
        <x:v>-2.7458230778907833</x:v>
      </x:c>
      <x:c r="H850" s="24" t="n">
        <x:f>F850-G850</x:f>
        <x:v>-0.16927020191234554</x:v>
      </x:c>
    </x:row>
    <x:row r="851">
      <x:c r="A851" s="2" t="str">
        <x:v>LiD3-Core</x:v>
      </x:c>
      <x:c r="B851" s="4" t="str">
        <x:v>LiCl</x:v>
      </x:c>
      <x:c r="C851" s="23" t="n">
        <x:v>0.8999886</x:v>
      </x:c>
      <x:c r="D851" s="23" t="n">
        <x:v>-8.501289</x:v>
      </x:c>
      <x:c r="E851" s="23" t="n">
        <x:f>'Parameters'!$B$2*'Parameters'!$B$3*LN(4*PI()*C851^2)</x:f>
        <x:v>5.751869166611124</x:v>
      </x:c>
      <x:c r="F851" s="23" t="n">
        <x:f>D851+E851</x:f>
        <x:v>-2.7494198333888757</x:v>
      </x:c>
      <x:c r="G851" s="23" t="n">
        <x:f>AVERAGE($F$944:$F$967)</x:f>
        <x:v>-2.7458230778907833</x:v>
      </x:c>
      <x:c r="H851" s="24" t="n">
        <x:f>F851-G851</x:f>
        <x:v>-0.003596755498092463</x:v>
      </x:c>
    </x:row>
    <x:row r="852">
      <x:c r="A852" s="2" t="str">
        <x:v>LiD3-Core</x:v>
      </x:c>
      <x:c r="B852" s="4" t="str">
        <x:v>LiCl</x:v>
      </x:c>
      <x:c r="C852" s="23" t="n">
        <x:v>0.9123529</x:v>
      </x:c>
      <x:c r="D852" s="23" t="n">
        <x:v>-8.427555</x:v>
      </x:c>
      <x:c r="E852" s="23" t="n">
        <x:f>'Parameters'!$B$2*'Parameters'!$B$3*LN(4*PI()*C852^2)</x:f>
        <x:v>5.819518765635572</x:v>
      </x:c>
      <x:c r="F852" s="23" t="n">
        <x:f>D852+E852</x:f>
        <x:v>-2.6080362343644277</x:v>
      </x:c>
      <x:c r="G852" s="23" t="n">
        <x:f>AVERAGE($F$944:$F$967)</x:f>
        <x:v>-2.7458230778907833</x:v>
      </x:c>
      <x:c r="H852" s="24" t="n">
        <x:f>F852-G852</x:f>
        <x:v>0.13778684352635562</x:v>
      </x:c>
    </x:row>
    <x:row r="853">
      <x:c r="A853" s="2" t="str">
        <x:v>LiD3-Core</x:v>
      </x:c>
      <x:c r="B853" s="4" t="str">
        <x:v>LiCl</x:v>
      </x:c>
      <x:c r="C853" s="23" t="n">
        <x:v>0.9247172</x:v>
      </x:c>
      <x:c r="D853" s="23" t="n">
        <x:v>-8.477449</x:v>
      </x:c>
      <x:c r="E853" s="23" t="n">
        <x:f>'Parameters'!$B$2*'Parameters'!$B$3*LN(4*PI()*C853^2)</x:f>
        <x:v>5.886257713106303</x:v>
      </x:c>
      <x:c r="F853" s="23" t="n">
        <x:f>D853+E853</x:f>
        <x:v>-2.5911912868936966</x:v>
      </x:c>
      <x:c r="G853" s="23" t="n">
        <x:f>AVERAGE($F$944:$F$967)</x:f>
        <x:v>-2.7458230778907833</x:v>
      </x:c>
      <x:c r="H853" s="24" t="n">
        <x:f>F853-G853</x:f>
        <x:v>0.15463179099708668</x:v>
      </x:c>
    </x:row>
    <x:row r="854">
      <x:c r="A854" s="2" t="str">
        <x:v>LiD3-Core</x:v>
      </x:c>
      <x:c r="B854" s="4" t="str">
        <x:v>LiCl</x:v>
      </x:c>
      <x:c r="C854" s="23" t="n">
        <x:v>0.9370814</x:v>
      </x:c>
      <x:c r="D854" s="23" t="n">
        <x:v>-8.578924</x:v>
      </x:c>
      <x:c r="E854" s="23" t="n">
        <x:f>'Parameters'!$B$2*'Parameters'!$B$3*LN(4*PI()*C854^2)</x:f>
        <x:v>5.952109671757796</x:v>
      </x:c>
      <x:c r="F854" s="23" t="n">
        <x:f>D854+E854</x:f>
        <x:v>-2.6268143282422045</x:v>
      </x:c>
      <x:c r="G854" s="23" t="n">
        <x:f>AVERAGE($F$944:$F$967)</x:f>
        <x:v>-2.7458230778907833</x:v>
      </x:c>
      <x:c r="H854" s="24" t="n">
        <x:f>F854-G854</x:f>
        <x:v>0.11900874964857877</x:v>
      </x:c>
    </x:row>
    <x:row r="855">
      <x:c r="A855" s="2" t="str">
        <x:v>LiD3-Core</x:v>
      </x:c>
      <x:c r="B855" s="4" t="str">
        <x:v>LiCl</x:v>
      </x:c>
      <x:c r="C855" s="23" t="n">
        <x:v>0.9494457</x:v>
      </x:c>
      <x:c r="D855" s="23" t="n">
        <x:v>-8.581386</x:v>
      </x:c>
      <x:c r="E855" s="23" t="n">
        <x:f>'Parameters'!$B$2*'Parameters'!$B$3*LN(4*PI()*C855^2)</x:f>
        <x:v>6.017098947081155</x:v>
      </x:c>
      <x:c r="F855" s="23" t="n">
        <x:f>D855+E855</x:f>
        <x:v>-2.5642870529188455</x:v>
      </x:c>
      <x:c r="G855" s="23" t="n">
        <x:f>AVERAGE($F$944:$F$967)</x:f>
        <x:v>-2.7458230778907833</x:v>
      </x:c>
      <x:c r="H855" s="24" t="n">
        <x:f>F855-G855</x:f>
        <x:v>0.18153602497193777</x:v>
      </x:c>
    </x:row>
    <x:row r="856">
      <x:c r="A856" s="2" t="str">
        <x:v>LiD3-Core</x:v>
      </x:c>
      <x:c r="B856" s="4" t="str">
        <x:v>LiCl</x:v>
      </x:c>
      <x:c r="C856" s="23" t="n">
        <x:v>0.96181</x:v>
      </x:c>
      <x:c r="D856" s="23" t="n">
        <x:v>-8.651533</x:v>
      </x:c>
      <x:c r="E856" s="23" t="n">
        <x:f>'Parameters'!$B$2*'Parameters'!$B$3*LN(4*PI()*C856^2)</x:f>
        <x:v>6.081247341235227</x:v>
      </x:c>
      <x:c r="F856" s="23" t="n">
        <x:f>D856+E856</x:f>
        <x:v>-2.5702856587647736</x:v>
      </x:c>
      <x:c r="G856" s="23" t="n">
        <x:f>AVERAGE($F$944:$F$967)</x:f>
        <x:v>-2.7458230778907833</x:v>
      </x:c>
      <x:c r="H856" s="24" t="n">
        <x:f>F856-G856</x:f>
        <x:v>0.17553741912600973</x:v>
      </x:c>
    </x:row>
    <x:row r="857">
      <x:c r="A857" s="2" t="str">
        <x:v>LiD3-Core</x:v>
      </x:c>
      <x:c r="B857" s="4" t="str">
        <x:v>LiCl</x:v>
      </x:c>
      <x:c r="C857" s="23" t="n">
        <x:v>0.9741743</x:v>
      </x:c>
      <x:c r="D857" s="23" t="n">
        <x:v>-8.692109</x:v>
      </x:c>
      <x:c r="E857" s="23" t="n">
        <x:f>'Parameters'!$B$2*'Parameters'!$B$3*LN(4*PI()*C857^2)</x:f>
        <x:v>6.144576336494773</x:v>
      </x:c>
      <x:c r="F857" s="23" t="n">
        <x:f>D857+E857</x:f>
        <x:v>-2.547532663505227</x:v>
      </x:c>
      <x:c r="G857" s="23" t="n">
        <x:f>AVERAGE($F$944:$F$967)</x:f>
        <x:v>-2.7458230778907833</x:v>
      </x:c>
      <x:c r="H857" s="24" t="n">
        <x:f>F857-G857</x:f>
        <x:v>0.19829041438555617</x:v>
      </x:c>
    </x:row>
    <x:row r="858">
      <x:c r="A858" s="2" t="str">
        <x:v>LiD3-Core</x:v>
      </x:c>
      <x:c r="B858" s="4" t="str">
        <x:v>LiCl</x:v>
      </x:c>
      <x:c r="C858" s="23" t="n">
        <x:v>0.9865385</x:v>
      </x:c>
      <x:c r="D858" s="23" t="n">
        <x:v>-8.718401</x:v>
      </x:c>
      <x:c r="E858" s="23" t="n">
        <x:f>'Parameters'!$B$2*'Parameters'!$B$3*LN(4*PI()*C858^2)</x:f>
        <x:v>6.207106099727798</x:v>
      </x:c>
      <x:c r="F858" s="23" t="n">
        <x:f>D858+E858</x:f>
        <x:v>-2.511294900272202</x:v>
      </x:c>
      <x:c r="G858" s="23" t="n">
        <x:f>AVERAGE($F$944:$F$967)</x:f>
        <x:v>-2.7458230778907833</x:v>
      </x:c>
      <x:c r="H858" s="24" t="n">
        <x:f>F858-G858</x:f>
        <x:v>0.23452817761858125</x:v>
      </x:c>
    </x:row>
    <x:row r="859">
      <x:c r="A859" s="2" t="str">
        <x:v>LiD3-Core</x:v>
      </x:c>
      <x:c r="B859" s="4" t="str">
        <x:v>LiCl</x:v>
      </x:c>
      <x:c r="C859" s="23" t="n">
        <x:v>0.9989028</x:v>
      </x:c>
      <x:c r="D859" s="23" t="n">
        <x:v>-8.707682</x:v>
      </x:c>
      <x:c r="E859" s="23" t="n">
        <x:f>'Parameters'!$B$2*'Parameters'!$B$3*LN(4*PI()*C859^2)</x:f>
        <x:v>6.268857539341085</x:v>
      </x:c>
      <x:c r="F859" s="23" t="n">
        <x:f>D859+E859</x:f>
        <x:v>-2.438824460658915</x:v>
      </x:c>
      <x:c r="G859" s="23" t="n">
        <x:f>AVERAGE($F$944:$F$967)</x:f>
        <x:v>-2.7458230778907833</x:v>
      </x:c>
      <x:c r="H859" s="24" t="n">
        <x:f>F859-G859</x:f>
        <x:v>0.3069986172318684</x:v>
      </x:c>
    </x:row>
    <x:row r="860">
      <x:c r="A860" s="2" t="str">
        <x:v>LiD3-Core</x:v>
      </x:c>
      <x:c r="B860" s="4" t="str">
        <x:v>LiCl</x:v>
      </x:c>
      <x:c r="C860" s="23" t="n">
        <x:v>1.011267</x:v>
      </x:c>
      <x:c r="D860" s="23" t="n">
        <x:v>-8.850013</x:v>
      </x:c>
      <x:c r="E860" s="23" t="n">
        <x:f>'Parameters'!$B$2*'Parameters'!$B$3*LN(4*PI()*C860^2)</x:f>
        <x:v>6.329848818867054</x:v>
      </x:c>
      <x:c r="F860" s="23" t="n">
        <x:f>D860+E860</x:f>
        <x:v>-2.5201641811329463</x:v>
      </x:c>
      <x:c r="G860" s="23" t="n">
        <x:f>AVERAGE($F$944:$F$967)</x:f>
        <x:v>-2.7458230778907833</x:v>
      </x:c>
      <x:c r="H860" s="24" t="n">
        <x:f>F860-G860</x:f>
        <x:v>0.225658896757837</x:v>
      </x:c>
    </x:row>
    <x:row r="861">
      <x:c r="A861" s="2" t="str">
        <x:v>LiD3-Core</x:v>
      </x:c>
      <x:c r="B861" s="4" t="str">
        <x:v>LiCl</x:v>
      </x:c>
      <x:c r="C861" s="23" t="n">
        <x:v>1.023631</x:v>
      </x:c>
      <x:c r="D861" s="23" t="n">
        <x:v>-8.85872</x:v>
      </x:c>
      <x:c r="E861" s="23" t="n">
        <x:f>'Parameters'!$B$2*'Parameters'!$B$3*LN(4*PI()*C861^2)</x:f>
        <x:v>6.390097935814159</x:v>
      </x:c>
      <x:c r="F861" s="23" t="n">
        <x:f>D861+E861</x:f>
        <x:v>-2.4686220641858405</x:v>
      </x:c>
      <x:c r="G861" s="23" t="n">
        <x:f>AVERAGE($F$944:$F$967)</x:f>
        <x:v>-2.7458230778907833</x:v>
      </x:c>
      <x:c r="H861" s="24" t="n">
        <x:f>F861-G861</x:f>
        <x:v>0.27720101370494277</x:v>
      </x:c>
    </x:row>
    <x:row r="862">
      <x:c r="A862" s="2" t="str">
        <x:v>LiD3-Core</x:v>
      </x:c>
      <x:c r="B862" s="4" t="str">
        <x:v>LiCl</x:v>
      </x:c>
      <x:c r="C862" s="23" t="n">
        <x:v>1.035996</x:v>
      </x:c>
      <x:c r="D862" s="23" t="n">
        <x:v>-8.927609</x:v>
      </x:c>
      <x:c r="E862" s="23" t="n">
        <x:f>'Parameters'!$B$2*'Parameters'!$B$3*LN(4*PI()*C862^2)</x:f>
        <x:v>6.449628466221158</x:v>
      </x:c>
      <x:c r="F862" s="23" t="n">
        <x:f>D862+E862</x:f>
        <x:v>-2.477980533778842</x:v>
      </x:c>
      <x:c r="G862" s="23" t="n">
        <x:f>AVERAGE($F$944:$F$967)</x:f>
        <x:v>-2.7458230778907833</x:v>
      </x:c>
      <x:c r="H862" s="24" t="n">
        <x:f>F862-G862</x:f>
        <x:v>0.2678425441119412</x:v>
      </x:c>
    </x:row>
    <x:row r="863">
      <x:c r="A863" s="2" t="str">
        <x:v>LiD3-Core</x:v>
      </x:c>
      <x:c r="B863" s="4" t="str">
        <x:v>LiCl</x:v>
      </x:c>
      <x:c r="C863" s="23" t="n">
        <x:v>1.04836</x:v>
      </x:c>
      <x:c r="D863" s="23" t="n">
        <x:v>-9.158465</x:v>
      </x:c>
      <x:c r="E863" s="23" t="n">
        <x:f>'Parameters'!$B$2*'Parameters'!$B$3*LN(4*PI()*C863^2)</x:f>
        <x:v>6.508447946591558</x:v>
      </x:c>
      <x:c r="F863" s="23" t="n">
        <x:f>D863+E863</x:f>
        <x:v>-2.6500170534084413</x:v>
      </x:c>
      <x:c r="G863" s="23" t="n">
        <x:f>AVERAGE($F$944:$F$967)</x:f>
        <x:v>-2.7458230778907833</x:v>
      </x:c>
      <x:c r="H863" s="24" t="n">
        <x:f>F863-G863</x:f>
        <x:v>0.09580602448234199</x:v>
      </x:c>
    </x:row>
    <x:row r="864">
      <x:c r="A864" s="2" t="str">
        <x:v>LiD3-Core</x:v>
      </x:c>
      <x:c r="B864" s="4" t="str">
        <x:v>LiCl</x:v>
      </x:c>
      <x:c r="C864" s="23" t="n">
        <x:v>1.060724</x:v>
      </x:c>
      <x:c r="D864" s="23" t="n">
        <x:v>-9.208321</x:v>
      </x:c>
      <x:c r="E864" s="23" t="n">
        <x:f>'Parameters'!$B$2*'Parameters'!$B$3*LN(4*PI()*C864^2)</x:f>
        <x:v>6.5665777808252175</x:v>
      </x:c>
      <x:c r="F864" s="23" t="n">
        <x:f>D864+E864</x:f>
        <x:v>-2.6417432191747823</x:v>
      </x:c>
      <x:c r="G864" s="23" t="n">
        <x:f>AVERAGE($F$944:$F$967)</x:f>
        <x:v>-2.7458230778907833</x:v>
      </x:c>
      <x:c r="H864" s="24" t="n">
        <x:f>F864-G864</x:f>
        <x:v>0.104079858716001</x:v>
      </x:c>
    </x:row>
    <x:row r="865">
      <x:c r="A865" s="2" t="str">
        <x:v>LiD3-Core</x:v>
      </x:c>
      <x:c r="B865" s="4" t="str">
        <x:v>LiCl</x:v>
      </x:c>
      <x:c r="C865" s="23" t="n">
        <x:v>1.073088</x:v>
      </x:c>
      <x:c r="D865" s="23" t="n">
        <x:v>-9.36957</x:v>
      </x:c>
      <x:c r="E865" s="23" t="n">
        <x:f>'Parameters'!$B$2*'Parameters'!$B$3*LN(4*PI()*C865^2)</x:f>
        <x:v>6.624033953600274</x:v>
      </x:c>
      <x:c r="F865" s="23" t="n">
        <x:f>D865+E865</x:f>
        <x:v>-2.7455360463997254</x:v>
      </x:c>
      <x:c r="G865" s="23" t="n">
        <x:f>AVERAGE($F$944:$F$967)</x:f>
        <x:v>-2.7458230778907833</x:v>
      </x:c>
      <x:c r="H865" s="24" t="n">
        <x:f>F865-G865</x:f>
        <x:v>0.0002870314910579097</x:v>
      </x:c>
    </x:row>
    <x:row r="866">
      <x:c r="A866" s="2" t="str">
        <x:v>LiD3-Core</x:v>
      </x:c>
      <x:c r="B866" s="4" t="str">
        <x:v>LiCl</x:v>
      </x:c>
      <x:c r="C866" s="23" t="n">
        <x:v>1.085453</x:v>
      </x:c>
      <x:c r="D866" s="23" t="n">
        <x:v>-9.365389</x:v>
      </x:c>
      <x:c r="E866" s="23" t="n">
        <x:f>'Parameters'!$B$2*'Parameters'!$B$3*LN(4*PI()*C866^2)</x:f>
        <x:v>6.680836467815323</x:v>
      </x:c>
      <x:c r="F866" s="23" t="n">
        <x:f>D866+E866</x:f>
        <x:v>-2.6845525321846777</x:v>
      </x:c>
      <x:c r="G866" s="23" t="n">
        <x:f>AVERAGE($F$944:$F$967)</x:f>
        <x:v>-2.7458230778907833</x:v>
      </x:c>
      <x:c r="H866" s="24" t="n">
        <x:f>F866-G866</x:f>
        <x:v>0.06127054570610557</x:v>
      </x:c>
    </x:row>
    <x:row r="867">
      <x:c r="A867" s="2" t="str">
        <x:v>LiD3-Core</x:v>
      </x:c>
      <x:c r="B867" s="4" t="str">
        <x:v>LiCl</x:v>
      </x:c>
      <x:c r="C867" s="23" t="n">
        <x:v>1.097817</x:v>
      </x:c>
      <x:c r="D867" s="23" t="n">
        <x:v>-9.566467</x:v>
      </x:c>
      <x:c r="E867" s="23" t="n">
        <x:f>'Parameters'!$B$2*'Parameters'!$B$3*LN(4*PI()*C867^2)</x:f>
        <x:v>6.736991047633774</x:v>
      </x:c>
      <x:c r="F867" s="23" t="n">
        <x:f>D867+E867</x:f>
        <x:v>-2.8294759523662254</x:v>
      </x:c>
      <x:c r="G867" s="23" t="n">
        <x:f>AVERAGE($F$944:$F$967)</x:f>
        <x:v>-2.7458230778907833</x:v>
      </x:c>
      <x:c r="H867" s="24" t="n">
        <x:f>F867-G867</x:f>
        <x:v>-0.08365287447544212</x:v>
      </x:c>
    </x:row>
    <x:row r="868">
      <x:c r="A868" s="2" t="str">
        <x:v>LiD3-Core</x:v>
      </x:c>
      <x:c r="B868" s="4" t="str">
        <x:v>LiCl</x:v>
      </x:c>
      <x:c r="C868" s="23" t="n">
        <x:v>1.110181</x:v>
      </x:c>
      <x:c r="D868" s="23" t="n">
        <x:v>-9.782132</x:v>
      </x:c>
      <x:c r="E868" s="23" t="n">
        <x:f>'Parameters'!$B$2*'Parameters'!$B$3*LN(4*PI()*C868^2)</x:f>
        <x:v>6.792516723059183</x:v>
      </x:c>
      <x:c r="F868" s="23" t="n">
        <x:f>D868+E868</x:f>
        <x:v>-2.9896152769408175</x:v>
      </x:c>
      <x:c r="G868" s="23" t="n">
        <x:f>AVERAGE($F$944:$F$967)</x:f>
        <x:v>-2.7458230778907833</x:v>
      </x:c>
      <x:c r="H868" s="24" t="n">
        <x:f>F868-G868</x:f>
        <x:v>-0.24379219905003424</x:v>
      </x:c>
    </x:row>
    <x:row r="869">
      <x:c r="A869" s="2" t="str">
        <x:v>LiD3-Core</x:v>
      </x:c>
      <x:c r="B869" s="4" t="str">
        <x:v>LiCl</x:v>
      </x:c>
      <x:c r="C869" s="23" t="n">
        <x:v>1.122546</x:v>
      </x:c>
      <x:c r="D869" s="23" t="n">
        <x:v>-9.87815</x:v>
      </x:c>
      <x:c r="E869" s="23" t="n">
        <x:f>'Parameters'!$B$2*'Parameters'!$B$3*LN(4*PI()*C869^2)</x:f>
        <x:v>6.847431841742013</x:v>
      </x:c>
      <x:c r="F869" s="23" t="n">
        <x:f>D869+E869</x:f>
        <x:v>-3.0307181582579865</x:v>
      </x:c>
      <x:c r="G869" s="23" t="n">
        <x:f>AVERAGE($F$944:$F$967)</x:f>
        <x:v>-2.7458230778907833</x:v>
      </x:c>
      <x:c r="H869" s="24" t="n">
        <x:f>F869-G869</x:f>
        <x:v>-0.28489508036720324</x:v>
      </x:c>
    </x:row>
    <x:row r="870">
      <x:c r="A870" s="2" t="str">
        <x:v>LiD3-Core</x:v>
      </x:c>
      <x:c r="B870" s="4" t="str">
        <x:v>LiCl</x:v>
      </x:c>
      <x:c r="C870" s="23" t="n">
        <x:v>1.13491</x:v>
      </x:c>
      <x:c r="D870" s="23" t="n">
        <x:v>-10.01133</x:v>
      </x:c>
      <x:c r="E870" s="23" t="n">
        <x:f>'Parameters'!$B$2*'Parameters'!$B$3*LN(4*PI()*C870^2)</x:f>
        <x:v>6.901740995387946</x:v>
      </x:c>
      <x:c r="F870" s="23" t="n">
        <x:f>D870+E870</x:f>
        <x:v>-3.1095890046120536</x:v>
      </x:c>
      <x:c r="G870" s="23" t="n">
        <x:f>AVERAGE($F$944:$F$967)</x:f>
        <x:v>-2.7458230778907833</x:v>
      </x:c>
      <x:c r="H870" s="24" t="n">
        <x:f>F870-G870</x:f>
        <x:v>-0.3637659267212703</x:v>
      </x:c>
    </x:row>
    <x:row r="871">
      <x:c r="A871" s="2" t="str">
        <x:v>LiD3-Core</x:v>
      </x:c>
      <x:c r="B871" s="4" t="str">
        <x:v>LiCl</x:v>
      </x:c>
      <x:c r="C871" s="23" t="n">
        <x:v>1.147274</x:v>
      </x:c>
      <x:c r="D871" s="23" t="n">
        <x:v>-10.03446</x:v>
      </x:c>
      <x:c r="E871" s="23" t="n">
        <x:f>'Parameters'!$B$2*'Parameters'!$B$3*LN(4*PI()*C871^2)</x:f>
        <x:v>6.95546168501272</x:v>
      </x:c>
      <x:c r="F871" s="23" t="n">
        <x:f>D871+E871</x:f>
        <x:v>-3.0789983149872793</x:v>
      </x:c>
      <x:c r="G871" s="23" t="n">
        <x:f>AVERAGE($F$944:$F$967)</x:f>
        <x:v>-2.7458230778907833</x:v>
      </x:c>
      <x:c r="H871" s="24" t="n">
        <x:f>F871-G871</x:f>
        <x:v>-0.333175237096496</x:v>
      </x:c>
    </x:row>
    <x:row r="872">
      <x:c r="A872" s="2" t="str">
        <x:v>LiD3-Core</x:v>
      </x:c>
      <x:c r="B872" s="4" t="str">
        <x:v>LiCl</x:v>
      </x:c>
      <x:c r="C872" s="23" t="n">
        <x:v>1.159638</x:v>
      </x:c>
      <x:c r="D872" s="23" t="n">
        <x:v>-10.15386</x:v>
      </x:c>
      <x:c r="E872" s="23" t="n">
        <x:f>'Parameters'!$B$2*'Parameters'!$B$3*LN(4*PI()*C872^2)</x:f>
        <x:v>7.0086065265816435</x:v>
      </x:c>
      <x:c r="F872" s="23" t="n">
        <x:f>D872+E872</x:f>
        <x:v>-3.1452534734183564</x:v>
      </x:c>
      <x:c r="G872" s="23" t="n">
        <x:f>AVERAGE($F$944:$F$967)</x:f>
        <x:v>-2.7458230778907833</x:v>
      </x:c>
      <x:c r="H872" s="24" t="n">
        <x:f>F872-G872</x:f>
        <x:v>-0.3994303955275731</x:v>
      </x:c>
    </x:row>
    <x:row r="873">
      <x:c r="A873" s="2" t="str">
        <x:v>LiD3-Core</x:v>
      </x:c>
      <x:c r="B873" s="4" t="str">
        <x:v>LiCl</x:v>
      </x:c>
      <x:c r="C873" s="23" t="n">
        <x:v>1.172003</x:v>
      </x:c>
      <x:c r="D873" s="23" t="n">
        <x:v>-10.23854</x:v>
      </x:c>
      <x:c r="E873" s="23" t="n">
        <x:f>'Parameters'!$B$2*'Parameters'!$B$3*LN(4*PI()*C873^2)</x:f>
        <x:v>7.061191964945319</x:v>
      </x:c>
      <x:c r="F873" s="23" t="n">
        <x:f>D873+E873</x:f>
        <x:v>-3.177348035054681</x:v>
      </x:c>
      <x:c r="G873" s="23" t="n">
        <x:f>AVERAGE($F$944:$F$967)</x:f>
        <x:v>-2.7458230778907833</x:v>
      </x:c>
      <x:c r="H873" s="24" t="n">
        <x:f>F873-G873</x:f>
        <x:v>-0.43152495716389794</x:v>
      </x:c>
    </x:row>
    <x:row r="874">
      <x:c r="A874" s="2" t="str">
        <x:v>LiD3-Core</x:v>
      </x:c>
      <x:c r="B874" s="4" t="str">
        <x:v>LiCl</x:v>
      </x:c>
      <x:c r="C874" s="23" t="n">
        <x:v>1.184367</x:v>
      </x:c>
      <x:c r="D874" s="23" t="n">
        <x:v>-10.24944</x:v>
      </x:c>
      <x:c r="E874" s="23" t="n">
        <x:f>'Parameters'!$B$2*'Parameters'!$B$3*LN(4*PI()*C874^2)</x:f>
        <x:v>7.113221325356367</x:v>
      </x:c>
      <x:c r="F874" s="23" t="n">
        <x:f>D874+E874</x:f>
        <x:v>-3.136218674643633</x:v>
      </x:c>
      <x:c r="G874" s="23" t="n">
        <x:f>AVERAGE($F$944:$F$967)</x:f>
        <x:v>-2.7458230778907833</x:v>
      </x:c>
      <x:c r="H874" s="24" t="n">
        <x:f>F874-G874</x:f>
        <x:v>-0.3903955967528496</x:v>
      </x:c>
    </x:row>
    <x:row r="875">
      <x:c r="A875" s="2" t="str">
        <x:v>LiD3-Core</x:v>
      </x:c>
      <x:c r="B875" s="4" t="str">
        <x:v>LiCl</x:v>
      </x:c>
      <x:c r="C875" s="23" t="n">
        <x:v>1.196731</x:v>
      </x:c>
      <x:c r="D875" s="23" t="n">
        <x:v>-10.37448</x:v>
      </x:c>
      <x:c r="E875" s="23" t="n">
        <x:f>'Parameters'!$B$2*'Parameters'!$B$3*LN(4*PI()*C875^2)</x:f>
        <x:v>7.164710344600177</x:v>
      </x:c>
      <x:c r="F875" s="23" t="n">
        <x:f>D875+E875</x:f>
        <x:v>-3.209769655399823</x:v>
      </x:c>
      <x:c r="G875" s="23" t="n">
        <x:f>AVERAGE($F$944:$F$967)</x:f>
        <x:v>-2.7458230778907833</x:v>
      </x:c>
      <x:c r="H875" s="24" t="n">
        <x:f>F875-G875</x:f>
        <x:v>-0.46394657750903967</x:v>
      </x:c>
    </x:row>
    <x:row r="876">
      <x:c r="A876" s="2" t="str">
        <x:v>LiD3-Core</x:v>
      </x:c>
      <x:c r="B876" s="4" t="str">
        <x:v>LiCl</x:v>
      </x:c>
      <x:c r="C876" s="23" t="n">
        <x:v>1.209096</x:v>
      </x:c>
      <x:c r="D876" s="23" t="n">
        <x:v>-10.33198</x:v>
      </x:c>
      <x:c r="E876" s="23" t="n">
        <x:f>'Parameters'!$B$2*'Parameters'!$B$3*LN(4*PI()*C876^2)</x:f>
        <x:v>7.215674231154509</x:v>
      </x:c>
      <x:c r="F876" s="23" t="n">
        <x:f>D876+E876</x:f>
        <x:v>-3.116305768845491</x:v>
      </x:c>
      <x:c r="G876" s="23" t="n">
        <x:f>AVERAGE($F$944:$F$967)</x:f>
        <x:v>-2.7458230778907833</x:v>
      </x:c>
      <x:c r="H876" s="24" t="n">
        <x:f>F876-G876</x:f>
        <x:v>-0.37048269095470765</x:v>
      </x:c>
    </x:row>
    <x:row r="877">
      <x:c r="A877" s="2" t="str">
        <x:v>LiD3-Core</x:v>
      </x:c>
      <x:c r="B877" s="4" t="str">
        <x:v>LiCl</x:v>
      </x:c>
      <x:c r="C877" s="23" t="n">
        <x:v>1.22146</x:v>
      </x:c>
      <x:c r="D877" s="23" t="n">
        <x:v>-10.41725</x:v>
      </x:c>
      <x:c r="E877" s="23" t="n">
        <x:f>'Parameters'!$B$2*'Parameters'!$B$3*LN(4*PI()*C877^2)</x:f>
        <x:v>7.266115511402978</x:v>
      </x:c>
      <x:c r="F877" s="23" t="n">
        <x:f>D877+E877</x:f>
        <x:v>-3.1511344885970214</x:v>
      </x:c>
      <x:c r="G877" s="23" t="n">
        <x:f>AVERAGE($F$944:$F$967)</x:f>
        <x:v>-2.7458230778907833</x:v>
      </x:c>
      <x:c r="H877" s="24" t="n">
        <x:f>F877-G877</x:f>
        <x:v>-0.4053114107062381</x:v>
      </x:c>
    </x:row>
    <x:row r="878">
      <x:c r="A878" s="2" t="str">
        <x:v>LiD3-Core</x:v>
      </x:c>
      <x:c r="B878" s="4" t="str">
        <x:v>LiCl</x:v>
      </x:c>
      <x:c r="C878" s="23" t="n">
        <x:v>1.233824</x:v>
      </x:c>
      <x:c r="D878" s="23" t="n">
        <x:v>-10.57792</x:v>
      </x:c>
      <x:c r="E878" s="23" t="n">
        <x:f>'Parameters'!$B$2*'Parameters'!$B$3*LN(4*PI()*C878^2)</x:f>
        <x:v>7.316048771735249</x:v>
      </x:c>
      <x:c r="F878" s="23" t="n">
        <x:f>D878+E878</x:f>
        <x:v>-3.2618712282647513</x:v>
      </x:c>
      <x:c r="G878" s="23" t="n">
        <x:f>AVERAGE($F$944:$F$967)</x:f>
        <x:v>-2.7458230778907833</x:v>
      </x:c>
      <x:c r="H878" s="24" t="n">
        <x:f>F878-G878</x:f>
        <x:v>-0.516048150373968</x:v>
      </x:c>
    </x:row>
    <x:row r="879">
      <x:c r="A879" s="2" t="str">
        <x:v>LiD3-Core</x:v>
      </x:c>
      <x:c r="B879" s="4" t="str">
        <x:v>LiCl</x:v>
      </x:c>
      <x:c r="C879" s="23" t="n">
        <x:v>1.246188</x:v>
      </x:c>
      <x:c r="D879" s="23" t="n">
        <x:v>-10.60441</x:v>
      </x:c>
      <x:c r="E879" s="23" t="n">
        <x:f>'Parameters'!$B$2*'Parameters'!$B$3*LN(4*PI()*C879^2)</x:f>
        <x:v>7.365484143257059</x:v>
      </x:c>
      <x:c r="F879" s="23" t="n">
        <x:f>D879+E879</x:f>
        <x:v>-3.2389258567429406</x:v>
      </x:c>
      <x:c r="G879" s="23" t="n">
        <x:f>AVERAGE($F$944:$F$967)</x:f>
        <x:v>-2.7458230778907833</x:v>
      </x:c>
      <x:c r="H879" s="24" t="n">
        <x:f>F879-G879</x:f>
        <x:v>-0.49310277885215736</x:v>
      </x:c>
    </x:row>
    <x:row r="880">
      <x:c r="A880" s="2" t="str">
        <x:v>LiD3-Core</x:v>
      </x:c>
      <x:c r="B880" s="4" t="str">
        <x:v>LiCl</x:v>
      </x:c>
      <x:c r="C880" s="23" t="n">
        <x:v>1.258553</x:v>
      </x:c>
      <x:c r="D880" s="23" t="n">
        <x:v>-10.72228</x:v>
      </x:c>
      <x:c r="E880" s="23" t="n">
        <x:f>'Parameters'!$B$2*'Parameters'!$B$3*LN(4*PI()*C880^2)</x:f>
        <x:v>7.4144353963847935</x:v>
      </x:c>
      <x:c r="F880" s="23" t="n">
        <x:f>D880+E880</x:f>
        <x:v>-3.307844603615206</x:v>
      </x:c>
      <x:c r="G880" s="23" t="n">
        <x:f>AVERAGE($F$944:$F$967)</x:f>
        <x:v>-2.7458230778907833</x:v>
      </x:c>
      <x:c r="H880" s="24" t="n">
        <x:f>F880-G880</x:f>
        <x:v>-0.5620215257244228</x:v>
      </x:c>
    </x:row>
    <x:row r="881">
      <x:c r="A881" s="2" t="str">
        <x:v>LiD3-Core</x:v>
      </x:c>
      <x:c r="B881" s="4" t="str">
        <x:v>LiCl</x:v>
      </x:c>
      <x:c r="C881" s="23" t="n">
        <x:v>1.270917</x:v>
      </x:c>
      <x:c r="D881" s="23" t="n">
        <x:v>-10.62291</x:v>
      </x:c>
      <x:c r="E881" s="23" t="n">
        <x:f>'Parameters'!$B$2*'Parameters'!$B$3*LN(4*PI()*C881^2)</x:f>
        <x:v>7.462904156743789</x:v>
      </x:c>
      <x:c r="F881" s="23" t="n">
        <x:f>D881+E881</x:f>
        <x:v>-3.1600058432562106</x:v>
      </x:c>
      <x:c r="G881" s="23" t="n">
        <x:f>AVERAGE($F$944:$F$967)</x:f>
        <x:v>-2.7458230778907833</x:v>
      </x:c>
      <x:c r="H881" s="24" t="n">
        <x:f>F881-G881</x:f>
        <x:v>-0.4141827653654273</x:v>
      </x:c>
    </x:row>
    <x:row r="882">
      <x:c r="A882" s="2" t="str">
        <x:v>LiD3-Core</x:v>
      </x:c>
      <x:c r="B882" s="4" t="str">
        <x:v>LiCl</x:v>
      </x:c>
      <x:c r="C882" s="23" t="n">
        <x:v>1.283281</x:v>
      </x:c>
      <x:c r="D882" s="23" t="n">
        <x:v>-10.87998</x:v>
      </x:c>
      <x:c r="E882" s="23" t="n">
        <x:f>'Parameters'!$B$2*'Parameters'!$B$3*LN(4*PI()*C882^2)</x:f>
        <x:v>7.510903668312843</x:v>
      </x:c>
      <x:c r="F882" s="23" t="n">
        <x:f>D882+E882</x:f>
        <x:v>-3.3690763316871566</x:v>
      </x:c>
      <x:c r="G882" s="23" t="n">
        <x:f>AVERAGE($F$944:$F$967)</x:f>
        <x:v>-2.7458230778907833</x:v>
      </x:c>
      <x:c r="H882" s="24" t="n">
        <x:f>F882-G882</x:f>
        <x:v>-0.6232532537963733</x:v>
      </x:c>
    </x:row>
    <x:row r="883">
      <x:c r="A883" s="2" t="str">
        <x:v>LiD3-Core</x:v>
      </x:c>
      <x:c r="B883" s="4" t="str">
        <x:v>LiCl</x:v>
      </x:c>
      <x:c r="C883" s="23" t="n">
        <x:v>1.295645</x:v>
      </x:c>
      <x:c r="D883" s="23" t="n">
        <x:v>-11.03628</x:v>
      </x:c>
      <x:c r="E883" s="23" t="n">
        <x:f>'Parameters'!$B$2*'Parameters'!$B$3*LN(4*PI()*C883^2)</x:f>
        <x:v>7.5584429300732365</x:v>
      </x:c>
      <x:c r="F883" s="23" t="n">
        <x:f>D883+E883</x:f>
        <x:v>-3.477837069926763</x:v>
      </x:c>
      <x:c r="G883" s="23" t="n">
        <x:f>AVERAGE($F$944:$F$967)</x:f>
        <x:v>-2.7458230778907833</x:v>
      </x:c>
      <x:c r="H883" s="24" t="n">
        <x:f>F883-G883</x:f>
        <x:v>-0.7320139920359798</x:v>
      </x:c>
    </x:row>
    <x:row r="884">
      <x:c r="A884" s="2" t="str">
        <x:v>LiD3-Core</x:v>
      </x:c>
      <x:c r="B884" s="4" t="str">
        <x:v>LiCl</x:v>
      </x:c>
      <x:c r="C884" s="23" t="n">
        <x:v>1.30801</x:v>
      </x:c>
      <x:c r="D884" s="23" t="n">
        <x:v>-10.94707</x:v>
      </x:c>
      <x:c r="E884" s="23" t="n">
        <x:f>'Parameters'!$B$2*'Parameters'!$B$3*LN(4*PI()*C884^2)</x:f>
        <x:v>7.605534475023699</x:v>
      </x:c>
      <x:c r="F884" s="23" t="n">
        <x:f>D884+E884</x:f>
        <x:v>-3.341535524976301</x:v>
      </x:c>
      <x:c r="G884" s="23" t="n">
        <x:f>AVERAGE($F$944:$F$967)</x:f>
        <x:v>-2.7458230778907833</x:v>
      </x:c>
      <x:c r="H884" s="24" t="n">
        <x:f>F884-G884</x:f>
        <x:v>-0.5957124470855177</x:v>
      </x:c>
    </x:row>
    <x:row r="885">
      <x:c r="A885" s="2" t="str">
        <x:v>LiD3-Core</x:v>
      </x:c>
      <x:c r="B885" s="4" t="str">
        <x:v>LiCl</x:v>
      </x:c>
      <x:c r="C885" s="23" t="n">
        <x:v>1.320374</x:v>
      </x:c>
      <x:c r="D885" s="23" t="n">
        <x:v>-11.01426</x:v>
      </x:c>
      <x:c r="E885" s="23" t="n">
        <x:f>'Parameters'!$B$2*'Parameters'!$B$3*LN(4*PI()*C885^2)</x:f>
        <x:v>7.652179182629857</x:v>
      </x:c>
      <x:c r="F885" s="23" t="n">
        <x:f>D885+E885</x:f>
        <x:v>-3.362080817370143</x:v>
      </x:c>
      <x:c r="G885" s="23" t="n">
        <x:f>AVERAGE($F$944:$F$967)</x:f>
        <x:v>-2.7458230778907833</x:v>
      </x:c>
      <x:c r="H885" s="24" t="n">
        <x:f>F885-G885</x:f>
        <x:v>-0.6162577394793596</x:v>
      </x:c>
    </x:row>
    <x:row r="886">
      <x:c r="A886" s="2" t="str">
        <x:v>LiD3-Core</x:v>
      </x:c>
      <x:c r="B886" s="4" t="str">
        <x:v>LiCl</x:v>
      </x:c>
      <x:c r="C886" s="23" t="n">
        <x:v>1.332738</x:v>
      </x:c>
      <x:c r="D886" s="23" t="n">
        <x:v>-11.09642</x:v>
      </x:c>
      <x:c r="E886" s="23" t="n">
        <x:f>'Parameters'!$B$2*'Parameters'!$B$3*LN(4*PI()*C886^2)</x:f>
        <x:v>7.698389137723422</x:v>
      </x:c>
      <x:c r="F886" s="23" t="n">
        <x:f>D886+E886</x:f>
        <x:v>-3.3980308622765785</x:v>
      </x:c>
      <x:c r="G886" s="23" t="n">
        <x:f>AVERAGE($F$944:$F$967)</x:f>
        <x:v>-2.7458230778907833</x:v>
      </x:c>
      <x:c r="H886" s="24" t="n">
        <x:f>F886-G886</x:f>
        <x:v>-0.6522077843857952</x:v>
      </x:c>
    </x:row>
    <x:row r="887">
      <x:c r="A887" s="2" t="str">
        <x:v>LiD3-Core</x:v>
      </x:c>
      <x:c r="B887" s="4" t="str">
        <x:v>LiCl</x:v>
      </x:c>
      <x:c r="C887" s="23" t="n">
        <x:v>1.345103</x:v>
      </x:c>
      <x:c r="D887" s="23" t="n">
        <x:v>-11.12951</x:v>
      </x:c>
      <x:c r="E887" s="23" t="n">
        <x:f>'Parameters'!$B$2*'Parameters'!$B$3*LN(4*PI()*C887^2)</x:f>
        <x:v>7.744176055655157</x:v>
      </x:c>
      <x:c r="F887" s="23" t="n">
        <x:f>D887+E887</x:f>
        <x:v>-3.3853339443448425</x:v>
      </x:c>
      <x:c r="G887" s="23" t="n">
        <x:f>AVERAGE($F$944:$F$967)</x:f>
        <x:v>-2.7458230778907833</x:v>
      </x:c>
      <x:c r="H887" s="24" t="n">
        <x:f>F887-G887</x:f>
        <x:v>-0.6395108664540592</x:v>
      </x:c>
    </x:row>
    <x:row r="888">
      <x:c r="A888" s="2" t="str">
        <x:v>LiD3-Core</x:v>
      </x:c>
      <x:c r="B888" s="4" t="str">
        <x:v>LiCl</x:v>
      </x:c>
      <x:c r="C888" s="23" t="n">
        <x:v>1.357467</x:v>
      </x:c>
      <x:c r="D888" s="23" t="n">
        <x:v>-11.08138</x:v>
      </x:c>
      <x:c r="E888" s="23" t="n">
        <x:f>'Parameters'!$B$2*'Parameters'!$B$3*LN(4*PI()*C888^2)</x:f>
        <x:v>7.7895403400922225</x:v>
      </x:c>
      <x:c r="F888" s="23" t="n">
        <x:f>D888+E888</x:f>
        <x:v>-3.291839659907777</x:v>
      </x:c>
      <x:c r="G888" s="23" t="n">
        <x:f>AVERAGE($F$944:$F$967)</x:f>
        <x:v>-2.7458230778907833</x:v>
      </x:c>
      <x:c r="H888" s="24" t="n">
        <x:f>F888-G888</x:f>
        <x:v>-0.5460165820169935</x:v>
      </x:c>
    </x:row>
    <x:row r="889">
      <x:c r="A889" s="2" t="str">
        <x:v>LiD3-Core</x:v>
      </x:c>
      <x:c r="B889" s="4" t="str">
        <x:v>LiCl</x:v>
      </x:c>
      <x:c r="C889" s="23" t="n">
        <x:v>1.369831</x:v>
      </x:c>
      <x:c r="D889" s="23" t="n">
        <x:v>-11.1106</x:v>
      </x:c>
      <x:c r="E889" s="23" t="n">
        <x:f>'Parameters'!$B$2*'Parameters'!$B$3*LN(4*PI()*C889^2)</x:f>
        <x:v>7.834493307736688</x:v>
      </x:c>
      <x:c r="F889" s="23" t="n">
        <x:f>D889+E889</x:f>
        <x:v>-3.276106692263312</x:v>
      </x:c>
      <x:c r="G889" s="23" t="n">
        <x:f>AVERAGE($F$944:$F$967)</x:f>
        <x:v>-2.7458230778907833</x:v>
      </x:c>
      <x:c r="H889" s="24" t="n">
        <x:f>F889-G889</x:f>
        <x:v>-0.5302836143725287</x:v>
      </x:c>
    </x:row>
    <x:row r="890">
      <x:c r="A890" s="2" t="str">
        <x:v>LiD3-Core</x:v>
      </x:c>
      <x:c r="B890" s="4" t="str">
        <x:v>LiCl</x:v>
      </x:c>
      <x:c r="C890" s="23" t="n">
        <x:v>1.382195</x:v>
      </x:c>
      <x:c r="D890" s="23" t="n">
        <x:v>-10.98836</x:v>
      </x:c>
      <x:c r="E890" s="23" t="n">
        <x:f>'Parameters'!$B$2*'Parameters'!$B$3*LN(4*PI()*C890^2)</x:f>
        <x:v>7.879042350414663</x:v>
      </x:c>
      <x:c r="F890" s="23" t="n">
        <x:f>D890+E890</x:f>
        <x:v>-3.1093176495853374</x:v>
      </x:c>
      <x:c r="G890" s="23" t="n">
        <x:f>AVERAGE($F$944:$F$967)</x:f>
        <x:v>-2.7458230778907833</x:v>
      </x:c>
      <x:c r="H890" s="24" t="n">
        <x:f>F890-G890</x:f>
        <x:v>-0.3634945716945541</x:v>
      </x:c>
    </x:row>
    <x:row r="891">
      <x:c r="A891" s="2" t="str">
        <x:v>LiD3-Core</x:v>
      </x:c>
      <x:c r="B891" s="4" t="str">
        <x:v>LiCl</x:v>
      </x:c>
      <x:c r="C891" s="23" t="n">
        <x:v>1.39456</x:v>
      </x:c>
      <x:c r="D891" s="23" t="n">
        <x:v>-11.26066</x:v>
      </x:c>
      <x:c r="E891" s="23" t="n">
        <x:f>'Parameters'!$B$2*'Parameters'!$B$3*LN(4*PI()*C891^2)</x:f>
        <x:v>7.923198217649176</x:v>
      </x:c>
      <x:c r="F891" s="23" t="n">
        <x:f>D891+E891</x:f>
        <x:v>-3.3374617823508235</x:v>
      </x:c>
      <x:c r="G891" s="23" t="n">
        <x:f>AVERAGE($F$944:$F$967)</x:f>
        <x:v>-2.7458230778907833</x:v>
      </x:c>
      <x:c r="H891" s="24" t="n">
        <x:f>F891-G891</x:f>
        <x:v>-0.5916387044600402</x:v>
      </x:c>
    </x:row>
    <x:row r="892">
      <x:c r="A892" s="2" t="str">
        <x:v>LiD3-Core</x:v>
      </x:c>
      <x:c r="B892" s="4" t="str">
        <x:v>LiCl</x:v>
      </x:c>
      <x:c r="C892" s="23" t="n">
        <x:v>1.406924</x:v>
      </x:c>
      <x:c r="D892" s="23" t="n">
        <x:v>-11.32758</x:v>
      </x:c>
      <x:c r="E892" s="23" t="n">
        <x:f>'Parameters'!$B$2*'Parameters'!$B$3*LN(4*PI()*C892^2)</x:f>
        <x:v>7.9669607716587025</x:v>
      </x:c>
      <x:c r="F892" s="23" t="n">
        <x:f>D892+E892</x:f>
        <x:v>-3.360619228341297</x:v>
      </x:c>
      <x:c r="G892" s="23" t="n">
        <x:f>AVERAGE($F$944:$F$967)</x:f>
        <x:v>-2.7458230778907833</x:v>
      </x:c>
      <x:c r="H892" s="24" t="n">
        <x:f>F892-G892</x:f>
        <x:v>-0.6147961504505135</x:v>
      </x:c>
    </x:row>
    <x:row r="893">
      <x:c r="A893" s="2" t="str">
        <x:v>LiD3-Core</x:v>
      </x:c>
      <x:c r="B893" s="4" t="str">
        <x:v>LiCl</x:v>
      </x:c>
      <x:c r="C893" s="23" t="n">
        <x:v>1.419288</x:v>
      </x:c>
      <x:c r="D893" s="23" t="n">
        <x:v>-11.31162</x:v>
      </x:c>
      <x:c r="E893" s="23" t="n">
        <x:f>'Parameters'!$B$2*'Parameters'!$B$3*LN(4*PI()*C893^2)</x:f>
        <x:v>8.010340419395089</x:v>
      </x:c>
      <x:c r="F893" s="23" t="n">
        <x:f>D893+E893</x:f>
        <x:v>-3.301279580604911</x:v>
      </x:c>
      <x:c r="G893" s="23" t="n">
        <x:f>AVERAGE($F$944:$F$967)</x:f>
        <x:v>-2.7458230778907833</x:v>
      </x:c>
      <x:c r="H893" s="24" t="n">
        <x:f>F893-G893</x:f>
        <x:v>-0.5554565027141276</x:v>
      </x:c>
    </x:row>
    <x:row r="894">
      <x:c r="A894" s="2" t="str">
        <x:v>LiD3-Core</x:v>
      </x:c>
      <x:c r="B894" s="4" t="str">
        <x:v>LiCl</x:v>
      </x:c>
      <x:c r="C894" s="23" t="n">
        <x:v>1.431652</x:v>
      </x:c>
      <x:c r="D894" s="23" t="n">
        <x:v>-11.20726</x:v>
      </x:c>
      <x:c r="E894" s="23" t="n">
        <x:f>'Parameters'!$B$2*'Parameters'!$B$3*LN(4*PI()*C894^2)</x:f>
        <x:v>8.05334380335939</x:v>
      </x:c>
      <x:c r="F894" s="23" t="n">
        <x:f>D894+E894</x:f>
        <x:v>-3.15391619664061</x:v>
      </x:c>
      <x:c r="G894" s="23" t="n">
        <x:f>AVERAGE($F$944:$F$967)</x:f>
        <x:v>-2.7458230778907833</x:v>
      </x:c>
      <x:c r="H894" s="24" t="n">
        <x:f>F894-G894</x:f>
        <x:v>-0.4080931187498269</x:v>
      </x:c>
    </x:row>
    <x:row r="895">
      <x:c r="A895" s="2" t="str">
        <x:v>LiD3-Core</x:v>
      </x:c>
      <x:c r="B895" s="4" t="str">
        <x:v>LiCl</x:v>
      </x:c>
      <x:c r="C895" s="23" t="n">
        <x:v>1.444017</x:v>
      </x:c>
      <x:c r="D895" s="23" t="n">
        <x:v>-11.27451</x:v>
      </x:c>
      <x:c r="E895" s="23" t="n">
        <x:f>'Parameters'!$B$2*'Parameters'!$B$3*LN(4*PI()*C895^2)</x:f>
        <x:v>8.095980828110129</x:v>
      </x:c>
      <x:c r="F895" s="23" t="n">
        <x:f>D895+E895</x:f>
        <x:v>-3.1785291718898705</x:v>
      </x:c>
      <x:c r="G895" s="23" t="n">
        <x:f>AVERAGE($F$944:$F$967)</x:f>
        <x:v>-2.7458230778907833</x:v>
      </x:c>
      <x:c r="H895" s="24" t="n">
        <x:f>F895-G895</x:f>
        <x:v>-0.4327060939990872</x:v>
      </x:c>
    </x:row>
    <x:row r="896">
      <x:c r="A896" s="2" t="str">
        <x:v>LiD3-Core</x:v>
      </x:c>
      <x:c r="B896" s="4" t="str">
        <x:v>LiCl</x:v>
      </x:c>
      <x:c r="C896" s="23" t="n">
        <x:v>1.456381</x:v>
      </x:c>
      <x:c r="D896" s="23" t="n">
        <x:v>-11.28683</x:v>
      </x:c>
      <x:c r="E896" s="23" t="n">
        <x:f>'Parameters'!$B$2*'Parameters'!$B$3*LN(4*PI()*C896^2)</x:f>
        <x:v>8.138250903282245</x:v>
      </x:c>
      <x:c r="F896" s="23" t="n">
        <x:f>D896+E896</x:f>
        <x:v>-3.1485790967177554</x:v>
      </x:c>
      <x:c r="G896" s="23" t="n">
        <x:f>AVERAGE($F$944:$F$967)</x:f>
        <x:v>-2.7458230778907833</x:v>
      </x:c>
      <x:c r="H896" s="24" t="n">
        <x:f>F896-G896</x:f>
        <x:v>-0.4027560188269721</x:v>
      </x:c>
    </x:row>
    <x:row r="897">
      <x:c r="A897" s="2" t="str">
        <x:v>LiD3-Core</x:v>
      </x:c>
      <x:c r="B897" s="4" t="str">
        <x:v>LiCl</x:v>
      </x:c>
      <x:c r="C897" s="23" t="n">
        <x:v>1.468745</x:v>
      </x:c>
      <x:c r="D897" s="23" t="n">
        <x:v>-11.24158</x:v>
      </x:c>
      <x:c r="E897" s="23" t="n">
        <x:f>'Parameters'!$B$2*'Parameters'!$B$3*LN(4*PI()*C897^2)</x:f>
        <x:v>8.180163637634907</x:v>
      </x:c>
      <x:c r="F897" s="23" t="n">
        <x:f>D897+E897</x:f>
        <x:v>-3.061416362365094</x:v>
      </x:c>
      <x:c r="G897" s="23" t="n">
        <x:f>AVERAGE($F$944:$F$967)</x:f>
        <x:v>-2.7458230778907833</x:v>
      </x:c>
      <x:c r="H897" s="24" t="n">
        <x:f>F897-G897</x:f>
        <x:v>-0.31559328447431056</x:v>
      </x:c>
    </x:row>
    <x:row r="898">
      <x:c r="A898" s="2" t="str">
        <x:v>LiD3-Core</x:v>
      </x:c>
      <x:c r="B898" s="4" t="str">
        <x:v>LiCl</x:v>
      </x:c>
      <x:c r="C898" s="23" t="n">
        <x:v>1.48111</x:v>
      </x:c>
      <x:c r="D898" s="23" t="n">
        <x:v>-11.25256</x:v>
      </x:c>
      <x:c r="E898" s="23" t="n">
        <x:f>'Parameters'!$B$2*'Parameters'!$B$3*LN(4*PI()*C898^2)</x:f>
        <x:v>8.221728369731245</x:v>
      </x:c>
      <x:c r="F898" s="23" t="n">
        <x:f>D898+E898</x:f>
        <x:v>-3.0308316302687555</x:v>
      </x:c>
      <x:c r="G898" s="23" t="n">
        <x:f>AVERAGE($F$944:$F$967)</x:f>
        <x:v>-2.7458230778907833</x:v>
      </x:c>
      <x:c r="H898" s="24" t="n">
        <x:f>F898-G898</x:f>
        <x:v>-0.2850085523779722</x:v>
      </x:c>
    </x:row>
    <x:row r="899">
      <x:c r="A899" s="2" t="str">
        <x:v>LiD3-Core</x:v>
      </x:c>
      <x:c r="B899" s="4" t="str">
        <x:v>LiCl</x:v>
      </x:c>
      <x:c r="C899" s="23" t="n">
        <x:v>1.493474</x:v>
      </x:c>
      <x:c r="D899" s="23" t="n">
        <x:v>-11.29305</x:v>
      </x:c>
      <x:c r="E899" s="23" t="n">
        <x:f>'Parameters'!$B$2*'Parameters'!$B$3*LN(4*PI()*C899^2)</x:f>
        <x:v>8.262944218706469</x:v>
      </x:c>
      <x:c r="F899" s="23" t="n">
        <x:f>D899+E899</x:f>
        <x:v>-3.03010578129353</x:v>
      </x:c>
      <x:c r="G899" s="23" t="n">
        <x:f>AVERAGE($F$944:$F$967)</x:f>
        <x:v>-2.7458230778907833</x:v>
      </x:c>
      <x:c r="H899" s="24" t="n">
        <x:f>F899-G899</x:f>
        <x:v>-0.28428270340274686</x:v>
      </x:c>
    </x:row>
    <x:row r="900">
      <x:c r="A900" s="2" t="str">
        <x:v>LiD3-Core</x:v>
      </x:c>
      <x:c r="B900" s="4" t="str">
        <x:v>LiCl</x:v>
      </x:c>
      <x:c r="C900" s="23" t="n">
        <x:v>1.505838</x:v>
      </x:c>
      <x:c r="D900" s="23" t="n">
        <x:v>-11.24915</x:v>
      </x:c>
      <x:c r="E900" s="23" t="n">
        <x:f>'Parameters'!$B$2*'Parameters'!$B$3*LN(4*PI()*C900^2)</x:f>
        <x:v>8.303820257382613</x:v>
      </x:c>
      <x:c r="F900" s="23" t="n">
        <x:f>D900+E900</x:f>
        <x:v>-2.9453297426173872</x:v>
      </x:c>
      <x:c r="G900" s="23" t="n">
        <x:f>AVERAGE($F$944:$F$967)</x:f>
        <x:v>-2.7458230778907833</x:v>
      </x:c>
      <x:c r="H900" s="24" t="n">
        <x:f>F900-G900</x:f>
        <x:v>-0.19950666472660394</x:v>
      </x:c>
    </x:row>
    <x:row r="901">
      <x:c r="A901" s="2" t="str">
        <x:v>LiD3-Core</x:v>
      </x:c>
      <x:c r="B901" s="4" t="str">
        <x:v>LiCl</x:v>
      </x:c>
      <x:c r="C901" s="23" t="n">
        <x:v>1.518202</x:v>
      </x:c>
      <x:c r="D901" s="23" t="n">
        <x:v>-11.31914</x:v>
      </x:c>
      <x:c r="E901" s="23" t="n">
        <x:f>'Parameters'!$B$2*'Parameters'!$B$3*LN(4*PI()*C901^2)</x:f>
        <x:v>8.344362043206472</x:v>
      </x:c>
      <x:c r="F901" s="23" t="n">
        <x:f>D901+E901</x:f>
        <x:v>-2.9747779567935293</x:v>
      </x:c>
      <x:c r="G901" s="23" t="n">
        <x:f>AVERAGE($F$944:$F$967)</x:f>
        <x:v>-2.7458230778907833</x:v>
      </x:c>
      <x:c r="H901" s="24" t="n">
        <x:f>F901-G901</x:f>
        <x:v>-0.22895487890274602</x:v>
      </x:c>
    </x:row>
    <x:row r="902">
      <x:c r="A902" s="2" t="str">
        <x:v>LiD3-Core</x:v>
      </x:c>
      <x:c r="B902" s="4" t="str">
        <x:v>LiCl</x:v>
      </x:c>
      <x:c r="C902" s="23" t="n">
        <x:v>1.530567</x:v>
      </x:c>
      <x:c r="D902" s="23" t="n">
        <x:v>-11.28104</x:v>
      </x:c>
      <x:c r="E902" s="23" t="n">
        <x:f>'Parameters'!$B$2*'Parameters'!$B$3*LN(4*PI()*C902^2)</x:f>
        <x:v>8.384578237662868</x:v>
      </x:c>
      <x:c r="F902" s="23" t="n">
        <x:f>D902+E902</x:f>
        <x:v>-2.8964617623371325</x:v>
      </x:c>
      <x:c r="G902" s="23" t="n">
        <x:f>AVERAGE($F$944:$F$967)</x:f>
        <x:v>-2.7458230778907833</x:v>
      </x:c>
      <x:c r="H902" s="24" t="n">
        <x:f>F902-G902</x:f>
        <x:v>-0.1506386844463492</x:v>
      </x:c>
    </x:row>
    <x:row r="903">
      <x:c r="A903" s="2" t="str">
        <x:v>LiD3-Core</x:v>
      </x:c>
      <x:c r="B903" s="4" t="str">
        <x:v>LiCl</x:v>
      </x:c>
      <x:c r="C903" s="23" t="n">
        <x:v>1.542931</x:v>
      </x:c>
      <x:c r="D903" s="23" t="n">
        <x:v>-11.38705</x:v>
      </x:c>
      <x:c r="E903" s="23" t="n">
        <x:f>'Parameters'!$B$2*'Parameters'!$B$3*LN(4*PI()*C903^2)</x:f>
        <x:v>8.42446762760013</x:v>
      </x:c>
      <x:c r="F903" s="23" t="n">
        <x:f>D903+E903</x:f>
        <x:v>-2.9625823723998703</x:v>
      </x:c>
      <x:c r="G903" s="23" t="n">
        <x:f>AVERAGE($F$944:$F$967)</x:f>
        <x:v>-2.7458230778907833</x:v>
      </x:c>
      <x:c r="H903" s="24" t="n">
        <x:f>F903-G903</x:f>
        <x:v>-0.21675929450908704</x:v>
      </x:c>
    </x:row>
    <x:row r="904">
      <x:c r="A904" s="2" t="str">
        <x:v>LiD3-Core</x:v>
      </x:c>
      <x:c r="B904" s="4" t="str">
        <x:v>LiCl</x:v>
      </x:c>
      <x:c r="C904" s="23" t="n">
        <x:v>1.555295</x:v>
      </x:c>
      <x:c r="D904" s="23" t="n">
        <x:v>-11.3047</x:v>
      </x:c>
      <x:c r="E904" s="23" t="n">
        <x:f>'Parameters'!$B$2*'Parameters'!$B$3*LN(4*PI()*C904^2)</x:f>
        <x:v>8.464038643297082</x:v>
      </x:c>
      <x:c r="F904" s="23" t="n">
        <x:f>D904+E904</x:f>
        <x:v>-2.8406613567029186</x:v>
      </x:c>
      <x:c r="G904" s="23" t="n">
        <x:f>AVERAGE($F$944:$F$967)</x:f>
        <x:v>-2.7458230778907833</x:v>
      </x:c>
      <x:c r="H904" s="24" t="n">
        <x:f>F904-G904</x:f>
        <x:v>-0.09483827881213536</x:v>
      </x:c>
    </x:row>
    <x:row r="905">
      <x:c r="A905" s="2" t="str">
        <x:v>LiD3-Core</x:v>
      </x:c>
      <x:c r="B905" s="4" t="str">
        <x:v>LiCl</x:v>
      </x:c>
      <x:c r="C905" s="23" t="n">
        <x:v>1.567659</x:v>
      </x:c>
      <x:c r="D905" s="23" t="n">
        <x:v>-11.18043</x:v>
      </x:c>
      <x:c r="E905" s="23" t="n">
        <x:f>'Parameters'!$B$2*'Parameters'!$B$3*LN(4*PI()*C905^2)</x:f>
        <x:v>8.503296326699655</x:v>
      </x:c>
      <x:c r="F905" s="23" t="n">
        <x:f>D905+E905</x:f>
        <x:v>-2.677133673300345</x:v>
      </x:c>
      <x:c r="G905" s="23" t="n">
        <x:f>AVERAGE($F$944:$F$967)</x:f>
        <x:v>-2.7458230778907833</x:v>
      </x:c>
      <x:c r="H905" s="24" t="n">
        <x:f>F905-G905</x:f>
        <x:v>0.06868940459043849</x:v>
      </x:c>
    </x:row>
    <x:row r="906">
      <x:c r="A906" s="2" t="str">
        <x:v>LiD3-Core</x:v>
      </x:c>
      <x:c r="B906" s="4" t="str">
        <x:v>LiCl</x:v>
      </x:c>
      <x:c r="C906" s="23" t="n">
        <x:v>1.580024</x:v>
      </x:c>
      <x:c r="D906" s="23" t="n">
        <x:v>-11.54964</x:v>
      </x:c>
      <x:c r="E906" s="23" t="n">
        <x:f>'Parameters'!$B$2*'Parameters'!$B$3*LN(4*PI()*C906^2)</x:f>
        <x:v>8.542248738797255</x:v>
      </x:c>
      <x:c r="F906" s="23" t="n">
        <x:f>D906+E906</x:f>
        <x:v>-3.007391261202745</x:v>
      </x:c>
      <x:c r="G906" s="23" t="n">
        <x:f>AVERAGE($F$944:$F$967)</x:f>
        <x:v>-2.7458230778907833</x:v>
      </x:c>
      <x:c r="H906" s="24" t="n">
        <x:f>F906-G906</x:f>
        <x:v>-0.26156818331196163</x:v>
      </x:c>
    </x:row>
    <x:row r="907">
      <x:c r="A907" s="2" t="str">
        <x:v>LiD3-Core</x:v>
      </x:c>
      <x:c r="B907" s="4" t="str">
        <x:v>LiCl</x:v>
      </x:c>
      <x:c r="C907" s="23" t="n">
        <x:v>1.592388</x:v>
      </x:c>
      <x:c r="D907" s="23" t="n">
        <x:v>-11.46763</x:v>
      </x:c>
      <x:c r="E907" s="23" t="n">
        <x:f>'Parameters'!$B$2*'Parameters'!$B$3*LN(4*PI()*C907^2)</x:f>
        <x:v>8.58089438746953</x:v>
      </x:c>
      <x:c r="F907" s="23" t="n">
        <x:f>D907+E907</x:f>
        <x:v>-2.8867356125304706</x:v>
      </x:c>
      <x:c r="G907" s="23" t="n">
        <x:f>AVERAGE($F$944:$F$967)</x:f>
        <x:v>-2.7458230778907833</x:v>
      </x:c>
      <x:c r="H907" s="24" t="n">
        <x:f>F907-G907</x:f>
        <x:v>-0.14091253463968734</x:v>
      </x:c>
    </x:row>
    <x:row r="908">
      <x:c r="A908" s="2" t="str">
        <x:v>LiD3-Core</x:v>
      </x:c>
      <x:c r="B908" s="4" t="str">
        <x:v>LiCl</x:v>
      </x:c>
      <x:c r="C908" s="23" t="n">
        <x:v>1.604752</x:v>
      </x:c>
      <x:c r="D908" s="23" t="n">
        <x:v>-11.45215</x:v>
      </x:c>
      <x:c r="E908" s="23" t="n">
        <x:f>'Parameters'!$B$2*'Parameters'!$B$3*LN(4*PI()*C908^2)</x:f>
        <x:v>8.61924113175681</x:v>
      </x:c>
      <x:c r="F908" s="23" t="n">
        <x:f>D908+E908</x:f>
        <x:v>-2.832908868243189</x:v>
      </x:c>
      <x:c r="G908" s="23" t="n">
        <x:f>AVERAGE($F$944:$F$967)</x:f>
        <x:v>-2.7458230778907833</x:v>
      </x:c>
      <x:c r="H908" s="24" t="n">
        <x:f>F908-G908</x:f>
        <x:v>-0.08708579035240582</x:v>
      </x:c>
    </x:row>
    <x:row r="909">
      <x:c r="A909" s="2" t="str">
        <x:v>LiD3-Core</x:v>
      </x:c>
      <x:c r="B909" s="4" t="str">
        <x:v>LiCl</x:v>
      </x:c>
      <x:c r="C909" s="23" t="n">
        <x:v>1.617117</x:v>
      </x:c>
      <x:c r="D909" s="23" t="n">
        <x:v>-11.44255</x:v>
      </x:c>
      <x:c r="E909" s="23" t="n">
        <x:f>'Parameters'!$B$2*'Parameters'!$B$3*LN(4*PI()*C909^2)</x:f>
        <x:v>8.657296625837654</x:v>
      </x:c>
      <x:c r="F909" s="23" t="n">
        <x:f>D909+E909</x:f>
        <x:v>-2.7852533741623464</x:v>
      </x:c>
      <x:c r="G909" s="23" t="n">
        <x:f>AVERAGE($F$944:$F$967)</x:f>
        <x:v>-2.7458230778907833</x:v>
      </x:c>
      <x:c r="H909" s="24" t="n">
        <x:f>F909-G909</x:f>
        <x:v>-0.03943029627156314</x:v>
      </x:c>
    </x:row>
    <x:row r="910">
      <x:c r="A910" s="2" t="str">
        <x:v>LiD3-Core</x:v>
      </x:c>
      <x:c r="B910" s="4" t="str">
        <x:v>LiCl</x:v>
      </x:c>
      <x:c r="C910" s="23" t="n">
        <x:v>1.629481</x:v>
      </x:c>
      <x:c r="D910" s="23" t="n">
        <x:v>-11.69579</x:v>
      </x:c>
      <x:c r="E910" s="23" t="n">
        <x:f>'Parameters'!$B$2*'Parameters'!$B$3*LN(4*PI()*C910^2)</x:f>
        <x:v>8.695059198090608</x:v>
      </x:c>
      <x:c r="F910" s="23" t="n">
        <x:f>D910+E910</x:f>
        <x:v>-3.000730801909393</x:v>
      </x:c>
      <x:c r="G910" s="23" t="n">
        <x:f>AVERAGE($F$944:$F$967)</x:f>
        <x:v>-2.7458230778907833</x:v>
      </x:c>
      <x:c r="H910" s="24" t="n">
        <x:f>F910-G910</x:f>
        <x:v>-0.2549077240186097</x:v>
      </x:c>
    </x:row>
    <x:row r="911">
      <x:c r="A911" s="2" t="str">
        <x:v>LiD3-Core</x:v>
      </x:c>
      <x:c r="B911" s="4" t="str">
        <x:v>LiCl</x:v>
      </x:c>
      <x:c r="C911" s="23" t="n">
        <x:v>1.641845</x:v>
      </x:c>
      <x:c r="D911" s="23" t="n">
        <x:v>-11.62288</x:v>
      </x:c>
      <x:c r="E911" s="23" t="n">
        <x:f>'Parameters'!$B$2*'Parameters'!$B$3*LN(4*PI()*C911^2)</x:f>
        <x:v>8.73253631979132</x:v>
      </x:c>
      <x:c r="F911" s="23" t="n">
        <x:f>D911+E911</x:f>
        <x:v>-2.89034368020868</x:v>
      </x:c>
      <x:c r="G911" s="23" t="n">
        <x:f>AVERAGE($F$944:$F$967)</x:f>
        <x:v>-2.7458230778907833</x:v>
      </x:c>
      <x:c r="H911" s="24" t="n">
        <x:f>F911-G911</x:f>
        <x:v>-0.14452060231789687</x:v>
      </x:c>
    </x:row>
    <x:row r="912">
      <x:c r="A912" s="2" t="str">
        <x:v>LiD3-Core</x:v>
      </x:c>
      <x:c r="B912" s="4" t="str">
        <x:v>LiCl</x:v>
      </x:c>
      <x:c r="C912" s="23" t="n">
        <x:v>1.654209</x:v>
      </x:c>
      <x:c r="D912" s="23" t="n">
        <x:v>-11.75219</x:v>
      </x:c>
      <x:c r="E912" s="23" t="n">
        <x:f>'Parameters'!$B$2*'Parameters'!$B$3*LN(4*PI()*C912^2)</x:f>
        <x:v>8.76973227407431</x:v>
      </x:c>
      <x:c r="F912" s="23" t="n">
        <x:f>D912+E912</x:f>
        <x:v>-2.9824577259256912</x:v>
      </x:c>
      <x:c r="G912" s="23" t="n">
        <x:f>AVERAGE($F$944:$F$967)</x:f>
        <x:v>-2.7458230778907833</x:v>
      </x:c>
      <x:c r="H912" s="24" t="n">
        <x:f>F912-G912</x:f>
        <x:v>-0.23663464803490797</x:v>
      </x:c>
    </x:row>
    <x:row r="913">
      <x:c r="A913" s="2" t="str">
        <x:v>LiD3-Core</x:v>
      </x:c>
      <x:c r="B913" s="4" t="str">
        <x:v>LiCl</x:v>
      </x:c>
      <x:c r="C913" s="23" t="n">
        <x:v>1.666574</x:v>
      </x:c>
      <x:c r="D913" s="23" t="n">
        <x:v>-11.75926</x:v>
      </x:c>
      <x:c r="E913" s="23" t="n">
        <x:f>'Parameters'!$B$2*'Parameters'!$B$3*LN(4*PI()*C913^2)</x:f>
        <x:v>8.806654223304745</x:v>
      </x:c>
      <x:c r="F913" s="23" t="n">
        <x:f>D913+E913</x:f>
        <x:v>-2.952605776695254</x:v>
      </x:c>
      <x:c r="G913" s="23" t="n">
        <x:f>AVERAGE($F$944:$F$967)</x:f>
        <x:v>-2.7458230778907833</x:v>
      </x:c>
      <x:c r="H913" s="24" t="n">
        <x:f>F913-G913</x:f>
        <x:v>-0.20678269880447075</x:v>
      </x:c>
    </x:row>
    <x:row r="914">
      <x:c r="A914" s="2" t="str">
        <x:v>LiD3-Core</x:v>
      </x:c>
      <x:c r="B914" s="4" t="str">
        <x:v>LiCl</x:v>
      </x:c>
      <x:c r="C914" s="23" t="n">
        <x:v>1.678938</x:v>
      </x:c>
      <x:c r="D914" s="23" t="n">
        <x:v>-11.78894</x:v>
      </x:c>
      <x:c r="E914" s="23" t="n">
        <x:f>'Parameters'!$B$2*'Parameters'!$B$3*LN(4*PI()*C914^2)</x:f>
        <x:v>8.84330029034072</x:v>
      </x:c>
      <x:c r="F914" s="23" t="n">
        <x:f>D914+E914</x:f>
        <x:v>-2.9456397096592806</x:v>
      </x:c>
      <x:c r="G914" s="23" t="n">
        <x:f>AVERAGE($F$944:$F$967)</x:f>
        <x:v>-2.7458230778907833</x:v>
      </x:c>
      <x:c r="H914" s="24" t="n">
        <x:f>F914-G914</x:f>
        <x:v>-0.1998166317684973</x:v>
      </x:c>
    </x:row>
    <x:row r="915">
      <x:c r="A915" s="2" t="str">
        <x:v>LiD3-Core</x:v>
      </x:c>
      <x:c r="B915" s="4" t="str">
        <x:v>LiCl</x:v>
      </x:c>
      <x:c r="C915" s="23" t="n">
        <x:v>1.691302</x:v>
      </x:c>
      <x:c r="D915" s="23" t="n">
        <x:v>-11.99627</x:v>
      </x:c>
      <x:c r="E915" s="23" t="n">
        <x:f>'Parameters'!$B$2*'Parameters'!$B$3*LN(4*PI()*C915^2)</x:f>
        <x:v>8.879677476790627</x:v>
      </x:c>
      <x:c r="F915" s="23" t="n">
        <x:f>D915+E915</x:f>
        <x:v>-3.1165925232093734</x:v>
      </x:c>
      <x:c r="G915" s="23" t="n">
        <x:f>AVERAGE($F$944:$F$967)</x:f>
        <x:v>-2.7458230778907833</x:v>
      </x:c>
      <x:c r="H915" s="24" t="n">
        <x:f>F915-G915</x:f>
        <x:v>-0.37076944531859013</x:v>
      </x:c>
    </x:row>
    <x:row r="916">
      <x:c r="A916" s="2" t="str">
        <x:v>LiD3-Core</x:v>
      </x:c>
      <x:c r="B916" s="4" t="str">
        <x:v>LiCl</x:v>
      </x:c>
      <x:c r="C916" s="23" t="n">
        <x:v>1.703667</x:v>
      </x:c>
      <x:c r="D916" s="23" t="n">
        <x:v>-11.83453</x:v>
      </x:c>
      <x:c r="E916" s="23" t="n">
        <x:f>'Parameters'!$B$2*'Parameters'!$B$3*LN(4*PI()*C916^2)</x:f>
        <x:v>8.915792609752728</x:v>
      </x:c>
      <x:c r="F916" s="23" t="n">
        <x:f>D916+E916</x:f>
        <x:v>-2.918737390247273</x:v>
      </x:c>
      <x:c r="G916" s="23" t="n">
        <x:f>AVERAGE($F$944:$F$967)</x:f>
        <x:v>-2.7458230778907833</x:v>
      </x:c>
      <x:c r="H916" s="24" t="n">
        <x:f>F916-G916</x:f>
        <x:v>-0.17291431235648957</x:v>
      </x:c>
    </x:row>
    <x:row r="917">
      <x:c r="A917" s="2" t="str">
        <x:v>LiD3-Core</x:v>
      </x:c>
      <x:c r="B917" s="4" t="str">
        <x:v>LiCl</x:v>
      </x:c>
      <x:c r="C917" s="23" t="n">
        <x:v>1.716031</x:v>
      </x:c>
      <x:c r="D917" s="23" t="n">
        <x:v>-11.99212</x:v>
      </x:c>
      <x:c r="E917" s="23" t="n">
        <x:f>'Parameters'!$B$2*'Parameters'!$B$3*LN(4*PI()*C917^2)</x:f>
        <x:v>8.951643679954474</x:v>
      </x:c>
      <x:c r="F917" s="23" t="n">
        <x:f>D917+E917</x:f>
        <x:v>-3.040476320045526</x:v>
      </x:c>
      <x:c r="G917" s="23" t="n">
        <x:f>AVERAGE($F$944:$F$967)</x:f>
        <x:v>-2.7458230778907833</x:v>
      </x:c>
      <x:c r="H917" s="24" t="n">
        <x:f>F917-G917</x:f>
        <x:v>-0.29465324215474276</x:v>
      </x:c>
    </x:row>
    <x:row r="918">
      <x:c r="A918" s="2" t="str">
        <x:v>LiD3-Core</x:v>
      </x:c>
      <x:c r="B918" s="4" t="str">
        <x:v>LiCl</x:v>
      </x:c>
      <x:c r="C918" s="23" t="n">
        <x:v>1.728395</x:v>
      </x:c>
      <x:c r="D918" s="23" t="n">
        <x:v>-11.97733</x:v>
      </x:c>
      <x:c r="E918" s="23" t="n">
        <x:f>'Parameters'!$B$2*'Parameters'!$B$3*LN(4*PI()*C918^2)</x:f>
        <x:v>8.987237368256645</x:v>
      </x:c>
      <x:c r="F918" s="23" t="n">
        <x:f>D918+E918</x:f>
        <x:v>-2.990092631743355</x:v>
      </x:c>
      <x:c r="G918" s="23" t="n">
        <x:f>AVERAGE($F$944:$F$967)</x:f>
        <x:v>-2.7458230778907833</x:v>
      </x:c>
      <x:c r="H918" s="24" t="n">
        <x:f>F918-G918</x:f>
        <x:v>-0.24426955385257187</x:v>
      </x:c>
    </x:row>
    <x:row r="919">
      <x:c r="A919" s="2" t="str">
        <x:v>LiD3-Core</x:v>
      </x:c>
      <x:c r="B919" s="4" t="str">
        <x:v>LiCl</x:v>
      </x:c>
      <x:c r="C919" s="23" t="n">
        <x:v>1.740759</x:v>
      </x:c>
      <x:c r="D919" s="23" t="n">
        <x:v>-12.16592</x:v>
      </x:c>
      <x:c r="E919" s="23" t="n">
        <x:f>'Parameters'!$B$2*'Parameters'!$B$3*LN(4*PI()*C919^2)</x:f>
        <x:v>9.022577343923299</x:v>
      </x:c>
      <x:c r="F919" s="23" t="n">
        <x:f>D919+E919</x:f>
        <x:v>-3.143342656076701</x:v>
      </x:c>
      <x:c r="G919" s="23" t="n">
        <x:f>AVERAGE($F$944:$F$967)</x:f>
        <x:v>-2.7458230778907833</x:v>
      </x:c>
      <x:c r="H919" s="24" t="n">
        <x:f>F919-G919</x:f>
        <x:v>-0.39751957818591777</x:v>
      </x:c>
    </x:row>
    <x:row r="920">
      <x:c r="A920" s="2" t="str">
        <x:v>LiD3-Core</x:v>
      </x:c>
      <x:c r="B920" s="4" t="str">
        <x:v>LiCl</x:v>
      </x:c>
      <x:c r="C920" s="23" t="n">
        <x:v>1.753124</x:v>
      </x:c>
      <x:c r="D920" s="23" t="n">
        <x:v>-12.20536</x:v>
      </x:c>
      <x:c r="E920" s="23" t="n">
        <x:f>'Parameters'!$B$2*'Parameters'!$B$3*LN(4*PI()*C920^2)</x:f>
        <x:v>9.057670026355462</x:v>
      </x:c>
      <x:c r="F920" s="23" t="n">
        <x:f>D920+E920</x:f>
        <x:v>-3.147689973644539</x:v>
      </x:c>
      <x:c r="G920" s="23" t="n">
        <x:f>AVERAGE($F$944:$F$967)</x:f>
        <x:v>-2.7458230778907833</x:v>
      </x:c>
      <x:c r="H920" s="24" t="n">
        <x:f>F920-G920</x:f>
        <x:v>-0.40186689575375567</x:v>
      </x:c>
    </x:row>
    <x:row r="921">
      <x:c r="A921" s="2" t="str">
        <x:v>LiD3-Core</x:v>
      </x:c>
      <x:c r="B921" s="4" t="str">
        <x:v>LiCl</x:v>
      </x:c>
      <x:c r="C921" s="23" t="n">
        <x:v>1.765488</x:v>
      </x:c>
      <x:c r="D921" s="23" t="n">
        <x:v>-12.16407</x:v>
      </x:c>
      <x:c r="E921" s="23" t="n">
        <x:f>'Parameters'!$B$2*'Parameters'!$B$3*LN(4*PI()*C921^2)</x:f>
        <x:v>9.092513255291651</x:v>
      </x:c>
      <x:c r="F921" s="23" t="n">
        <x:f>D921+E921</x:f>
        <x:v>-3.0715567447083494</x:v>
      </x:c>
      <x:c r="G921" s="23" t="n">
        <x:f>AVERAGE($F$944:$F$967)</x:f>
        <x:v>-2.7458230778907833</x:v>
      </x:c>
      <x:c r="H921" s="24" t="n">
        <x:f>F921-G921</x:f>
        <x:v>-0.3257336668175661</x:v>
      </x:c>
    </x:row>
    <x:row r="922">
      <x:c r="A922" s="2" t="str">
        <x:v>LiD3-Core</x:v>
      </x:c>
      <x:c r="B922" s="4" t="str">
        <x:v>LiCl</x:v>
      </x:c>
      <x:c r="C922" s="23" t="n">
        <x:v>1.777852</x:v>
      </x:c>
      <x:c r="D922" s="23" t="n">
        <x:v>-12.25006</x:v>
      </x:c>
      <x:c r="E922" s="23" t="n">
        <x:f>'Parameters'!$B$2*'Parameters'!$B$3*LN(4*PI()*C922^2)</x:f>
        <x:v>9.127113320889434</x:v>
      </x:c>
      <x:c r="F922" s="23" t="n">
        <x:f>D922+E922</x:f>
        <x:v>-3.122946679110566</x:v>
      </x:c>
      <x:c r="G922" s="23" t="n">
        <x:f>AVERAGE($F$944:$F$967)</x:f>
        <x:v>-2.7458230778907833</x:v>
      </x:c>
      <x:c r="H922" s="24" t="n">
        <x:f>F922-G922</x:f>
        <x:v>-0.3771236012197825</x:v>
      </x:c>
    </x:row>
    <x:row r="923">
      <x:c r="A923" s="2" t="str">
        <x:v>LiD3-Core</x:v>
      </x:c>
      <x:c r="B923" s="4" t="str">
        <x:v>LiCl</x:v>
      </x:c>
      <x:c r="C923" s="23" t="n">
        <x:v>1.790216</x:v>
      </x:c>
      <x:c r="D923" s="23" t="n">
        <x:v>-12.38095</x:v>
      </x:c>
      <x:c r="E923" s="23" t="n">
        <x:f>'Parameters'!$B$2*'Parameters'!$B$3*LN(4*PI()*C923^2)</x:f>
        <x:v>9.161473593609093</x:v>
      </x:c>
      <x:c r="F923" s="23" t="n">
        <x:f>D923+E923</x:f>
        <x:v>-3.219476406390907</x:v>
      </x:c>
      <x:c r="G923" s="23" t="n">
        <x:f>AVERAGE($F$944:$F$967)</x:f>
        <x:v>-2.7458230778907833</x:v>
      </x:c>
      <x:c r="H923" s="24" t="n">
        <x:f>F923-G923</x:f>
        <x:v>-0.47365332850012365</x:v>
      </x:c>
    </x:row>
    <x:row r="924">
      <x:c r="A924" s="2" t="str">
        <x:v>LiD3-Core</x:v>
      </x:c>
      <x:c r="B924" s="4" t="str">
        <x:v>LiCl</x:v>
      </x:c>
      <x:c r="C924" s="23" t="n">
        <x:v>1.802581</x:v>
      </x:c>
      <x:c r="D924" s="23" t="n">
        <x:v>-12.25825</x:v>
      </x:c>
      <x:c r="E924" s="23" t="n">
        <x:f>'Parameters'!$B$2*'Parameters'!$B$3*LN(4*PI()*C924^2)</x:f>
        <x:v>9.195600124770204</x:v>
      </x:c>
      <x:c r="F924" s="23" t="n">
        <x:f>D924+E924</x:f>
        <x:v>-3.0626498752297966</x:v>
      </x:c>
      <x:c r="G924" s="23" t="n">
        <x:f>AVERAGE($F$944:$F$967)</x:f>
        <x:v>-2.7458230778907833</x:v>
      </x:c>
      <x:c r="H924" s="24" t="n">
        <x:f>F924-G924</x:f>
        <x:v>-0.3168267973390133</x:v>
      </x:c>
    </x:row>
    <x:row r="925">
      <x:c r="A925" s="2" t="str">
        <x:v>LiD3-Core</x:v>
      </x:c>
      <x:c r="B925" s="4" t="str">
        <x:v>LiCl</x:v>
      </x:c>
      <x:c r="C925" s="23" t="n">
        <x:v>1.814945</x:v>
      </x:c>
      <x:c r="D925" s="23" t="n">
        <x:v>-12.28542</x:v>
      </x:c>
      <x:c r="E925" s="23" t="n">
        <x:f>'Parameters'!$B$2*'Parameters'!$B$3*LN(4*PI()*C925^2)</x:f>
        <x:v>9.22949062790308</x:v>
      </x:c>
      <x:c r="F925" s="23" t="n">
        <x:f>D925+E925</x:f>
        <x:v>-3.0559293720969194</x:v>
      </x:c>
      <x:c r="G925" s="23" t="n">
        <x:f>AVERAGE($F$944:$F$967)</x:f>
        <x:v>-2.7458230778907833</x:v>
      </x:c>
      <x:c r="H925" s="24" t="n">
        <x:f>F925-G925</x:f>
        <x:v>-0.3101062942061361</x:v>
      </x:c>
    </x:row>
    <x:row r="926">
      <x:c r="A926" s="2" t="str">
        <x:v>LiD3-Core</x:v>
      </x:c>
      <x:c r="B926" s="4" t="str">
        <x:v>LiCl</x:v>
      </x:c>
      <x:c r="C926" s="23" t="n">
        <x:v>1.827309</x:v>
      </x:c>
      <x:c r="D926" s="23" t="n">
        <x:v>-12.23456</x:v>
      </x:c>
      <x:c r="E926" s="23" t="n">
        <x:f>'Parameters'!$B$2*'Parameters'!$B$3*LN(4*PI()*C926^2)</x:f>
        <x:v>9.263151039773357</x:v>
      </x:c>
      <x:c r="F926" s="23" t="n">
        <x:f>D926+E926</x:f>
        <x:v>-2.9714089602266434</x:v>
      </x:c>
      <x:c r="G926" s="23" t="n">
        <x:f>AVERAGE($F$944:$F$967)</x:f>
        <x:v>-2.7458230778907833</x:v>
      </x:c>
      <x:c r="H926" s="24" t="n">
        <x:f>F926-G926</x:f>
        <x:v>-0.22558588233586008</x:v>
      </x:c>
    </x:row>
    <x:row r="927">
      <x:c r="A927" s="2" t="str">
        <x:v>LiD3-Core</x:v>
      </x:c>
      <x:c r="B927" s="4" t="str">
        <x:v>LiCl</x:v>
      </x:c>
      <x:c r="C927" s="23" t="n">
        <x:v>1.839674</x:v>
      </x:c>
      <x:c r="D927" s="23" t="n">
        <x:v>-12.33995</x:v>
      </x:c>
      <x:c r="E927" s="23" t="n">
        <x:f>'Parameters'!$B$2*'Parameters'!$B$3*LN(4*PI()*C927^2)</x:f>
        <x:v>9.296587158617351</x:v>
      </x:c>
      <x:c r="F927" s="23" t="n">
        <x:f>D927+E927</x:f>
        <x:v>-3.043362841382649</x:v>
      </x:c>
      <x:c r="G927" s="23" t="n">
        <x:f>AVERAGE($F$944:$F$967)</x:f>
        <x:v>-2.7458230778907833</x:v>
      </x:c>
      <x:c r="H927" s="24" t="n">
        <x:f>F927-G927</x:f>
        <x:v>-0.2975397634918657</x:v>
      </x:c>
    </x:row>
    <x:row r="928">
      <x:c r="A928" s="2" t="str">
        <x:v>LiD3-Core</x:v>
      </x:c>
      <x:c r="B928" s="4" t="str">
        <x:v>LiCl</x:v>
      </x:c>
      <x:c r="C928" s="23" t="n">
        <x:v>1.852038</x:v>
      </x:c>
      <x:c r="D928" s="23" t="n">
        <x:v>-12.28967</x:v>
      </x:c>
      <x:c r="E928" s="23" t="n">
        <x:f>'Parameters'!$B$2*'Parameters'!$B$3*LN(4*PI()*C928^2)</x:f>
        <x:v>9.32979661732993</x:v>
      </x:c>
      <x:c r="F928" s="23" t="n">
        <x:f>D928+E928</x:f>
        <x:v>-2.95987338267007</x:v>
      </x:c>
      <x:c r="G928" s="23" t="n">
        <x:f>AVERAGE($F$944:$F$967)</x:f>
        <x:v>-2.7458230778907833</x:v>
      </x:c>
      <x:c r="H928" s="24" t="n">
        <x:f>F928-G928</x:f>
        <x:v>-0.21405030477928655</x:v>
      </x:c>
    </x:row>
    <x:row r="929">
      <x:c r="A929" s="2" t="str">
        <x:v>LiD3-Core</x:v>
      </x:c>
      <x:c r="B929" s="4" t="str">
        <x:v>LiCl</x:v>
      </x:c>
      <x:c r="C929" s="23" t="n">
        <x:v>1.864402</x:v>
      </x:c>
      <x:c r="D929" s="23" t="n">
        <x:v>-12.24547</x:v>
      </x:c>
      <x:c r="E929" s="23" t="n">
        <x:f>'Parameters'!$B$2*'Parameters'!$B$3*LN(4*PI()*C929^2)</x:f>
        <x:v>9.36278510931771</x:v>
      </x:c>
      <x:c r="F929" s="23" t="n">
        <x:f>D929+E929</x:f>
        <x:v>-2.88268489068229</x:v>
      </x:c>
      <x:c r="G929" s="23" t="n">
        <x:f>AVERAGE($F$944:$F$967)</x:f>
        <x:v>-2.7458230778907833</x:v>
      </x:c>
      <x:c r="H929" s="24" t="n">
        <x:f>F929-G929</x:f>
        <x:v>-0.13686181279150667</x:v>
      </x:c>
    </x:row>
    <x:row r="930">
      <x:c r="A930" s="2" t="str">
        <x:v>LiD3-Core</x:v>
      </x:c>
      <x:c r="B930" s="4" t="str">
        <x:v>LiCl</x:v>
      </x:c>
      <x:c r="C930" s="23" t="n">
        <x:v>1.876766</x:v>
      </x:c>
      <x:c r="D930" s="23" t="n">
        <x:v>-12.28271</x:v>
      </x:c>
      <x:c r="E930" s="23" t="n">
        <x:f>'Parameters'!$B$2*'Parameters'!$B$3*LN(4*PI()*C930^2)</x:f>
        <x:v>9.395555555660552</x:v>
      </x:c>
      <x:c r="F930" s="23" t="n">
        <x:f>D930+E930</x:f>
        <x:v>-2.8871544443394477</x:v>
      </x:c>
      <x:c r="G930" s="23" t="n">
        <x:f>AVERAGE($F$944:$F$967)</x:f>
        <x:v>-2.7458230778907833</x:v>
      </x:c>
      <x:c r="H930" s="24" t="n">
        <x:f>F930-G930</x:f>
        <x:v>-0.1413313664486644</x:v>
      </x:c>
    </x:row>
    <x:row r="931">
      <x:c r="A931" s="2" t="str">
        <x:v>LiD3-Core</x:v>
      </x:c>
      <x:c r="B931" s="4" t="str">
        <x:v>LiCl</x:v>
      </x:c>
      <x:c r="C931" s="23" t="n">
        <x:v>1.889131</x:v>
      </x:c>
      <x:c r="D931" s="23" t="n">
        <x:v>-12.32315</x:v>
      </x:c>
      <x:c r="E931" s="23" t="n">
        <x:f>'Parameters'!$B$2*'Parameters'!$B$3*LN(4*PI()*C931^2)</x:f>
        <x:v>9.428113444337761</x:v>
      </x:c>
      <x:c r="F931" s="23" t="n">
        <x:f>D931+E931</x:f>
        <x:v>-2.895036555662239</x:v>
      </x:c>
      <x:c r="G931" s="23" t="n">
        <x:f>AVERAGE($F$944:$F$967)</x:f>
        <x:v>-2.7458230778907833</x:v>
      </x:c>
      <x:c r="H931" s="24" t="n">
        <x:f>F931-G931</x:f>
        <x:v>-0.14921347777145577</x:v>
      </x:c>
    </x:row>
    <x:row r="932">
      <x:c r="A932" s="2" t="str">
        <x:v>LiD3-Core</x:v>
      </x:c>
      <x:c r="B932" s="4" t="str">
        <x:v>LiCl</x:v>
      </x:c>
      <x:c r="C932" s="23" t="n">
        <x:v>1.901495</x:v>
      </x:c>
      <x:c r="D932" s="23" t="n">
        <x:v>-12.3818</x:v>
      </x:c>
      <x:c r="E932" s="23" t="n">
        <x:f>'Parameters'!$B$2*'Parameters'!$B$3*LN(4*PI()*C932^2)</x:f>
        <x:v>9.460456316895508</x:v>
      </x:c>
      <x:c r="F932" s="23" t="n">
        <x:f>D932+E932</x:f>
        <x:v>-2.9213436831044923</x:v>
      </x:c>
      <x:c r="G932" s="23" t="n">
        <x:f>AVERAGE($F$944:$F$967)</x:f>
        <x:v>-2.7458230778907833</x:v>
      </x:c>
      <x:c r="H932" s="24" t="n">
        <x:f>F932-G932</x:f>
        <x:v>-0.17552060521370905</x:v>
      </x:c>
    </x:row>
    <x:row r="933">
      <x:c r="A933" s="2" t="str">
        <x:v>LiD3-Core</x:v>
      </x:c>
      <x:c r="B933" s="4" t="str">
        <x:v>LiCl</x:v>
      </x:c>
      <x:c r="C933" s="23" t="n">
        <x:v>1.913859</x:v>
      </x:c>
      <x:c r="D933" s="23" t="n">
        <x:v>-12.4089</x:v>
      </x:c>
      <x:c r="E933" s="23" t="n">
        <x:f>'Parameters'!$B$2*'Parameters'!$B$3*LN(4*PI()*C933^2)</x:f>
        <x:v>9.492589567968562</x:v>
      </x:c>
      <x:c r="F933" s="23" t="n">
        <x:f>D933+E933</x:f>
        <x:v>-2.9163104320314375</x:v>
      </x:c>
      <x:c r="G933" s="23" t="n">
        <x:f>AVERAGE($F$944:$F$967)</x:f>
        <x:v>-2.7458230778907833</x:v>
      </x:c>
      <x:c r="H933" s="24" t="n">
        <x:f>F933-G933</x:f>
        <x:v>-0.1704873541406542</x:v>
      </x:c>
    </x:row>
    <x:row r="934">
      <x:c r="A934" s="2" t="str">
        <x:v>LiD3-Core</x:v>
      </x:c>
      <x:c r="B934" s="4" t="str">
        <x:v>LiCl</x:v>
      </x:c>
      <x:c r="C934" s="23" t="n">
        <x:v>1.926223</x:v>
      </x:c>
      <x:c r="D934" s="23" t="n">
        <x:v>-12.43962</x:v>
      </x:c>
      <x:c r="E934" s="23" t="n">
        <x:f>'Parameters'!$B$2*'Parameters'!$B$3*LN(4*PI()*C934^2)</x:f>
        <x:v>9.52451589727748</x:v>
      </x:c>
      <x:c r="F934" s="23" t="n">
        <x:f>D934+E934</x:f>
        <x:v>-2.9151041027225197</x:v>
      </x:c>
      <x:c r="G934" s="23" t="n">
        <x:f>AVERAGE($F$944:$F$967)</x:f>
        <x:v>-2.7458230778907833</x:v>
      </x:c>
      <x:c r="H934" s="24" t="n">
        <x:f>F934-G934</x:f>
        <x:v>-0.16928102483173646</x:v>
      </x:c>
    </x:row>
    <x:row r="935">
      <x:c r="A935" s="2" t="str">
        <x:v>LiD3-Core</x:v>
      </x:c>
      <x:c r="B935" s="4" t="str">
        <x:v>LiCl</x:v>
      </x:c>
      <x:c r="C935" s="23" t="n">
        <x:v>1.938588</x:v>
      </x:c>
      <x:c r="D935" s="23" t="n">
        <x:v>-12.37311</x:v>
      </x:c>
      <x:c r="E935" s="23" t="n">
        <x:f>'Parameters'!$B$2*'Parameters'!$B$3*LN(4*PI()*C935^2)</x:f>
        <x:v>9.556240510209584</x:v>
      </x:c>
      <x:c r="F935" s="23" t="n">
        <x:f>D935+E935</x:f>
        <x:v>-2.8168694897904167</x:v>
      </x:c>
      <x:c r="G935" s="23" t="n">
        <x:f>AVERAGE($F$944:$F$967)</x:f>
        <x:v>-2.7458230778907833</x:v>
      </x:c>
      <x:c r="H935" s="24" t="n">
        <x:f>F935-G935</x:f>
        <x:v>-0.07104641189963345</x:v>
      </x:c>
    </x:row>
    <x:row r="936">
      <x:c r="A936" s="2" t="str">
        <x:v>LiD3-Core</x:v>
      </x:c>
      <x:c r="B936" s="4" t="str">
        <x:v>LiCl</x:v>
      </x:c>
      <x:c r="C936" s="23" t="n">
        <x:v>1.950952</x:v>
      </x:c>
      <x:c r="D936" s="23" t="n">
        <x:v>-12.55447</x:v>
      </x:c>
      <x:c r="E936" s="23" t="n">
        <x:f>'Parameters'!$B$2*'Parameters'!$B$3*LN(4*PI()*C936^2)</x:f>
        <x:v>9.587760872977352</x:v>
      </x:c>
      <x:c r="F936" s="23" t="n">
        <x:f>D936+E936</x:f>
        <x:v>-2.966709127022648</x:v>
      </x:c>
      <x:c r="G936" s="23" t="n">
        <x:f>AVERAGE($F$944:$F$967)</x:f>
        <x:v>-2.7458230778907833</x:v>
      </x:c>
      <x:c r="H936" s="24" t="n">
        <x:f>F936-G936</x:f>
        <x:v>-0.22088604913186494</x:v>
      </x:c>
    </x:row>
    <x:row r="937">
      <x:c r="A937" s="2" t="str">
        <x:v>LiD3-Core</x:v>
      </x:c>
      <x:c r="B937" s="4" t="str">
        <x:v>LiCl</x:v>
      </x:c>
      <x:c r="C937" s="23" t="n">
        <x:v>1.963316</x:v>
      </x:c>
      <x:c r="D937" s="23" t="n">
        <x:v>-12.38394</x:v>
      </x:c>
      <x:c r="E937" s="23" t="n">
        <x:f>'Parameters'!$B$2*'Parameters'!$B$3*LN(4*PI()*C937^2)</x:f>
        <x:v>9.619082107649767</x:v>
      </x:c>
      <x:c r="F937" s="23" t="n">
        <x:f>D937+E937</x:f>
        <x:v>-2.764857892350234</x:v>
      </x:c>
      <x:c r="G937" s="23" t="n">
        <x:f>AVERAGE($F$944:$F$967)</x:f>
        <x:v>-2.7458230778907833</x:v>
      </x:c>
      <x:c r="H937" s="24" t="n">
        <x:f>F937-G937</x:f>
        <x:v>-0.019034814459450544</x:v>
      </x:c>
    </x:row>
    <x:row r="938">
      <x:c r="A938" s="2" t="str">
        <x:v>LiD3-Core</x:v>
      </x:c>
      <x:c r="B938" s="4" t="str">
        <x:v>LiCl</x:v>
      </x:c>
      <x:c r="C938" s="23" t="n">
        <x:v>1.975681</x:v>
      </x:c>
      <x:c r="D938" s="23" t="n">
        <x:v>-12.53142</x:v>
      </x:c>
      <x:c r="E938" s="23" t="n">
        <x:f>'Parameters'!$B$2*'Parameters'!$B$3*LN(4*PI()*C938^2)</x:f>
        <x:v>9.65020922387275</x:v>
      </x:c>
      <x:c r="F938" s="23" t="n">
        <x:f>D938+E938</x:f>
        <x:v>-2.8812107761272507</x:v>
      </x:c>
      <x:c r="G938" s="23" t="n">
        <x:f>AVERAGE($F$944:$F$967)</x:f>
        <x:v>-2.7458230778907833</x:v>
      </x:c>
      <x:c r="H938" s="24" t="n">
        <x:f>F938-G938</x:f>
        <x:v>-0.13538769823646746</x:v>
      </x:c>
    </x:row>
    <x:row r="939">
      <x:c r="A939" s="2" t="str">
        <x:v>LiD3-Core</x:v>
      </x:c>
      <x:c r="B939" s="4" t="str">
        <x:v>LiCl</x:v>
      </x:c>
      <x:c r="C939" s="23" t="n">
        <x:v>1.988045</x:v>
      </x:c>
      <x:c r="D939" s="23" t="n">
        <x:v>-12.54418</x:v>
      </x:c>
      <x:c r="E939" s="23" t="n">
        <x:f>'Parameters'!$B$2*'Parameters'!$B$3*LN(4*PI()*C939^2)</x:f>
        <x:v>9.681139640477431</x:v>
      </x:c>
      <x:c r="F939" s="23" t="n">
        <x:f>D939+E939</x:f>
        <x:v>-2.8630403595225697</x:v>
      </x:c>
      <x:c r="G939" s="23" t="n">
        <x:f>AVERAGE($F$944:$F$967)</x:f>
        <x:v>-2.7458230778907833</x:v>
      </x:c>
      <x:c r="H939" s="24" t="n">
        <x:f>F939-G939</x:f>
        <x:v>-0.11721728163178646</x:v>
      </x:c>
    </x:row>
    <x:row r="940">
      <x:c r="A940" s="2" t="str">
        <x:v>LiD3-Core</x:v>
      </x:c>
      <x:c r="B940" s="4" t="str">
        <x:v>LiCl</x:v>
      </x:c>
      <x:c r="C940" s="23" t="n">
        <x:v>2.000409</x:v>
      </x:c>
      <x:c r="D940" s="23" t="n">
        <x:v>-12.71504</x:v>
      </x:c>
      <x:c r="E940" s="23" t="n">
        <x:f>'Parameters'!$B$2*'Parameters'!$B$3*LN(4*PI()*C940^2)</x:f>
        <x:v>9.711878290483556</x:v>
      </x:c>
      <x:c r="F940" s="23" t="n">
        <x:f>D940+E940</x:f>
        <x:v>-3.0031617095164442</x:v>
      </x:c>
      <x:c r="G940" s="23" t="n">
        <x:f>AVERAGE($F$944:$F$967)</x:f>
        <x:v>-2.7458230778907833</x:v>
      </x:c>
      <x:c r="H940" s="24" t="n">
        <x:f>F940-G940</x:f>
        <x:v>-0.25733863162566095</x:v>
      </x:c>
    </x:row>
    <x:row r="941">
      <x:c r="A941" s="2" t="str">
        <x:v>LiD3-Core</x:v>
      </x:c>
      <x:c r="B941" s="4" t="str">
        <x:v>LiCl</x:v>
      </x:c>
      <x:c r="C941" s="23" t="n">
        <x:v>2.012773</x:v>
      </x:c>
      <x:c r="D941" s="23" t="n">
        <x:v>-12.57042</x:v>
      </x:c>
      <x:c r="E941" s="23" t="n">
        <x:f>'Parameters'!$B$2*'Parameters'!$B$3*LN(4*PI()*C941^2)</x:f>
        <x:v>9.742427537127945</x:v>
      </x:c>
      <x:c r="F941" s="23" t="n">
        <x:f>D941+E941</x:f>
        <x:v>-2.8279924628720554</x:v>
      </x:c>
      <x:c r="G941" s="23" t="n">
        <x:f>AVERAGE($F$944:$F$967)</x:f>
        <x:v>-2.7458230778907833</x:v>
      </x:c>
      <x:c r="H941" s="24" t="n">
        <x:f>F941-G941</x:f>
        <x:v>-0.08216938498127213</x:v>
      </x:c>
    </x:row>
    <x:row r="942">
      <x:c r="A942" s="2" t="str">
        <x:v>LiD3-Core</x:v>
      </x:c>
      <x:c r="B942" s="4" t="str">
        <x:v>LiCl</x:v>
      </x:c>
      <x:c r="C942" s="23" t="n">
        <x:v>2.025138</x:v>
      </x:c>
      <x:c r="D942" s="23" t="n">
        <x:v>-12.59303</x:v>
      </x:c>
      <x:c r="E942" s="23" t="n">
        <x:f>'Parameters'!$B$2*'Parameters'!$B$3*LN(4*PI()*C942^2)</x:f>
        <x:v>9.772792148416157</x:v>
      </x:c>
      <x:c r="F942" s="23" t="n">
        <x:f>D942+E942</x:f>
        <x:v>-2.820237851583844</x:v>
      </x:c>
      <x:c r="G942" s="23" t="n">
        <x:f>AVERAGE($F$944:$F$967)</x:f>
        <x:v>-2.7458230778907833</x:v>
      </x:c>
      <x:c r="H942" s="24" t="n">
        <x:f>F942-G942</x:f>
        <x:v>-0.07441477369306071</x:v>
      </x:c>
    </x:row>
    <x:row r="943">
      <x:c r="A943" s="2" t="str">
        <x:v>LiD3-Core</x:v>
      </x:c>
      <x:c r="B943" s="4" t="str">
        <x:v>LiCl</x:v>
      </x:c>
      <x:c r="C943" s="23" t="n">
        <x:v>2.037502</x:v>
      </x:c>
      <x:c r="D943" s="23" t="n">
        <x:v>-12.64131</x:v>
      </x:c>
      <x:c r="E943" s="23" t="n">
        <x:f>'Parameters'!$B$2*'Parameters'!$B$3*LN(4*PI()*C943^2)</x:f>
        <x:v>9.802969490577903</x:v>
      </x:c>
      <x:c r="F943" s="23" t="n">
        <x:f>D943+E943</x:f>
        <x:v>-2.838340509422098</x:v>
      </x:c>
      <x:c r="G943" s="23" t="n">
        <x:f>AVERAGE($F$944:$F$967)</x:f>
        <x:v>-2.7458230778907833</x:v>
      </x:c>
      <x:c r="H943" s="24" t="n">
        <x:f>F943-G943</x:f>
        <x:v>-0.09251743153131464</x:v>
      </x:c>
    </x:row>
    <x:row r="944">
      <x:c r="A944" s="2" t="str">
        <x:v>LiD3-Core</x:v>
      </x:c>
      <x:c r="B944" s="4" t="str">
        <x:v>LiCl</x:v>
      </x:c>
      <x:c r="C944" s="23" t="n">
        <x:v>2.049866</x:v>
      </x:c>
      <x:c r="D944" s="23" t="n">
        <x:v>-12.70968</x:v>
      </x:c>
      <x:c r="E944" s="23" t="n">
        <x:f>'Parameters'!$B$2*'Parameters'!$B$3*LN(4*PI()*C944^2)</x:f>
        <x:v>9.832964262958086</x:v>
      </x:c>
      <x:c r="F944" s="23" t="n">
        <x:f>D944+E944</x:f>
        <x:v>-2.8767157370419145</x:v>
      </x:c>
      <x:c r="G944" s="23" t="n">
        <x:f>AVERAGE($F$944:$F$967)</x:f>
        <x:v>-2.7458230778907833</x:v>
      </x:c>
      <x:c r="H944" s="24" t="n">
        <x:f>F944-G944</x:f>
        <x:v>-0.13089265915113124</x:v>
      </x:c>
    </x:row>
    <x:row r="945">
      <x:c r="A945" s="2" t="str">
        <x:v>LiD3-Core</x:v>
      </x:c>
      <x:c r="B945" s="4" t="str">
        <x:v>LiCl</x:v>
      </x:c>
      <x:c r="C945" s="23" t="n">
        <x:v>2.062231</x:v>
      </x:c>
      <x:c r="D945" s="23" t="n">
        <x:v>-12.69909</x:v>
      </x:c>
      <x:c r="E945" s="23" t="n">
        <x:f>'Parameters'!$B$2*'Parameters'!$B$3*LN(4*PI()*C945^2)</x:f>
        <x:v>9.86278106548677</x:v>
      </x:c>
      <x:c r="F945" s="23" t="n">
        <x:f>D945+E945</x:f>
        <x:v>-2.83630893451323</x:v>
      </x:c>
      <x:c r="G945" s="23" t="n">
        <x:f>AVERAGE($F$944:$F$967)</x:f>
        <x:v>-2.7458230778907833</x:v>
      </x:c>
      <x:c r="H945" s="24" t="n">
        <x:f>F945-G945</x:f>
        <x:v>-0.0904858566224469</x:v>
      </x:c>
    </x:row>
    <x:row r="946">
      <x:c r="A946" s="2" t="str">
        <x:v>LiD3-Core</x:v>
      </x:c>
      <x:c r="B946" s="4" t="str">
        <x:v>LiCl</x:v>
      </x:c>
      <x:c r="C946" s="23" t="n">
        <x:v>2.074595</x:v>
      </x:c>
      <x:c r="D946" s="23" t="n">
        <x:v>-12.74218</x:v>
      </x:c>
      <x:c r="E946" s="23" t="n">
        <x:f>'Parameters'!$B$2*'Parameters'!$B$3*LN(4*PI()*C946^2)</x:f>
        <x:v>9.892417231935678</x:v>
      </x:c>
      <x:c r="F946" s="23" t="n">
        <x:f>D946+E946</x:f>
        <x:v>-2.8497627680643216</x:v>
      </x:c>
      <x:c r="G946" s="23" t="n">
        <x:f>AVERAGE($F$944:$F$967)</x:f>
        <x:v>-2.7458230778907833</x:v>
      </x:c>
      <x:c r="H946" s="24" t="n">
        <x:f>F946-G946</x:f>
        <x:v>-0.10393969017353832</x:v>
      </x:c>
    </x:row>
    <x:row r="947">
      <x:c r="A947" s="2" t="str">
        <x:v>LiD3-Core</x:v>
      </x:c>
      <x:c r="B947" s="4" t="str">
        <x:v>LiCl</x:v>
      </x:c>
      <x:c r="C947" s="23" t="n">
        <x:v>2.086959</x:v>
      </x:c>
      <x:c r="D947" s="23" t="n">
        <x:v>-12.85237</x:v>
      </x:c>
      <x:c r="E947" s="23" t="n">
        <x:f>'Parameters'!$B$2*'Parameters'!$B$3*LN(4*PI()*C947^2)</x:f>
        <x:v>9.921877298915652</x:v>
      </x:c>
      <x:c r="F947" s="23" t="n">
        <x:f>D947+E947</x:f>
        <x:v>-2.930492701084349</x:v>
      </x:c>
      <x:c r="G947" s="23" t="n">
        <x:f>AVERAGE($F$944:$F$967)</x:f>
        <x:v>-2.7458230778907833</x:v>
      </x:c>
      <x:c r="H947" s="24" t="n">
        <x:f>F947-G947</x:f>
        <x:v>-0.1846696231935656</x:v>
      </x:c>
    </x:row>
    <x:row r="948">
      <x:c r="A948" s="2" t="str">
        <x:v>LiD3-Core</x:v>
      </x:c>
      <x:c r="B948" s="4" t="str">
        <x:v>LiCl</x:v>
      </x:c>
      <x:c r="C948" s="23" t="n">
        <x:v>2.099323</x:v>
      </x:c>
      <x:c r="D948" s="23" t="n">
        <x:v>-12.86012</x:v>
      </x:c>
      <x:c r="E948" s="23" t="n">
        <x:f>'Parameters'!$B$2*'Parameters'!$B$3*LN(4*PI()*C948^2)</x:f>
        <x:v>9.951163346853129</x:v>
      </x:c>
      <x:c r="F948" s="23" t="n">
        <x:f>D948+E948</x:f>
        <x:v>-2.9089566531468716</x:v>
      </x:c>
      <x:c r="G948" s="23" t="n">
        <x:f>AVERAGE($F$944:$F$967)</x:f>
        <x:v>-2.7458230778907833</x:v>
      </x:c>
      <x:c r="H948" s="24" t="n">
        <x:f>F948-G948</x:f>
        <x:v>-0.1631335752560883</x:v>
      </x:c>
    </x:row>
    <x:row r="949">
      <x:c r="A949" s="2" t="str">
        <x:v>LiD3-Core</x:v>
      </x:c>
      <x:c r="B949" s="4" t="str">
        <x:v>LiCl</x:v>
      </x:c>
      <x:c r="C949" s="23" t="n">
        <x:v>2.111688</x:v>
      </x:c>
      <x:c r="D949" s="23" t="n">
        <x:v>-12.79825</x:v>
      </x:c>
      <x:c r="E949" s="23" t="n">
        <x:f>'Parameters'!$B$2*'Parameters'!$B$3*LN(4*PI()*C949^2)</x:f>
        <x:v>9.980279767368513</x:v>
      </x:c>
      <x:c r="F949" s="23" t="n">
        <x:f>D949+E949</x:f>
        <x:v>-2.8179702326314864</x:v>
      </x:c>
      <x:c r="G949" s="23" t="n">
        <x:f>AVERAGE($F$944:$F$967)</x:f>
        <x:v>-2.7458230778907833</x:v>
      </x:c>
      <x:c r="H949" s="24" t="n">
        <x:f>F949-G949</x:f>
        <x:v>-0.0721471547407031</x:v>
      </x:c>
    </x:row>
    <x:row r="950">
      <x:c r="A950" s="2" t="str">
        <x:v>LiD3-Core</x:v>
      </x:c>
      <x:c r="B950" s="4" t="str">
        <x:v>LiCl</x:v>
      </x:c>
      <x:c r="C950" s="23" t="n">
        <x:v>2.124052</x:v>
      </x:c>
      <x:c r="D950" s="23" t="n">
        <x:v>-12.94022</x:v>
      </x:c>
      <x:c r="E950" s="23" t="n">
        <x:f>'Parameters'!$B$2*'Parameters'!$B$3*LN(4*PI()*C950^2)</x:f>
        <x:v>10.009223859087005</x:v>
      </x:c>
      <x:c r="F950" s="23" t="n">
        <x:f>D950+E950</x:f>
        <x:v>-2.9309961409129954</x:v>
      </x:c>
      <x:c r="G950" s="23" t="n">
        <x:f>AVERAGE($F$944:$F$967)</x:f>
        <x:v>-2.7458230778907833</x:v>
      </x:c>
      <x:c r="H950" s="24" t="n">
        <x:f>F950-G950</x:f>
        <x:v>-0.18517306302221215</x:v>
      </x:c>
    </x:row>
    <x:row r="951">
      <x:c r="A951" s="2" t="str">
        <x:v>LiD3-Core</x:v>
      </x:c>
      <x:c r="B951" s="4" t="str">
        <x:v>LiCl</x:v>
      </x:c>
      <x:c r="C951" s="23" t="n">
        <x:v>2.136416</x:v>
      </x:c>
      <x:c r="D951" s="23" t="n">
        <x:v>-12.859</x:v>
      </x:c>
      <x:c r="E951" s="23" t="n">
        <x:f>'Parameters'!$B$2*'Parameters'!$B$3*LN(4*PI()*C951^2)</x:f>
        <x:v>10.037999956695403</x:v>
      </x:c>
      <x:c r="F951" s="23" t="n">
        <x:f>D951+E951</x:f>
        <x:v>-2.821000043304597</x:v>
      </x:c>
      <x:c r="G951" s="23" t="n">
        <x:f>AVERAGE($F$944:$F$967)</x:f>
        <x:v>-2.7458230778907833</x:v>
      </x:c>
      <x:c r="H951" s="24" t="n">
        <x:f>F951-G951</x:f>
        <x:v>-0.07517696541381369</x:v>
      </x:c>
    </x:row>
    <x:row r="952">
      <x:c r="A952" s="2" t="str">
        <x:v>LiD3-Core</x:v>
      </x:c>
      <x:c r="B952" s="4" t="str">
        <x:v>LiCl</x:v>
      </x:c>
      <x:c r="C952" s="23" t="n">
        <x:v>2.14878</x:v>
      </x:c>
      <x:c r="D952" s="23" t="n">
        <x:v>-12.96103</x:v>
      </x:c>
      <x:c r="E952" s="23" t="n">
        <x:f>'Parameters'!$B$2*'Parameters'!$B$3*LN(4*PI()*C952^2)</x:f>
        <x:v>10.066609999051643</x:v>
      </x:c>
      <x:c r="F952" s="23" t="n">
        <x:f>D952+E952</x:f>
        <x:v>-2.8944200009483563</x:v>
      </x:c>
      <x:c r="G952" s="23" t="n">
        <x:f>AVERAGE($F$944:$F$967)</x:f>
        <x:v>-2.7458230778907833</x:v>
      </x:c>
      <x:c r="H952" s="24" t="n">
        <x:f>F952-G952</x:f>
        <x:v>-0.148596923057573</x:v>
      </x:c>
    </x:row>
    <x:row r="953">
      <x:c r="A953" s="2" t="str">
        <x:v>LiD3-Core</x:v>
      </x:c>
      <x:c r="B953" s="4" t="str">
        <x:v>LiCl</x:v>
      </x:c>
      <x:c r="C953" s="23" t="n">
        <x:v>2.161145</x:v>
      </x:c>
      <x:c r="D953" s="23" t="n">
        <x:v>-12.8974</x:v>
      </x:c>
      <x:c r="E953" s="23" t="n">
        <x:f>'Parameters'!$B$2*'Parameters'!$B$3*LN(4*PI()*C953^2)</x:f>
        <x:v>10.095058185755978</x:v>
      </x:c>
      <x:c r="F953" s="23" t="n">
        <x:f>D953+E953</x:f>
        <x:v>-2.8023418142440217</x:v>
      </x:c>
      <x:c r="G953" s="23" t="n">
        <x:f>AVERAGE($F$944:$F$967)</x:f>
        <x:v>-2.7458230778907833</x:v>
      </x:c>
      <x:c r="H953" s="24" t="n">
        <x:f>F953-G953</x:f>
        <x:v>-0.05651873635323845</x:v>
      </x:c>
    </x:row>
    <x:row r="954">
      <x:c r="A954" s="2" t="str">
        <x:v>LiD3-Core</x:v>
      </x:c>
      <x:c r="B954" s="4" t="str">
        <x:v>LiCl</x:v>
      </x:c>
      <x:c r="C954" s="23" t="n">
        <x:v>2.173509</x:v>
      </x:c>
      <x:c r="D954" s="23" t="n">
        <x:v>-12.76069</x:v>
      </x:c>
      <x:c r="E954" s="23" t="n">
        <x:f>'Parameters'!$B$2*'Parameters'!$B$3*LN(4*PI()*C954^2)</x:f>
        <x:v>10.123341788402358</x:v>
      </x:c>
      <x:c r="F954" s="23" t="n">
        <x:f>D954+E954</x:f>
        <x:v>-2.637348211597642</x:v>
      </x:c>
      <x:c r="G954" s="23" t="n">
        <x:f>AVERAGE($F$944:$F$967)</x:f>
        <x:v>-2.7458230778907833</x:v>
      </x:c>
      <x:c r="H954" s="24" t="n">
        <x:f>F954-G954</x:f>
        <x:v>0.1084748662931414</x:v>
      </x:c>
    </x:row>
    <x:row r="955">
      <x:c r="A955" s="2" t="str">
        <x:v>LiD3-Core</x:v>
      </x:c>
      <x:c r="B955" s="4" t="str">
        <x:v>LiCl</x:v>
      </x:c>
      <x:c r="C955" s="23" t="n">
        <x:v>2.185873</x:v>
      </x:c>
      <x:c r="D955" s="23" t="n">
        <x:v>-12.97358</x:v>
      </x:c>
      <x:c r="E955" s="23" t="n">
        <x:f>'Parameters'!$B$2*'Parameters'!$B$3*LN(4*PI()*C955^2)</x:f>
        <x:v>10.151464955306341</x:v>
      </x:c>
      <x:c r="F955" s="23" t="n">
        <x:f>D955+E955</x:f>
        <x:v>-2.8221150446936587</x:v>
      </x:c>
      <x:c r="G955" s="23" t="n">
        <x:f>AVERAGE($F$944:$F$967)</x:f>
        <x:v>-2.7458230778907833</x:v>
      </x:c>
      <x:c r="H955" s="24" t="n">
        <x:f>F955-G955</x:f>
        <x:v>-0.07629196680287542</x:v>
      </x:c>
    </x:row>
    <x:row r="956">
      <x:c r="A956" s="2" t="str">
        <x:v>LiD3-Core</x:v>
      </x:c>
      <x:c r="B956" s="4" t="str">
        <x:v>LiCl</x:v>
      </x:c>
      <x:c r="C956" s="23" t="n">
        <x:v>2.198238</x:v>
      </x:c>
      <x:c r="D956" s="23" t="n">
        <x:v>-12.98901</x:v>
      </x:c>
      <x:c r="E956" s="23" t="n">
        <x:f>'Parameters'!$B$2*'Parameters'!$B$3*LN(4*PI()*C956^2)</x:f>
        <x:v>10.179431751720301</x:v>
      </x:c>
      <x:c r="F956" s="23" t="n">
        <x:f>D956+E956</x:f>
        <x:v>-2.809578248279699</x:v>
      </x:c>
      <x:c r="G956" s="23" t="n">
        <x:f>AVERAGE($F$944:$F$967)</x:f>
        <x:v>-2.7458230778907833</x:v>
      </x:c>
      <x:c r="H956" s="24" t="n">
        <x:f>F956-G956</x:f>
        <x:v>-0.06375517038891587</x:v>
      </x:c>
    </x:row>
    <x:row r="957">
      <x:c r="A957" s="2" t="str">
        <x:v>LiD3-Core</x:v>
      </x:c>
      <x:c r="B957" s="4" t="str">
        <x:v>LiCl</x:v>
      </x:c>
      <x:c r="C957" s="23" t="n">
        <x:v>2.210602</x:v>
      </x:c>
      <x:c r="D957" s="23" t="n">
        <x:v>-12.89231</x:v>
      </x:c>
      <x:c r="E957" s="23" t="n">
        <x:f>'Parameters'!$B$2*'Parameters'!$B$3*LN(4*PI()*C957^2)</x:f>
        <x:v>10.20723943361628</x:v>
      </x:c>
      <x:c r="F957" s="23" t="n">
        <x:f>D957+E957</x:f>
        <x:v>-2.68507056638372</x:v>
      </x:c>
      <x:c r="G957" s="23" t="n">
        <x:f>AVERAGE($F$944:$F$967)</x:f>
        <x:v>-2.7458230778907833</x:v>
      </x:c>
      <x:c r="H957" s="24" t="n">
        <x:f>F957-G957</x:f>
        <x:v>0.06075251150706329</x:v>
      </x:c>
    </x:row>
    <x:row r="958">
      <x:c r="A958" s="2" t="str">
        <x:v>LiD3-Core</x:v>
      </x:c>
      <x:c r="B958" s="4" t="str">
        <x:v>LiCl</x:v>
      </x:c>
      <x:c r="C958" s="23" t="n">
        <x:v>2.222966</x:v>
      </x:c>
      <x:c r="D958" s="23" t="n">
        <x:v>-12.7998</x:v>
      </x:c>
      <x:c r="E958" s="23" t="n">
        <x:f>'Parameters'!$B$2*'Parameters'!$B$3*LN(4*PI()*C958^2)</x:f>
        <x:v>10.234892018774582</x:v>
      </x:c>
      <x:c r="F958" s="23" t="n">
        <x:f>D958+E958</x:f>
        <x:v>-2.564907981225417</x:v>
      </x:c>
      <x:c r="G958" s="23" t="n">
        <x:f>AVERAGE($F$944:$F$967)</x:f>
        <x:v>-2.7458230778907833</x:v>
      </x:c>
      <x:c r="H958" s="24" t="n">
        <x:f>F958-G958</x:f>
        <x:v>0.1809150966653661</x:v>
      </x:c>
    </x:row>
    <x:row r="959">
      <x:c r="A959" s="2" t="str">
        <x:v>LiD3-Core</x:v>
      </x:c>
      <x:c r="B959" s="4" t="str">
        <x:v>LiCl</x:v>
      </x:c>
      <x:c r="C959" s="23" t="n">
        <x:v>2.23533</x:v>
      </x:c>
      <x:c r="D959" s="23" t="n">
        <x:v>-12.89413</x:v>
      </x:c>
      <x:c r="E959" s="23" t="n">
        <x:f>'Parameters'!$B$2*'Parameters'!$B$3*LN(4*PI()*C959^2)</x:f>
        <x:v>10.262391227700885</x:v>
      </x:c>
      <x:c r="F959" s="23" t="n">
        <x:f>D959+E959</x:f>
        <x:v>-2.6317387722991157</x:v>
      </x:c>
      <x:c r="G959" s="23" t="n">
        <x:f>AVERAGE($F$944:$F$967)</x:f>
        <x:v>-2.7458230778907833</x:v>
      </x:c>
      <x:c r="H959" s="24" t="n">
        <x:f>F959-G959</x:f>
        <x:v>0.1140843055916676</x:v>
      </x:c>
    </x:row>
    <x:row r="960">
      <x:c r="A960" s="2" t="str">
        <x:v>LiD3-Core</x:v>
      </x:c>
      <x:c r="B960" s="4" t="str">
        <x:v>LiCl</x:v>
      </x:c>
      <x:c r="C960" s="23" t="n">
        <x:v>2.247695</x:v>
      </x:c>
      <x:c r="D960" s="23" t="n">
        <x:v>-12.82832</x:v>
      </x:c>
      <x:c r="E960" s="23" t="n">
        <x:f>'Parameters'!$B$2*'Parameters'!$B$3*LN(4*PI()*C960^2)</x:f>
        <x:v>10.289740958207613</x:v>
      </x:c>
      <x:c r="F960" s="23" t="n">
        <x:f>D960+E960</x:f>
        <x:v>-2.538579041792387</x:v>
      </x:c>
      <x:c r="G960" s="23" t="n">
        <x:f>AVERAGE($F$944:$F$967)</x:f>
        <x:v>-2.7458230778907833</x:v>
      </x:c>
      <x:c r="H960" s="24" t="n">
        <x:f>F960-G960</x:f>
        <x:v>0.20724403609839648</x:v>
      </x:c>
    </x:row>
    <x:row r="961">
      <x:c r="A961" s="2" t="str">
        <x:v>LiD3-Core</x:v>
      </x:c>
      <x:c r="B961" s="4" t="str">
        <x:v>LiCl</x:v>
      </x:c>
      <x:c r="C961" s="23" t="n">
        <x:v>2.260059</x:v>
      </x:c>
      <x:c r="D961" s="23" t="n">
        <x:v>-12.98247</x:v>
      </x:c>
      <x:c r="E961" s="23" t="n">
        <x:f>'Parameters'!$B$2*'Parameters'!$B$3*LN(4*PI()*C961^2)</x:f>
        <x:v>10.316938450861425</x:v>
      </x:c>
      <x:c r="F961" s="23" t="n">
        <x:f>D961+E961</x:f>
        <x:v>-2.6655315491385743</x:v>
      </x:c>
      <x:c r="G961" s="23" t="n">
        <x:f>AVERAGE($F$944:$F$967)</x:f>
        <x:v>-2.7458230778907833</x:v>
      </x:c>
      <x:c r="H961" s="24" t="n">
        <x:f>F961-G961</x:f>
        <x:v>0.08029152875220902</x:v>
      </x:c>
    </x:row>
    <x:row r="962">
      <x:c r="A962" s="2" t="str">
        <x:v>LiD3-Core</x:v>
      </x:c>
      <x:c r="B962" s="4" t="str">
        <x:v>LiCl</x:v>
      </x:c>
      <x:c r="C962" s="23" t="n">
        <x:v>2.272423</x:v>
      </x:c>
      <x:c r="D962" s="23" t="n">
        <x:v>-12.84491</x:v>
      </x:c>
      <x:c r="E962" s="23" t="n">
        <x:f>'Parameters'!$B$2*'Parameters'!$B$3*LN(4*PI()*C962^2)</x:f>
        <x:v>10.343987560588648</x:v>
      </x:c>
      <x:c r="F962" s="23" t="n">
        <x:f>D962+E962</x:f>
        <x:v>-2.5009224394113527</x:v>
      </x:c>
      <x:c r="G962" s="23" t="n">
        <x:f>AVERAGE($F$944:$F$967)</x:f>
        <x:v>-2.7458230778907833</x:v>
      </x:c>
      <x:c r="H962" s="24" t="n">
        <x:f>F962-G962</x:f>
        <x:v>0.24490063847943055</x:v>
      </x:c>
    </x:row>
    <x:row r="963">
      <x:c r="A963" s="2" t="str">
        <x:v>LiD3-Core</x:v>
      </x:c>
      <x:c r="B963" s="4" t="str">
        <x:v>LiCl</x:v>
      </x:c>
      <x:c r="C963" s="23" t="n">
        <x:v>2.284787</x:v>
      </x:c>
      <x:c r="D963" s="23" t="n">
        <x:v>-13.0096</x:v>
      </x:c>
      <x:c r="E963" s="23" t="n">
        <x:f>'Parameters'!$B$2*'Parameters'!$B$3*LN(4*PI()*C963^2)</x:f>
        <x:v>10.370889897690393</x:v>
      </x:c>
      <x:c r="F963" s="23" t="n">
        <x:f>D963+E963</x:f>
        <x:v>-2.6387101023096076</x:v>
      </x:c>
      <x:c r="G963" s="23" t="n">
        <x:f>AVERAGE($F$944:$F$967)</x:f>
        <x:v>-2.7458230778907833</x:v>
      </x:c>
      <x:c r="H963" s="24" t="n">
        <x:f>F963-G963</x:f>
        <x:v>0.10711297558117572</x:v>
      </x:c>
    </x:row>
    <x:row r="964">
      <x:c r="A964" s="2" t="str">
        <x:v>LiD3-Core</x:v>
      </x:c>
      <x:c r="B964" s="4" t="str">
        <x:v>LiCl</x:v>
      </x:c>
      <x:c r="C964" s="23" t="n">
        <x:v>2.297152</x:v>
      </x:c>
      <x:c r="D964" s="23" t="n">
        <x:v>-13.03485</x:v>
      </x:c>
      <x:c r="E964" s="23" t="n">
        <x:f>'Parameters'!$B$2*'Parameters'!$B$3*LN(4*PI()*C964^2)</x:f>
        <x:v>10.397649204683693</x:v>
      </x:c>
      <x:c r="F964" s="23" t="n">
        <x:f>D964+E964</x:f>
        <x:v>-2.637200795316307</x:v>
      </x:c>
      <x:c r="G964" s="23" t="n">
        <x:f>AVERAGE($F$944:$F$967)</x:f>
        <x:v>-2.7458230778907833</x:v>
      </x:c>
      <x:c r="H964" s="24" t="n">
        <x:f>F964-G964</x:f>
        <x:v>0.10862228257447626</x:v>
      </x:c>
    </x:row>
    <x:row r="965">
      <x:c r="A965" s="2" t="str">
        <x:v>LiD3-Core</x:v>
      </x:c>
      <x:c r="B965" s="4" t="str">
        <x:v>LiCl</x:v>
      </x:c>
      <x:c r="C965" s="23" t="n">
        <x:v>2.309516</x:v>
      </x:c>
      <x:c r="D965" s="23" t="n">
        <x:v>-13.12562</x:v>
      </x:c>
      <x:c r="E965" s="23" t="n">
        <x:f>'Parameters'!$B$2*'Parameters'!$B$3*LN(4*PI()*C965^2)</x:f>
        <x:v>10.424262712155699</x:v>
      </x:c>
      <x:c r="F965" s="23" t="n">
        <x:f>D965+E965</x:f>
        <x:v>-2.701357287844301</x:v>
      </x:c>
      <x:c r="G965" s="23" t="n">
        <x:f>AVERAGE($F$944:$F$967)</x:f>
        <x:v>-2.7458230778907833</x:v>
      </x:c>
      <x:c r="H965" s="24" t="n">
        <x:f>F965-G965</x:f>
        <x:v>0.04446579004648221</x:v>
      </x:c>
    </x:row>
    <x:row r="966">
      <x:c r="A966" s="2" t="str">
        <x:v>LiD3-Core</x:v>
      </x:c>
      <x:c r="B966" s="4" t="str">
        <x:v>LiCl</x:v>
      </x:c>
      <x:c r="C966" s="23" t="n">
        <x:v>2.32188</x:v>
      </x:c>
      <x:c r="D966" s="23" t="n">
        <x:v>-13.2003</x:v>
      </x:c>
      <x:c r="E966" s="23" t="n">
        <x:f>'Parameters'!$B$2*'Parameters'!$B$3*LN(4*PI()*C966^2)</x:f>
        <x:v>10.450734123821615</x:v>
      </x:c>
      <x:c r="F966" s="23" t="n">
        <x:f>D966+E966</x:f>
        <x:v>-2.7495658761783854</x:v>
      </x:c>
      <x:c r="G966" s="23" t="n">
        <x:f>AVERAGE($F$944:$F$967)</x:f>
        <x:v>-2.7458230778907833</x:v>
      </x:c>
      <x:c r="H966" s="24" t="n">
        <x:f>F966-G966</x:f>
        <x:v>-0.003742798287602156</x:v>
      </x:c>
    </x:row>
    <x:row r="967">
      <x:c r="A967" s="2" t="str">
        <x:v>LiD3-Core</x:v>
      </x:c>
      <x:c r="B967" s="4" t="str">
        <x:v>LiCl</x:v>
      </x:c>
      <x:c r="C967" s="23" t="n">
        <x:v>2.334245</x:v>
      </x:c>
      <x:c r="D967" s="23" t="n">
        <x:v>-13.12523</x:v>
      </x:c>
      <x:c r="E967" s="23" t="n">
        <x:f>'Parameters'!$B$2*'Parameters'!$B$3*LN(4*PI()*C967^2)</x:f>
        <x:v>10.477067072983516</x:v>
      </x:c>
      <x:c r="F967" s="23" t="n">
        <x:f>D967+E967</x:f>
        <x:v>-2.648162927016484</x:v>
      </x:c>
      <x:c r="G967" s="23" t="n">
        <x:f>AVERAGE($F$944:$F$967)</x:f>
        <x:v>-2.7458230778907833</x:v>
      </x:c>
      <x:c r="H967" s="24" t="n">
        <x:f>F967-G967</x:f>
        <x:v>0.09766015087429913</x:v>
      </x:c>
    </x:row>
    <x:row r="968">
      <x:c r="A968" s="2" t="str">
        <x:v>LiD3-Core</x:v>
      </x:c>
      <x:c r="B968" s="4" t="str">
        <x:v>LiCl</x:v>
      </x:c>
      <x:c r="C968" s="23" t="n">
        <x:v>2.346609</x:v>
      </x:c>
      <x:c r="D968" s="23" t="n">
        <x:v>-13.18584</x:v>
      </x:c>
      <x:c r="E968" s="23" t="n">
        <x:f>'Parameters'!$B$2*'Parameters'!$B$3*LN(4*PI()*C968^2)</x:f>
        <x:v>10.503258785859352</x:v>
      </x:c>
      <x:c r="F968" s="23" t="n">
        <x:f>D968+E968</x:f>
        <x:v>-2.682581214140649</x:v>
      </x:c>
      <x:c r="G968" s="23" t="n">
        <x:f>AVERAGE($F$944:$F$967)</x:f>
        <x:v>-2.7458230778907833</x:v>
      </x:c>
      <x:c r="H968" s="24" t="n">
        <x:f>F968-G968</x:f>
        <x:v>0.06324186375013419</x:v>
      </x:c>
    </x:row>
    <x:row r="969">
      <x:c r="A969" s="2" t="str">
        <x:v>LiD3-Core</x:v>
      </x:c>
      <x:c r="B969" s="4" t="str">
        <x:v>LiCl</x:v>
      </x:c>
      <x:c r="C969" s="23" t="n">
        <x:v>2.358973</x:v>
      </x:c>
      <x:c r="D969" s="23" t="n">
        <x:v>-13.14288</x:v>
      </x:c>
      <x:c r="E969" s="23" t="n">
        <x:f>'Parameters'!$B$2*'Parameters'!$B$3*LN(4*PI()*C969^2)</x:f>
        <x:v>10.529312859721601</x:v>
      </x:c>
      <x:c r="F969" s="23" t="n">
        <x:f>D969+E969</x:f>
        <x:v>-2.6135671402783984</x:v>
      </x:c>
      <x:c r="G969" s="23" t="n">
        <x:f>AVERAGE($F$944:$F$967)</x:f>
        <x:v>-2.7458230778907833</x:v>
      </x:c>
      <x:c r="H969" s="24" t="n">
        <x:f>F969-G969</x:f>
        <x:v>0.13225593761238486</x:v>
      </x:c>
    </x:row>
    <x:row r="970">
      <x:c r="A970" s="2" t="str">
        <x:v>LiD3-Core</x:v>
      </x:c>
      <x:c r="B970" s="4" t="str">
        <x:v>LiCl</x:v>
      </x:c>
      <x:c r="C970" s="23" t="n">
        <x:v>2.371337</x:v>
      </x:c>
      <x:c r="D970" s="23" t="n">
        <x:v>-13.21529</x:v>
      </x:c>
      <x:c r="E970" s="23" t="n">
        <x:f>'Parameters'!$B$2*'Parameters'!$B$3*LN(4*PI()*C970^2)</x:f>
        <x:v>10.555230733613756</x:v>
      </x:c>
      <x:c r="F970" s="23" t="n">
        <x:f>D970+E970</x:f>
        <x:v>-2.6600592663862432</x:v>
      </x:c>
      <x:c r="G970" s="23" t="n">
        <x:f>AVERAGE($F$944:$F$967)</x:f>
        <x:v>-2.7458230778907833</x:v>
      </x:c>
      <x:c r="H970" s="24" t="n">
        <x:f>F970-G970</x:f>
        <x:v>0.08576381150454004</x:v>
      </x:c>
    </x:row>
    <x:row r="971">
      <x:c r="A971" s="2" t="str">
        <x:v>LiD3-Core</x:v>
      </x:c>
      <x:c r="B971" s="4" t="str">
        <x:v>LiCl</x:v>
      </x:c>
      <x:c r="C971" s="23" t="n">
        <x:v>2.383702</x:v>
      </x:c>
      <x:c r="D971" s="23" t="n">
        <x:v>-13.26374</x:v>
      </x:c>
      <x:c r="E971" s="23" t="n">
        <x:f>'Parameters'!$B$2*'Parameters'!$B$3*LN(4*PI()*C971^2)</x:f>
        <x:v>10.58101590405075</x:v>
      </x:c>
      <x:c r="F971" s="23" t="n">
        <x:f>D971+E971</x:f>
        <x:v>-2.6827240959492507</x:v>
      </x:c>
      <x:c r="G971" s="23" t="n">
        <x:f>AVERAGE($F$944:$F$967)</x:f>
        <x:v>-2.7458230778907833</x:v>
      </x:c>
      <x:c r="H971" s="24" t="n">
        <x:f>F971-G971</x:f>
        <x:v>0.06309898194153263</x:v>
      </x:c>
    </x:row>
    <x:row r="972">
      <x:c r="A972" s="2" t="str">
        <x:v>LiD3-Core</x:v>
      </x:c>
      <x:c r="B972" s="4" t="str">
        <x:v>LiCl</x:v>
      </x:c>
      <x:c r="C972" s="23" t="n">
        <x:v>2.396066</x:v>
      </x:c>
      <x:c r="D972" s="23" t="n">
        <x:v>-13.35808</x:v>
      </x:c>
      <x:c r="E972" s="23" t="n">
        <x:f>'Parameters'!$B$2*'Parameters'!$B$3*LN(4*PI()*C972^2)</x:f>
        <x:v>10.606665595061443</x:v>
      </x:c>
      <x:c r="F972" s="23" t="n">
        <x:f>D972+E972</x:f>
        <x:v>-2.751414404938556</x:v>
      </x:c>
      <x:c r="G972" s="23" t="n">
        <x:f>AVERAGE($F$944:$F$967)</x:f>
        <x:v>-2.7458230778907833</x:v>
      </x:c>
      <x:c r="H972" s="24" t="n">
        <x:f>F972-G972</x:f>
        <x:v>-0.005591327047772765</x:v>
      </x:c>
    </x:row>
    <x:row r="973">
      <x:c r="A973" s="2" t="str">
        <x:v>LiD3-Core</x:v>
      </x:c>
      <x:c r="B973" s="4" t="str">
        <x:v>LiCl</x:v>
      </x:c>
      <x:c r="C973" s="23" t="n">
        <x:v>2.40843</x:v>
      </x:c>
      <x:c r="D973" s="23" t="n">
        <x:v>-13.30827</x:v>
      </x:c>
      <x:c r="E973" s="23" t="n">
        <x:f>'Parameters'!$B$2*'Parameters'!$B$3*LN(4*PI()*C973^2)</x:f>
        <x:v>10.632183270483644</x:v>
      </x:c>
      <x:c r="F973" s="23" t="n">
        <x:f>D973+E973</x:f>
        <x:v>-2.6760867295163564</x:v>
      </x:c>
      <x:c r="G973" s="23" t="n">
        <x:f>AVERAGE($F$944:$F$967)</x:f>
        <x:v>-2.7458230778907833</x:v>
      </x:c>
      <x:c r="H973" s="24" t="n">
        <x:f>F973-G973</x:f>
        <x:v>0.06973634837442688</x:v>
      </x:c>
    </x:row>
    <x:row r="974">
      <x:c r="A974" s="2" t="str">
        <x:v>LiD3-Core</x:v>
      </x:c>
      <x:c r="B974" s="4" t="str">
        <x:v>LiCl</x:v>
      </x:c>
      <x:c r="C974" s="23" t="n">
        <x:v>2.420794</x:v>
      </x:c>
      <x:c r="D974" s="23" t="n">
        <x:v>-13.28129</x:v>
      </x:c>
      <x:c r="E974" s="23" t="n">
        <x:f>'Parameters'!$B$2*'Parameters'!$B$3*LN(4*PI()*C974^2)</x:f>
        <x:v>10.657570282295634</x:v>
      </x:c>
      <x:c r="F974" s="23" t="n">
        <x:f>D974+E974</x:f>
        <x:v>-2.6237197177043665</x:v>
      </x:c>
      <x:c r="G974" s="23" t="n">
        <x:f>AVERAGE($F$944:$F$967)</x:f>
        <x:v>-2.7458230778907833</x:v>
      </x:c>
      <x:c r="H974" s="24" t="n">
        <x:f>F974-G974</x:f>
        <x:v>0.12210336018641677</x:v>
      </x:c>
    </x:row>
    <x:row r="975">
      <x:c r="A975" s="2" t="str">
        <x:v>LiD3-Core</x:v>
      </x:c>
      <x:c r="B975" s="4" t="str">
        <x:v>LiCl</x:v>
      </x:c>
      <x:c r="C975" s="23" t="n">
        <x:v>2.433159</x:v>
      </x:c>
      <x:c r="D975" s="23" t="n">
        <x:v>-13.30288</x:v>
      </x:c>
      <x:c r="E975" s="23" t="n">
        <x:f>'Parameters'!$B$2*'Parameters'!$B$3*LN(4*PI()*C975^2)</x:f>
        <x:v>10.682829999458265</x:v>
      </x:c>
      <x:c r="F975" s="23" t="n">
        <x:f>D975+E975</x:f>
        <x:v>-2.6200500005417346</x:v>
      </x:c>
      <x:c r="G975" s="23" t="n">
        <x:f>AVERAGE($F$944:$F$967)</x:f>
        <x:v>-2.7458230778907833</x:v>
      </x:c>
      <x:c r="H975" s="24" t="n">
        <x:f>F975-G975</x:f>
        <x:v>0.12577307734904863</x:v>
      </x:c>
    </x:row>
    <x:row r="976">
      <x:c r="A976" s="2" t="str">
        <x:v>LiD3-Core</x:v>
      </x:c>
      <x:c r="B976" s="4" t="str">
        <x:v>LiCl</x:v>
      </x:c>
      <x:c r="C976" s="23" t="n">
        <x:v>2.445523</x:v>
      </x:c>
      <x:c r="D976" s="23" t="n">
        <x:v>-13.27844</x:v>
      </x:c>
      <x:c r="E976" s="23" t="n">
        <x:f>'Parameters'!$B$2*'Parameters'!$B$3*LN(4*PI()*C976^2)</x:f>
        <x:v>10.707959647450703</x:v>
      </x:c>
      <x:c r="F976" s="23" t="n">
        <x:f>D976+E976</x:f>
        <x:v>-2.5704803525492963</x:v>
      </x:c>
      <x:c r="G976" s="23" t="n">
        <x:f>AVERAGE($F$944:$F$967)</x:f>
        <x:v>-2.7458230778907833</x:v>
      </x:c>
      <x:c r="H976" s="24" t="n">
        <x:f>F976-G976</x:f>
        <x:v>0.17534272534148698</x:v>
      </x:c>
    </x:row>
    <x:row r="977">
      <x:c r="A977" s="2" t="str">
        <x:v>LiD3-Core</x:v>
      </x:c>
      <x:c r="B977" s="4" t="str">
        <x:v>LiCl</x:v>
      </x:c>
      <x:c r="C977" s="23" t="n">
        <x:v>2.457887</x:v>
      </x:c>
      <x:c r="D977" s="23" t="n">
        <x:v>-13.54409</x:v>
      </x:c>
      <x:c r="E977" s="23" t="n">
        <x:f>'Parameters'!$B$2*'Parameters'!$B$3*LN(4*PI()*C977^2)</x:f>
        <x:v>10.732962565560022</x:v>
      </x:c>
      <x:c r="F977" s="23" t="n">
        <x:f>D977+E977</x:f>
        <x:v>-2.811127434439978</x:v>
      </x:c>
      <x:c r="G977" s="23" t="n">
        <x:f>AVERAGE($F$944:$F$967)</x:f>
        <x:v>-2.7458230778907833</x:v>
      </x:c>
      <x:c r="H977" s="24" t="n">
        <x:f>F977-G977</x:f>
        <x:v>-0.06530435654919486</x:v>
      </x:c>
    </x:row>
    <x:row r="978">
      <x:c r="A978" s="2" t="str">
        <x:v>LiD3-Core</x:v>
      </x:c>
      <x:c r="B978" s="4" t="str">
        <x:v>LiCl</x:v>
      </x:c>
      <x:c r="C978" s="23" t="n">
        <x:v>2.470252</x:v>
      </x:c>
      <x:c r="D978" s="23" t="n">
        <x:v>-13.55187</x:v>
      </x:c>
      <x:c r="E978" s="23" t="n">
        <x:f>'Parameters'!$B$2*'Parameters'!$B$3*LN(4*PI()*C978^2)</x:f>
        <x:v>10.757842032631846</x:v>
      </x:c>
      <x:c r="F978" s="23" t="n">
        <x:f>D978+E978</x:f>
        <x:v>-2.7940279673681534</x:v>
      </x:c>
      <x:c r="G978" s="23" t="n">
        <x:f>AVERAGE($F$944:$F$967)</x:f>
        <x:v>-2.7458230778907833</x:v>
      </x:c>
      <x:c r="H978" s="24" t="n">
        <x:f>F978-G978</x:f>
        <x:v>-0.048204889477370116</x:v>
      </x:c>
    </x:row>
    <x:row r="979">
      <x:c r="A979" s="2" t="str">
        <x:v>LiD3-Core</x:v>
      </x:c>
      <x:c r="B979" s="4" t="str">
        <x:v>LiCl</x:v>
      </x:c>
      <x:c r="C979" s="23" t="n">
        <x:v>2.482616</x:v>
      </x:c>
      <x:c r="D979" s="23" t="n">
        <x:v>-13.45484</x:v>
      </x:c>
      <x:c r="E979" s="23" t="n">
        <x:f>'Parameters'!$B$2*'Parameters'!$B$3*LN(4*PI()*C979^2)</x:f>
        <x:v>10.78259527732222</x:v>
      </x:c>
      <x:c r="F979" s="23" t="n">
        <x:f>D979+E979</x:f>
        <x:v>-2.6722447226777817</x:v>
      </x:c>
      <x:c r="G979" s="23" t="n">
        <x:f>AVERAGE($F$944:$F$967)</x:f>
        <x:v>-2.7458230778907833</x:v>
      </x:c>
      <x:c r="H979" s="24" t="n">
        <x:f>F979-G979</x:f>
        <x:v>0.0735783552130016</x:v>
      </x:c>
    </x:row>
    <x:row r="980">
      <x:c r="A980" s="2" t="str">
        <x:v>LiD3-Core</x:v>
      </x:c>
      <x:c r="B980" s="4" t="str">
        <x:v>LiCl</x:v>
      </x:c>
      <x:c r="C980" s="23" t="n">
        <x:v>2.49498</x:v>
      </x:c>
      <x:c r="D980" s="23" t="n">
        <x:v>-13.39264</x:v>
      </x:c>
      <x:c r="E980" s="23" t="n">
        <x:f>'Parameters'!$B$2*'Parameters'!$B$3*LN(4*PI()*C980^2)</x:f>
        <x:v>10.807225550851665</x:v>
      </x:c>
      <x:c r="F980" s="23" t="n">
        <x:f>D980+E980</x:f>
        <x:v>-2.5854144491483346</x:v>
      </x:c>
      <x:c r="G980" s="23" t="n">
        <x:f>AVERAGE($F$944:$F$967)</x:f>
        <x:v>-2.7458230778907833</x:v>
      </x:c>
      <x:c r="H980" s="24" t="n">
        <x:f>F980-G980</x:f>
        <x:v>0.16040862874244866</x:v>
      </x:c>
    </x:row>
    <x:row r="981">
      <x:c r="A981" s="2" t="str">
        <x:v>LiD3-Core</x:v>
      </x:c>
      <x:c r="B981" s="4" t="str">
        <x:v>LiCl</x:v>
      </x:c>
      <x:c r="C981" s="23" t="n">
        <x:v>2.507344</x:v>
      </x:c>
      <x:c r="D981" s="23" t="n">
        <x:v>-13.54599</x:v>
      </x:c>
      <x:c r="E981" s="23" t="n">
        <x:f>'Parameters'!$B$2*'Parameters'!$B$3*LN(4*PI()*C981^2)</x:f>
        <x:v>10.831734068994916</x:v>
      </x:c>
      <x:c r="F981" s="23" t="n">
        <x:f>D981+E981</x:f>
        <x:v>-2.714255931005084</x:v>
      </x:c>
      <x:c r="G981" s="23" t="n">
        <x:f>AVERAGE($F$944:$F$967)</x:f>
        <x:v>-2.7458230778907833</x:v>
      </x:c>
      <x:c r="H981" s="24" t="n">
        <x:f>F981-G981</x:f>
        <x:v>0.03156714688569906</x:v>
      </x:c>
    </x:row>
    <x:row r="982">
      <x:c r="A982" s="2" t="str">
        <x:v>LiD3-Core</x:v>
      </x:c>
      <x:c r="B982" s="4" t="str">
        <x:v>LiCl</x:v>
      </x:c>
      <x:c r="C982" s="23" t="n">
        <x:v>2.519709</x:v>
      </x:c>
      <x:c r="D982" s="23" t="n">
        <x:v>-13.64941</x:v>
      </x:c>
      <x:c r="E982" s="23" t="n">
        <x:f>'Parameters'!$B$2*'Parameters'!$B$3*LN(4*PI()*C982^2)</x:f>
        <x:v>10.856123997239221</x:v>
      </x:c>
      <x:c r="F982" s="23" t="n">
        <x:f>D982+E982</x:f>
        <x:v>-2.7932860027607784</x:v>
      </x:c>
      <x:c r="G982" s="23" t="n">
        <x:f>AVERAGE($F$944:$F$967)</x:f>
        <x:v>-2.7458230778907833</x:v>
      </x:c>
      <x:c r="H982" s="24" t="n">
        <x:f>F982-G982</x:f>
        <x:v>-0.04746292486999515</x:v>
      </x:c>
    </x:row>
    <x:row r="983">
      <x:c r="A983" s="2" t="str">
        <x:v>LiD3-Core</x:v>
      </x:c>
      <x:c r="B983" s="4" t="str">
        <x:v>LiCl</x:v>
      </x:c>
      <x:c r="C983" s="23" t="n">
        <x:v>2.532073</x:v>
      </x:c>
      <x:c r="D983" s="23" t="n">
        <x:v>-13.61051</x:v>
      </x:c>
      <x:c r="E983" s="23" t="n">
        <x:f>'Parameters'!$B$2*'Parameters'!$B$3*LN(4*PI()*C983^2)</x:f>
        <x:v>10.88039257091242</x:v>
      </x:c>
      <x:c r="F983" s="23" t="n">
        <x:f>D983+E983</x:f>
        <x:v>-2.7301174290875796</x:v>
      </x:c>
      <x:c r="G983" s="23" t="n">
        <x:f>AVERAGE($F$944:$F$967)</x:f>
        <x:v>-2.7458230778907833</x:v>
      </x:c>
      <x:c r="H983" s="24" t="n">
        <x:f>F983-G983</x:f>
        <x:v>0.015705648803203687</x:v>
      </x:c>
    </x:row>
    <x:row r="984">
      <x:c r="A984" s="2" t="str">
        <x:v>LiD3-Core</x:v>
      </x:c>
      <x:c r="B984" s="4" t="str">
        <x:v>LiCl</x:v>
      </x:c>
      <x:c r="C984" s="23" t="n">
        <x:v>2.544437</x:v>
      </x:c>
      <x:c r="D984" s="23" t="n">
        <x:v>-13.64939</x:v>
      </x:c>
      <x:c r="E984" s="23" t="n">
        <x:f>'Parameters'!$B$2*'Parameters'!$B$3*LN(4*PI()*C984^2)</x:f>
        <x:v>10.904542930365853</x:v>
      </x:c>
      <x:c r="F984" s="23" t="n">
        <x:f>D984+E984</x:f>
        <x:v>-2.7448470696341474</x:v>
      </x:c>
      <x:c r="G984" s="23" t="n">
        <x:f>AVERAGE($F$944:$F$967)</x:f>
        <x:v>-2.7458230778907833</x:v>
      </x:c>
      <x:c r="H984" s="24" t="n">
        <x:f>F984-G984</x:f>
        <x:v>0.0009760082566359074</x:v>
      </x:c>
    </x:row>
    <x:row r="985">
      <x:c r="A985" s="2" t="str">
        <x:v>LiD3-Core</x:v>
      </x:c>
      <x:c r="B985" s="4" t="str">
        <x:v>LiCl</x:v>
      </x:c>
      <x:c r="C985" s="23" t="n">
        <x:v>2.556802</x:v>
      </x:c>
      <x:c r="D985" s="23" t="n">
        <x:v>-13.684</x:v>
      </x:c>
      <x:c r="E985" s="23" t="n">
        <x:f>'Parameters'!$B$2*'Parameters'!$B$3*LN(4*PI()*C985^2)</x:f>
        <x:v>10.92857816078943</x:v>
      </x:c>
      <x:c r="F985" s="23" t="n">
        <x:f>D985+E985</x:f>
        <x:v>-2.7554218392105696</x:v>
      </x:c>
      <x:c r="G985" s="23" t="n">
        <x:f>AVERAGE($F$944:$F$967)</x:f>
        <x:v>-2.7458230778907833</x:v>
      </x:c>
      <x:c r="H985" s="24" t="n">
        <x:f>F985-G985</x:f>
        <x:v>-0.00959876131978632</x:v>
      </x:c>
    </x:row>
    <x:row r="986">
      <x:c r="A986" s="2" t="str">
        <x:v>LiD3-Core</x:v>
      </x:c>
      <x:c r="B986" s="4" t="str">
        <x:v>LiCl</x:v>
      </x:c>
      <x:c r="C986" s="23" t="n">
        <x:v>2.569166</x:v>
      </x:c>
      <x:c r="D986" s="23" t="n">
        <x:v>-13.64609</x:v>
      </x:c>
      <x:c r="E986" s="23" t="n">
        <x:f>'Parameters'!$B$2*'Parameters'!$B$3*LN(4*PI()*C986^2)</x:f>
        <x:v>10.952495504130951</x:v>
      </x:c>
      <x:c r="F986" s="23" t="n">
        <x:f>D986+E986</x:f>
        <x:v>-2.693594495869048</x:v>
      </x:c>
      <x:c r="G986" s="23" t="n">
        <x:f>AVERAGE($F$944:$F$967)</x:f>
        <x:v>-2.7458230778907833</x:v>
      </x:c>
      <x:c r="H986" s="24" t="n">
        <x:f>F986-G986</x:f>
        <x:v>0.05222858202173519</x:v>
      </x:c>
    </x:row>
    <x:row r="987">
      <x:c r="A987" s="2" t="str">
        <x:v>LiD3-Core</x:v>
      </x:c>
      <x:c r="B987" s="4" t="str">
        <x:v>LiCl</x:v>
      </x:c>
      <x:c r="C987" s="23" t="n">
        <x:v>2.58153</x:v>
      </x:c>
      <x:c r="D987" s="23" t="n">
        <x:v>-13.62732</x:v>
      </x:c>
      <x:c r="E987" s="23" t="n">
        <x:f>'Parameters'!$B$2*'Parameters'!$B$3*LN(4*PI()*C987^2)</x:f>
        <x:v>10.976298022147198</x:v>
      </x:c>
      <x:c r="F987" s="23" t="n">
        <x:f>D987+E987</x:f>
        <x:v>-2.6510219778528015</x:v>
      </x:c>
      <x:c r="G987" s="23" t="n">
        <x:f>AVERAGE($F$944:$F$967)</x:f>
        <x:v>-2.7458230778907833</x:v>
      </x:c>
      <x:c r="H987" s="24" t="n">
        <x:f>F987-G987</x:f>
        <x:v>0.09480110003798181</x:v>
      </x:c>
    </x:row>
    <x:row r="988">
      <x:c r="A988" s="2" t="str">
        <x:v>LiD3-Core</x:v>
      </x:c>
      <x:c r="B988" s="4" t="str">
        <x:v>LiCl</x:v>
      </x:c>
      <x:c r="C988" s="23" t="n">
        <x:v>2.593894</x:v>
      </x:c>
      <x:c r="D988" s="23" t="n">
        <x:v>-13.69149</x:v>
      </x:c>
      <x:c r="E988" s="23" t="n">
        <x:f>'Parameters'!$B$2*'Parameters'!$B$3*LN(4*PI()*C988^2)</x:f>
        <x:v>10.99998681210747</x:v>
      </x:c>
      <x:c r="F988" s="23" t="n">
        <x:f>D988+E988</x:f>
        <x:v>-2.691503187892529</x:v>
      </x:c>
      <x:c r="G988" s="23" t="n">
        <x:f>AVERAGE($F$944:$F$967)</x:f>
        <x:v>-2.7458230778907833</x:v>
      </x:c>
      <x:c r="H988" s="24" t="n">
        <x:f>F988-G988</x:f>
        <x:v>0.05431988999825421</x:v>
      </x:c>
    </x:row>
    <x:row r="989">
      <x:c r="A989" s="2" t="str">
        <x:v>LiD3-Core</x:v>
      </x:c>
      <x:c r="B989" s="4" t="str">
        <x:v>LiCl</x:v>
      </x:c>
      <x:c r="C989" s="23" t="n">
        <x:v>2.606259</x:v>
      </x:c>
      <x:c r="D989" s="23" t="n">
        <x:v>-13.66614</x:v>
      </x:c>
      <x:c r="E989" s="23" t="n">
        <x:f>'Parameters'!$B$2*'Parameters'!$B$3*LN(4*PI()*C989^2)</x:f>
        <x:v>11.02356485793853</x:v>
      </x:c>
      <x:c r="F989" s="23" t="n">
        <x:f>D989+E989</x:f>
        <x:v>-2.642575142061471</x:v>
      </x:c>
      <x:c r="G989" s="23" t="n">
        <x:f>AVERAGE($F$944:$F$967)</x:f>
        <x:v>-2.7458230778907833</x:v>
      </x:c>
      <x:c r="H989" s="24" t="n">
        <x:f>F989-G989</x:f>
        <x:v>0.10324793582931235</x:v>
      </x:c>
    </x:row>
    <x:row r="990">
      <x:c r="A990" s="2" t="str">
        <x:v>LiD3-Core</x:v>
      </x:c>
      <x:c r="B990" s="4" t="str">
        <x:v>LiCl</x:v>
      </x:c>
      <x:c r="C990" s="23" t="n">
        <x:v>2.618623</x:v>
      </x:c>
      <x:c r="D990" s="23" t="n">
        <x:v>-13.81843</x:v>
      </x:c>
      <x:c r="E990" s="23" t="n">
        <x:f>'Parameters'!$B$2*'Parameters'!$B$3*LN(4*PI()*C990^2)</x:f>
        <x:v>11.047029412295293</x:v>
      </x:c>
      <x:c r="F990" s="23" t="n">
        <x:f>D990+E990</x:f>
        <x:v>-2.771400587704706</x:v>
      </x:c>
      <x:c r="G990" s="23" t="n">
        <x:f>AVERAGE($F$944:$F$967)</x:f>
        <x:v>-2.7458230778907833</x:v>
      </x:c>
      <x:c r="H990" s="24" t="n">
        <x:f>F990-G990</x:f>
        <x:v>-0.025577509813922816</x:v>
      </x:c>
    </x:row>
    <x:row r="991">
      <x:c r="A991" s="2" t="str">
        <x:v>LiD3-Core</x:v>
      </x:c>
      <x:c r="B991" s="4" t="str">
        <x:v>LiCl</x:v>
      </x:c>
      <x:c r="C991" s="23" t="n">
        <x:v>2.630987</x:v>
      </x:c>
      <x:c r="D991" s="23" t="n">
        <x:v>-13.57033</x:v>
      </x:c>
      <x:c r="E991" s="23" t="n">
        <x:f>'Parameters'!$B$2*'Parameters'!$B$3*LN(4*PI()*C991^2)</x:f>
        <x:v>11.070383437745923</x:v>
      </x:c>
      <x:c r="F991" s="23" t="n">
        <x:f>D991+E991</x:f>
        <x:v>-2.4999465622540775</x:v>
      </x:c>
      <x:c r="G991" s="23" t="n">
        <x:f>AVERAGE($F$944:$F$967)</x:f>
        <x:v>-2.7458230778907833</x:v>
      </x:c>
      <x:c r="H991" s="24" t="n">
        <x:f>F991-G991</x:f>
        <x:v>0.24587651563670576</x:v>
      </x:c>
    </x:row>
    <x:row r="992">
      <x:c r="A992" s="2" t="str">
        <x:v>LiD3-Core</x:v>
      </x:c>
      <x:c r="B992" s="4" t="str">
        <x:v>LiCl</x:v>
      </x:c>
      <x:c r="C992" s="23" t="n">
        <x:v>2.643351</x:v>
      </x:c>
      <x:c r="D992" s="23" t="n">
        <x:v>-13.79919</x:v>
      </x:c>
      <x:c r="E992" s="23" t="n">
        <x:f>'Parameters'!$B$2*'Parameters'!$B$3*LN(4*PI()*C992^2)</x:f>
        <x:v>11.093627970694937</x:v>
      </x:c>
      <x:c r="F992" s="23" t="n">
        <x:f>D992+E992</x:f>
        <x:v>-2.705562029305062</x:v>
      </x:c>
      <x:c r="G992" s="23" t="n">
        <x:f>AVERAGE($F$944:$F$967)</x:f>
        <x:v>-2.7458230778907833</x:v>
      </x:c>
      <x:c r="H992" s="24" t="n">
        <x:f>F992-G992</x:f>
        <x:v>0.040261048585721326</x:v>
      </x:c>
    </x:row>
    <x:row r="993">
      <x:c r="A993" s="2" t="str">
        <x:v>LiD3-Core</x:v>
      </x:c>
      <x:c r="B993" s="4" t="str">
        <x:v>LiCl</x:v>
      </x:c>
      <x:c r="C993" s="23" t="n">
        <x:v>2.655716</x:v>
      </x:c>
      <x:c r="D993" s="23" t="n">
        <x:v>-13.57916</x:v>
      </x:c>
      <x:c r="E993" s="23" t="n">
        <x:f>'Parameters'!$B$2*'Parameters'!$B$3*LN(4*PI()*C993^2)</x:f>
        <x:v>11.116765899922148</x:v>
      </x:c>
      <x:c r="F993" s="23" t="n">
        <x:f>D993+E993</x:f>
        <x:v>-2.4623941000778515</x:v>
      </x:c>
      <x:c r="G993" s="23" t="n">
        <x:f>AVERAGE($F$944:$F$967)</x:f>
        <x:v>-2.7458230778907833</x:v>
      </x:c>
      <x:c r="H993" s="24" t="n">
        <x:f>F993-G993</x:f>
        <x:v>0.28342897781293175</x:v>
      </x:c>
    </x:row>
    <x:row r="994">
      <x:c r="A994" s="2" t="str">
        <x:v>LiD3-Core</x:v>
      </x:c>
      <x:c r="B994" s="4" t="str">
        <x:v>LiCl</x:v>
      </x:c>
      <x:c r="C994" s="23" t="n">
        <x:v>2.66808</x:v>
      </x:c>
      <x:c r="D994" s="23" t="n">
        <x:v>-13.67426</x:v>
      </x:c>
      <x:c r="E994" s="23" t="n">
        <x:f>'Parameters'!$B$2*'Parameters'!$B$3*LN(4*PI()*C994^2)</x:f>
        <x:v>11.139794490663062</x:v>
      </x:c>
      <x:c r="F994" s="23" t="n">
        <x:f>D994+E994</x:f>
        <x:v>-2.534465509336938</x:v>
      </x:c>
      <x:c r="G994" s="23" t="n">
        <x:f>AVERAGE($F$944:$F$967)</x:f>
        <x:v>-2.7458230778907833</x:v>
      </x:c>
      <x:c r="H994" s="24" t="n">
        <x:f>F994-G994</x:f>
        <x:v>0.21135756855384535</x:v>
      </x:c>
    </x:row>
    <x:row r="995">
      <x:c r="A995" s="2" t="str">
        <x:v>LiD3-Core</x:v>
      </x:c>
      <x:c r="B995" s="4" t="str">
        <x:v>LiCl</x:v>
      </x:c>
      <x:c r="C995" s="23" t="n">
        <x:v>2.680444</x:v>
      </x:c>
      <x:c r="D995" s="23" t="n">
        <x:v>-13.05174</x:v>
      </x:c>
      <x:c r="E995" s="23" t="n">
        <x:f>'Parameters'!$B$2*'Parameters'!$B$3*LN(4*PI()*C995^2)</x:f>
        <x:v>11.162716612212618</x:v>
      </x:c>
      <x:c r="F995" s="23" t="n">
        <x:f>D995+E995</x:f>
        <x:v>-1.8890233877873825</x:v>
      </x:c>
      <x:c r="G995" s="23" t="n">
        <x:f>AVERAGE($F$944:$F$967)</x:f>
        <x:v>-2.7458230778907833</x:v>
      </x:c>
      <x:c r="H995" s="24" t="n">
        <x:f>F995-G995</x:f>
        <x:v>0.8567996901034007</x:v>
      </x:c>
    </x:row>
    <x:row r="996">
      <x:c r="A996" s="2" t="str">
        <x:v>LiD3-Core</x:v>
      </x:c>
      <x:c r="B996" s="4" t="str">
        <x:v>LiCl</x:v>
      </x:c>
      <x:c r="C996" s="23" t="n">
        <x:v>2.692809</x:v>
      </x:c>
      <x:c r="D996" s="23" t="n">
        <x:v>-13.29013</x:v>
      </x:c>
      <x:c r="E996" s="23" t="n">
        <x:f>'Parameters'!$B$2*'Parameters'!$B$3*LN(4*PI()*C996^2)</x:f>
        <x:v>11.185535085698577</x:v>
      </x:c>
      <x:c r="F996" s="23" t="n">
        <x:f>D996+E996</x:f>
        <x:v>-2.1045949143014226</x:v>
      </x:c>
      <x:c r="G996" s="23" t="n">
        <x:f>AVERAGE($F$944:$F$967)</x:f>
        <x:v>-2.7458230778907833</x:v>
      </x:c>
      <x:c r="H996" s="24" t="n">
        <x:f>F996-G996</x:f>
        <x:v>0.6412281635893606</x:v>
      </x:c>
    </x:row>
    <x:row r="997">
      <x:c r="A997" s="2" t="str">
        <x:v>LiD3-Core</x:v>
      </x:c>
      <x:c r="B997" s="4" t="str">
        <x:v>LiCl</x:v>
      </x:c>
      <x:c r="C997" s="23" t="n">
        <x:v>2.705173</x:v>
      </x:c>
      <x:c r="D997" s="23" t="n">
        <x:v>-13.59751</x:v>
      </x:c>
      <x:c r="E997" s="23" t="n">
        <x:f>'Parameters'!$B$2*'Parameters'!$B$3*LN(4*PI()*C997^2)</x:f>
        <x:v>11.208247186860685</x:v>
      </x:c>
      <x:c r="F997" s="23" t="n">
        <x:f>D997+E997</x:f>
        <x:v>-2.3892628131393145</x:v>
      </x:c>
      <x:c r="G997" s="23" t="n">
        <x:f>AVERAGE($F$944:$F$967)</x:f>
        <x:v>-2.7458230778907833</x:v>
      </x:c>
      <x:c r="H997" s="24" t="n">
        <x:f>F997-G997</x:f>
        <x:v>0.35656026475146874</x:v>
      </x:c>
    </x:row>
    <x:row r="998">
      <x:c r="A998" s="2" t="str">
        <x:v>LiD3-Core</x:v>
      </x:c>
      <x:c r="B998" s="4" t="str">
        <x:v>LiCl</x:v>
      </x:c>
      <x:c r="C998" s="23" t="n">
        <x:v>2.717537</x:v>
      </x:c>
      <x:c r="D998" s="23" t="n">
        <x:v>-14.46511</x:v>
      </x:c>
      <x:c r="E998" s="23" t="n">
        <x:f>'Parameters'!$B$2*'Parameters'!$B$3*LN(4*PI()*C998^2)</x:f>
        <x:v>11.230855718628815</x:v>
      </x:c>
      <x:c r="F998" s="23" t="n">
        <x:f>D998+E998</x:f>
        <x:v>-3.234254281371184</x:v>
      </x:c>
      <x:c r="G998" s="23" t="n">
        <x:f>AVERAGE($F$944:$F$967)</x:f>
        <x:v>-2.7458230778907833</x:v>
      </x:c>
      <x:c r="H998" s="24" t="n">
        <x:f>F998-G998</x:f>
        <x:v>-0.4884312034804008</x:v>
      </x:c>
    </x:row>
    <x:row r="999">
      <x:c r="A999" s="2" t="str">
        <x:v>LiD3-Core</x:v>
      </x:c>
      <x:c r="B999" s="4" t="str">
        <x:v>LiCl</x:v>
      </x:c>
      <x:c r="C999" s="23" t="n">
        <x:v>2.729901</x:v>
      </x:c>
      <x:c r="D999" s="23" t="n">
        <x:v>-12.94862</x:v>
      </x:c>
      <x:c r="E999" s="23" t="n">
        <x:f>'Parameters'!$B$2*'Parameters'!$B$3*LN(4*PI()*C999^2)</x:f>
        <x:v>11.253361621289837</x:v>
      </x:c>
      <x:c r="F999" s="23" t="n">
        <x:f>D999+E999</x:f>
        <x:v>-1.6952583787101627</x:v>
      </x:c>
      <x:c r="G999" s="23" t="n">
        <x:f>AVERAGE($F$944:$F$967)</x:f>
        <x:v>-2.7458230778907833</x:v>
      </x:c>
      <x:c r="H999" s="24" t="n">
        <x:f>F999-G999</x:f>
        <x:v>1.0505646991806206</x:v>
      </x:c>
    </x:row>
    <x:row r="1000">
      <x:c r="A1000" s="2" t="str">
        <x:v>LiD3-Core</x:v>
      </x:c>
      <x:c r="B1000" s="4" t="str">
        <x:v>LiCl</x:v>
      </x:c>
      <x:c r="C1000" s="23" t="n">
        <x:v>2.742266</x:v>
      </x:c>
      <x:c r="D1000" s="23" t="n">
        <x:v>-15.01895</x:v>
      </x:c>
      <x:c r="E1000" s="23" t="n">
        <x:f>'Parameters'!$B$2*'Parameters'!$B$3*LN(4*PI()*C1000^2)</x:f>
        <x:v>11.275767630346257</x:v>
      </x:c>
      <x:c r="F1000" s="23" t="n">
        <x:f>D1000+E1000</x:f>
        <x:v>-3.743182369653743</x:v>
      </x:c>
      <x:c r="G1000" s="23" t="n">
        <x:f>AVERAGE($F$944:$F$967)</x:f>
        <x:v>-2.7458230778907833</x:v>
      </x:c>
      <x:c r="H1000" s="24" t="n">
        <x:f>F1000-G1000</x:f>
        <x:v>-0.9973592917629599</x:v>
      </x:c>
    </x:row>
    <x:row r="1001">
      <x:c r="A1001" s="2" t="str">
        <x:v>LiD3-Core</x:v>
      </x:c>
      <x:c r="B1001" s="4" t="str">
        <x:v>LiCl</x:v>
      </x:c>
      <x:c r="C1001" s="23" t="n">
        <x:v>2.75463</x:v>
      </x:c>
      <x:c r="D1001" s="23" t="n">
        <x:v>-15.52411</x:v>
      </x:c>
      <x:c r="E1001" s="23" t="n">
        <x:f>'Parameters'!$B$2*'Parameters'!$B$3*LN(4*PI()*C1001^2)</x:f>
        <x:v>11.298071036779385</x:v>
      </x:c>
      <x:c r="F1001" s="23" t="n">
        <x:f>D1001+E1001</x:f>
        <x:v>-4.226038963220615</x:v>
      </x:c>
      <x:c r="G1001" s="23" t="n">
        <x:f>AVERAGE($F$944:$F$967)</x:f>
        <x:v>-2.7458230778907833</x:v>
      </x:c>
      <x:c r="H1001" s="24" t="n">
        <x:f>F1001-G1001</x:f>
        <x:v>-1.480215885329832</x:v>
      </x:c>
    </x:row>
    <x:row r="1002">
      <x:c r="A1002" s="2" t="str">
        <x:v>LiD3-Core</x:v>
      </x:c>
      <x:c r="B1002" s="4" t="str">
        <x:v>NaCl</x:v>
      </x:c>
      <x:c r="C1002" s="23" t="n">
        <x:v>0.3564677</x:v>
      </x:c>
      <x:c r="D1002" s="23" t="n">
        <x:v>0</x:v>
      </x:c>
      <x:c r="E1002" s="23" t="n">
        <x:f>'Parameters'!$B$2*'Parameters'!$B$3*LN(4*PI()*C1002^2)</x:f>
        <x:v>1.1601542556049</x:v>
      </x:c>
      <x:c r="F1002" s="23" t="n">
        <x:f>D1002+E1002</x:f>
        <x:v>1.1601542556049</x:v>
      </x:c>
      <x:c r="G1002" s="23" t="n">
        <x:f>AVERAGE($F$1142:$F$1166)</x:f>
        <x:v>-13.488143584366567</x:v>
      </x:c>
      <x:c r="H1002" s="24" t="n">
        <x:f>F1002-G1002</x:f>
        <x:v>14.648297839971466</x:v>
      </x:c>
    </x:row>
    <x:row r="1003">
      <x:c r="A1003" s="2" t="str">
        <x:v>LiD3-Core</x:v>
      </x:c>
      <x:c r="B1003" s="4" t="str">
        <x:v>NaCl</x:v>
      </x:c>
      <x:c r="C1003" s="23" t="n">
        <x:v>0.3685368</x:v>
      </x:c>
      <x:c r="D1003" s="23" t="n">
        <x:v>-3.803209</x:v>
      </x:c>
      <x:c r="E1003" s="23" t="n">
        <x:f>'Parameters'!$B$2*'Parameters'!$B$3*LN(4*PI()*C1003^2)</x:f>
        <x:v>1.3252376141011124</x:v>
      </x:c>
      <x:c r="F1003" s="23" t="n">
        <x:f>D1003+E1003</x:f>
        <x:v>-2.477971385898887</x:v>
      </x:c>
      <x:c r="G1003" s="23" t="n">
        <x:f>AVERAGE($F$1142:$F$1166)</x:f>
        <x:v>-13.488143584366567</x:v>
      </x:c>
      <x:c r="H1003" s="24" t="n">
        <x:f>F1003-G1003</x:f>
        <x:v>11.010172198467679</x:v>
      </x:c>
    </x:row>
    <x:row r="1004">
      <x:c r="A1004" s="2" t="str">
        <x:v>LiD3-Core</x:v>
      </x:c>
      <x:c r="B1004" s="4" t="str">
        <x:v>NaCl</x:v>
      </x:c>
      <x:c r="C1004" s="23" t="n">
        <x:v>0.3806059</x:v>
      </x:c>
      <x:c r="D1004" s="23" t="n">
        <x:v>-7.881504</x:v>
      </x:c>
      <x:c r="E1004" s="23" t="n">
        <x:f>'Parameters'!$B$2*'Parameters'!$B$3*LN(4*PI()*C1004^2)</x:f>
        <x:v>1.4850008696737196</x:v>
      </x:c>
      <x:c r="F1004" s="23" t="n">
        <x:f>D1004+E1004</x:f>
        <x:v>-6.3965031303262805</x:v>
      </x:c>
      <x:c r="G1004" s="23" t="n">
        <x:f>AVERAGE($F$1142:$F$1166)</x:f>
        <x:v>-13.488143584366567</x:v>
      </x:c>
      <x:c r="H1004" s="24" t="n">
        <x:f>F1004-G1004</x:f>
        <x:v>7.091640454040286</x:v>
      </x:c>
    </x:row>
    <x:row r="1005">
      <x:c r="A1005" s="2" t="str">
        <x:v>LiD3-Core</x:v>
      </x:c>
      <x:c r="B1005" s="4" t="str">
        <x:v>NaCl</x:v>
      </x:c>
      <x:c r="C1005" s="23" t="n">
        <x:v>0.392675</x:v>
      </x:c>
      <x:c r="D1005" s="23" t="n">
        <x:v>-10.97719</x:v>
      </x:c>
      <x:c r="E1005" s="23" t="n">
        <x:f>'Parameters'!$B$2*'Parameters'!$B$3*LN(4*PI()*C1005^2)</x:f>
        <x:v>1.6397762431993996</x:v>
      </x:c>
      <x:c r="F1005" s="23" t="n">
        <x:f>D1005+E1005</x:f>
        <x:v>-9.3374137568006</x:v>
      </x:c>
      <x:c r="G1005" s="23" t="n">
        <x:f>AVERAGE($F$1142:$F$1166)</x:f>
        <x:v>-13.488143584366567</x:v>
      </x:c>
      <x:c r="H1005" s="24" t="n">
        <x:f>F1005-G1005</x:f>
        <x:v>4.150729827565966</x:v>
      </x:c>
    </x:row>
    <x:row r="1006">
      <x:c r="A1006" s="2" t="str">
        <x:v>LiD3-Core</x:v>
      </x:c>
      <x:c r="B1006" s="4" t="str">
        <x:v>NaCl</x:v>
      </x:c>
      <x:c r="C1006" s="23" t="n">
        <x:v>0.4047441</x:v>
      </x:c>
      <x:c r="D1006" s="23" t="n">
        <x:v>-12.48183</x:v>
      </x:c>
      <x:c r="E1006" s="23" t="n">
        <x:f>'Parameters'!$B$2*'Parameters'!$B$3*LN(4*PI()*C1006^2)</x:f>
        <x:v>1.789865776504806</x:v>
      </x:c>
      <x:c r="F1006" s="23" t="n">
        <x:f>D1006+E1006</x:f>
        <x:v>-10.691964223495194</x:v>
      </x:c>
      <x:c r="G1006" s="23" t="n">
        <x:f>AVERAGE($F$1142:$F$1166)</x:f>
        <x:v>-13.488143584366567</x:v>
      </x:c>
      <x:c r="H1006" s="24" t="n">
        <x:f>F1006-G1006</x:f>
        <x:v>2.7961793608713723</x:v>
      </x:c>
    </x:row>
    <x:row r="1007">
      <x:c r="A1007" s="2" t="str">
        <x:v>LiD3-Core</x:v>
      </x:c>
      <x:c r="B1007" s="4" t="str">
        <x:v>NaCl</x:v>
      </x:c>
      <x:c r="C1007" s="23" t="n">
        <x:v>0.4168132</x:v>
      </x:c>
      <x:c r="D1007" s="23" t="n">
        <x:v>-13.84721</x:v>
      </x:c>
      <x:c r="E1007" s="23" t="n">
        <x:f>'Parameters'!$B$2*'Parameters'!$B$3*LN(4*PI()*C1007^2)</x:f>
        <x:v>1.9355448804911783</x:v>
      </x:c>
      <x:c r="F1007" s="23" t="n">
        <x:f>D1007+E1007</x:f>
        <x:v>-11.911665119508822</x:v>
      </x:c>
      <x:c r="G1007" s="23" t="n">
        <x:f>AVERAGE($F$1142:$F$1166)</x:f>
        <x:v>-13.488143584366567</x:v>
      </x:c>
      <x:c r="H1007" s="24" t="n">
        <x:f>F1007-G1007</x:f>
        <x:v>1.576478464857745</x:v>
      </x:c>
    </x:row>
    <x:row r="1008">
      <x:c r="A1008" s="2" t="str">
        <x:v>LiD3-Core</x:v>
      </x:c>
      <x:c r="B1008" s="4" t="str">
        <x:v>NaCl</x:v>
      </x:c>
      <x:c r="C1008" s="23" t="n">
        <x:v>0.4288823</x:v>
      </x:c>
      <x:c r="D1008" s="23" t="n">
        <x:v>-15.05406</x:v>
      </x:c>
      <x:c r="E1008" s="23" t="n">
        <x:f>'Parameters'!$B$2*'Parameters'!$B$3*LN(4*PI()*C1008^2)</x:f>
        <x:v>2.077065376675814</x:v>
      </x:c>
      <x:c r="F1008" s="23" t="n">
        <x:f>D1008+E1008</x:f>
        <x:v>-12.976994623324186</x:v>
      </x:c>
      <x:c r="G1008" s="23" t="n">
        <x:f>AVERAGE($F$1142:$F$1166)</x:f>
        <x:v>-13.488143584366567</x:v>
      </x:c>
      <x:c r="H1008" s="24" t="n">
        <x:f>F1008-G1008</x:f>
        <x:v>0.5111489610423803</x:v>
      </x:c>
    </x:row>
    <x:row r="1009">
      <x:c r="A1009" s="2" t="str">
        <x:v>LiD3-Core</x:v>
      </x:c>
      <x:c r="B1009" s="4" t="str">
        <x:v>NaCl</x:v>
      </x:c>
      <x:c r="C1009" s="23" t="n">
        <x:v>0.4409514</x:v>
      </x:c>
      <x:c r="D1009" s="23" t="n">
        <x:v>-15.96197</x:v>
      </x:c>
      <x:c r="E1009" s="23" t="n">
        <x:f>'Parameters'!$B$2*'Parameters'!$B$3*LN(4*PI()*C1009^2)</x:f>
        <x:v>2.2146581165390753</x:v>
      </x:c>
      <x:c r="F1009" s="23" t="n">
        <x:f>D1009+E1009</x:f>
        <x:v>-13.747311883460926</x:v>
      </x:c>
      <x:c r="G1009" s="23" t="n">
        <x:f>AVERAGE($F$1142:$F$1166)</x:f>
        <x:v>-13.488143584366567</x:v>
      </x:c>
      <x:c r="H1009" s="24" t="n">
        <x:f>F1009-G1009</x:f>
        <x:v>-0.2591682990943589</x:v>
      </x:c>
    </x:row>
    <x:row r="1010">
      <x:c r="A1010" s="2" t="str">
        <x:v>LiD3-Core</x:v>
      </x:c>
      <x:c r="B1010" s="4" t="str">
        <x:v>NaCl</x:v>
      </x:c>
      <x:c r="C1010" s="23" t="n">
        <x:v>0.4530205</x:v>
      </x:c>
      <x:c r="D1010" s="23" t="n">
        <x:v>-16.77587</x:v>
      </x:c>
      <x:c r="E1010" s="23" t="n">
        <x:f>'Parameters'!$B$2*'Parameters'!$B$3*LN(4*PI()*C1010^2)</x:f>
        <x:v>2.348535247106917</x:v>
      </x:c>
      <x:c r="F1010" s="23" t="n">
        <x:f>D1010+E1010</x:f>
        <x:v>-14.427334752893085</x:v>
      </x:c>
      <x:c r="G1010" s="23" t="n">
        <x:f>AVERAGE($F$1142:$F$1166)</x:f>
        <x:v>-13.488143584366567</x:v>
      </x:c>
      <x:c r="H1010" s="24" t="n">
        <x:f>F1010-G1010</x:f>
        <x:v>-0.9391911685265182</x:v>
      </x:c>
    </x:row>
    <x:row r="1011">
      <x:c r="A1011" s="2" t="str">
        <x:v>LiD3-Core</x:v>
      </x:c>
      <x:c r="B1011" s="4" t="str">
        <x:v>NaCl</x:v>
      </x:c>
      <x:c r="C1011" s="23" t="n">
        <x:v>0.4650896</x:v>
      </x:c>
      <x:c r="D1011" s="23" t="n">
        <x:v>-17.75276</x:v>
      </x:c>
      <x:c r="E1011" s="23" t="n">
        <x:f>'Parameters'!$B$2*'Parameters'!$B$3*LN(4*PI()*C1011^2)</x:f>
        <x:v>2.478892178598754</x:v>
      </x:c>
      <x:c r="F1011" s="23" t="n">
        <x:f>D1011+E1011</x:f>
        <x:v>-15.273867821401245</x:v>
      </x:c>
      <x:c r="G1011" s="23" t="n">
        <x:f>AVERAGE($F$1142:$F$1166)</x:f>
        <x:v>-13.488143584366567</x:v>
      </x:c>
      <x:c r="H1011" s="24" t="n">
        <x:f>F1011-G1011</x:f>
        <x:v>-1.7857242370346782</x:v>
      </x:c>
    </x:row>
    <x:row r="1012">
      <x:c r="A1012" s="2" t="str">
        <x:v>LiD3-Core</x:v>
      </x:c>
      <x:c r="B1012" s="4" t="str">
        <x:v>NaCl</x:v>
      </x:c>
      <x:c r="C1012" s="23" t="n">
        <x:v>0.4771588</x:v>
      </x:c>
      <x:c r="D1012" s="23" t="n">
        <x:v>-18.55917</x:v>
      </x:c>
      <x:c r="E1012" s="23" t="n">
        <x:f>'Parameters'!$B$2*'Parameters'!$B$3*LN(4*PI()*C1012^2)</x:f>
        <x:v>2.605910339003239</x:v>
      </x:c>
      <x:c r="F1012" s="23" t="n">
        <x:f>D1012+E1012</x:f>
        <x:v>-15.953259660996762</x:v>
      </x:c>
      <x:c r="G1012" s="23" t="n">
        <x:f>AVERAGE($F$1142:$F$1166)</x:f>
        <x:v>-13.488143584366567</x:v>
      </x:c>
      <x:c r="H1012" s="24" t="n">
        <x:f>F1012-G1012</x:f>
        <x:v>-2.4651160766301956</x:v>
      </x:c>
    </x:row>
    <x:row r="1013">
      <x:c r="A1013" s="2" t="str">
        <x:v>LiD3-Core</x:v>
      </x:c>
      <x:c r="B1013" s="4" t="str">
        <x:v>NaCl</x:v>
      </x:c>
      <x:c r="C1013" s="23" t="n">
        <x:v>0.4892279</x:v>
      </x:c>
      <x:c r="D1013" s="23" t="n">
        <x:v>-18.93912</x:v>
      </x:c>
      <x:c r="E1013" s="23" t="n">
        <x:f>'Parameters'!$B$2*'Parameters'!$B$3*LN(4*PI()*C1013^2)</x:f>
        <x:v>2.7297544934533784</x:v>
      </x:c>
      <x:c r="F1013" s="23" t="n">
        <x:f>D1013+E1013</x:f>
        <x:v>-16.20936550654662</x:v>
      </x:c>
      <x:c r="G1013" s="23" t="n">
        <x:f>AVERAGE($F$1142:$F$1166)</x:f>
        <x:v>-13.488143584366567</x:v>
      </x:c>
      <x:c r="H1013" s="24" t="n">
        <x:f>F1013-G1013</x:f>
        <x:v>-2.721221922180055</x:v>
      </x:c>
    </x:row>
    <x:row r="1014">
      <x:c r="A1014" s="2" t="str">
        <x:v>LiD3-Core</x:v>
      </x:c>
      <x:c r="B1014" s="4" t="str">
        <x:v>NaCl</x:v>
      </x:c>
      <x:c r="C1014" s="23" t="n">
        <x:v>0.501297</x:v>
      </x:c>
      <x:c r="D1014" s="23" t="n">
        <x:v>-18.86291</x:v>
      </x:c>
      <x:c r="E1014" s="23" t="n">
        <x:f>'Parameters'!$B$2*'Parameters'!$B$3*LN(4*PI()*C1014^2)</x:f>
        <x:v>2.8505803748867162</x:v>
      </x:c>
      <x:c r="F1014" s="23" t="n">
        <x:f>D1014+E1014</x:f>
        <x:v>-16.01232962511328</x:v>
      </x:c>
      <x:c r="G1014" s="23" t="n">
        <x:f>AVERAGE($F$1142:$F$1166)</x:f>
        <x:v>-13.488143584366567</x:v>
      </x:c>
      <x:c r="H1014" s="24" t="n">
        <x:f>F1014-G1014</x:f>
        <x:v>-2.5241860407467147</x:v>
      </x:c>
    </x:row>
    <x:row r="1015">
      <x:c r="A1015" s="2" t="str">
        <x:v>LiD3-Core</x:v>
      </x:c>
      <x:c r="B1015" s="4" t="str">
        <x:v>NaCl</x:v>
      </x:c>
      <x:c r="C1015" s="23" t="n">
        <x:v>0.5133661</x:v>
      </x:c>
      <x:c r="D1015" s="23" t="n">
        <x:v>-18.65388</x:v>
      </x:c>
      <x:c r="E1015" s="23" t="n">
        <x:f>'Parameters'!$B$2*'Parameters'!$B$3*LN(4*PI()*C1015^2)</x:f>
        <x:v>2.968531609778929</x:v>
      </x:c>
      <x:c r="F1015" s="23" t="n">
        <x:f>D1015+E1015</x:f>
        <x:v>-15.685348390221073</x:v>
      </x:c>
      <x:c r="G1015" s="23" t="n">
        <x:f>AVERAGE($F$1142:$F$1166)</x:f>
        <x:v>-13.488143584366567</x:v>
      </x:c>
      <x:c r="H1015" s="24" t="n">
        <x:f>F1015-G1015</x:f>
        <x:v>-2.197204805854506</x:v>
      </x:c>
    </x:row>
    <x:row r="1016">
      <x:c r="A1016" s="2" t="str">
        <x:v>LiD3-Core</x:v>
      </x:c>
      <x:c r="B1016" s="4" t="str">
        <x:v>NaCl</x:v>
      </x:c>
      <x:c r="C1016" s="23" t="n">
        <x:v>0.5254352</x:v>
      </x:c>
      <x:c r="D1016" s="23" t="n">
        <x:v>-18.41422</x:v>
      </x:c>
      <x:c r="E1016" s="23" t="n">
        <x:f>'Parameters'!$B$2*'Parameters'!$B$3*LN(4*PI()*C1016^2)</x:f>
        <x:v>3.0837418105683856</x:v>
      </x:c>
      <x:c r="F1016" s="23" t="n">
        <x:f>D1016+E1016</x:f>
        <x:v>-15.330478189431615</x:v>
      </x:c>
      <x:c r="G1016" s="23" t="n">
        <x:f>AVERAGE($F$1142:$F$1166)</x:f>
        <x:v>-13.488143584366567</x:v>
      </x:c>
      <x:c r="H1016" s="24" t="n">
        <x:f>F1016-G1016</x:f>
        <x:v>-1.842334605065048</x:v>
      </x:c>
    </x:row>
    <x:row r="1017">
      <x:c r="A1017" s="2" t="str">
        <x:v>LiD3-Core</x:v>
      </x:c>
      <x:c r="B1017" s="4" t="str">
        <x:v>NaCl</x:v>
      </x:c>
      <x:c r="C1017" s="23" t="n">
        <x:v>0.5375043</x:v>
      </x:c>
      <x:c r="D1017" s="23" t="n">
        <x:v>-18.19728</x:v>
      </x:c>
      <x:c r="E1017" s="23" t="n">
        <x:f>'Parameters'!$B$2*'Parameters'!$B$3*LN(4*PI()*C1017^2)</x:f>
        <x:v>3.1963354854927513</x:v>
      </x:c>
      <x:c r="F1017" s="23" t="n">
        <x:f>D1017+E1017</x:f>
        <x:v>-15.000944514507248</x:v>
      </x:c>
      <x:c r="G1017" s="23" t="n">
        <x:f>AVERAGE($F$1142:$F$1166)</x:f>
        <x:v>-13.488143584366567</x:v>
      </x:c>
      <x:c r="H1017" s="24" t="n">
        <x:f>F1017-G1017</x:f>
        <x:v>-1.5128009301406813</x:v>
      </x:c>
    </x:row>
    <x:row r="1018">
      <x:c r="A1018" s="2" t="str">
        <x:v>LiD3-Core</x:v>
      </x:c>
      <x:c r="B1018" s="4" t="str">
        <x:v>NaCl</x:v>
      </x:c>
      <x:c r="C1018" s="23" t="n">
        <x:v>0.5495734</x:v>
      </x:c>
      <x:c r="D1018" s="23" t="n">
        <x:v>-18.19263</x:v>
      </x:c>
      <x:c r="E1018" s="23" t="n">
        <x:f>'Parameters'!$B$2*'Parameters'!$B$3*LN(4*PI()*C1018^2)</x:f>
        <x:v>3.3064288473860586</x:v>
      </x:c>
      <x:c r="F1018" s="23" t="n">
        <x:f>D1018+E1018</x:f>
        <x:v>-14.886201152613943</x:v>
      </x:c>
      <x:c r="G1018" s="23" t="n">
        <x:f>AVERAGE($F$1142:$F$1166)</x:f>
        <x:v>-13.488143584366567</x:v>
      </x:c>
      <x:c r="H1018" s="24" t="n">
        <x:f>F1018-G1018</x:f>
        <x:v>-1.398057568247376</x:v>
      </x:c>
    </x:row>
    <x:row r="1019">
      <x:c r="A1019" s="2" t="str">
        <x:v>LiD3-Core</x:v>
      </x:c>
      <x:c r="B1019" s="4" t="str">
        <x:v>NaCl</x:v>
      </x:c>
      <x:c r="C1019" s="23" t="n">
        <x:v>0.5616425</x:v>
      </x:c>
      <x:c r="D1019" s="23" t="n">
        <x:v>-17.90745</x:v>
      </x:c>
      <x:c r="E1019" s="23" t="n">
        <x:f>'Parameters'!$B$2*'Parameters'!$B$3*LN(4*PI()*C1019^2)</x:f>
        <x:v>3.414130534609063</x:v>
      </x:c>
      <x:c r="F1019" s="23" t="n">
        <x:f>D1019+E1019</x:f>
        <x:v>-14.493319465390938</x:v>
      </x:c>
      <x:c r="G1019" s="23" t="n">
        <x:f>AVERAGE($F$1142:$F$1166)</x:f>
        <x:v>-13.488143584366567</x:v>
      </x:c>
      <x:c r="H1019" s="24" t="n">
        <x:f>F1019-G1019</x:f>
        <x:v>-1.0051758810243712</x:v>
      </x:c>
    </x:row>
    <x:row r="1020">
      <x:c r="A1020" s="2" t="str">
        <x:v>LiD3-Core</x:v>
      </x:c>
      <x:c r="B1020" s="4" t="str">
        <x:v>NaCl</x:v>
      </x:c>
      <x:c r="C1020" s="23" t="n">
        <x:v>0.5737116</x:v>
      </x:c>
      <x:c r="D1020" s="23" t="n">
        <x:v>-17.98815</x:v>
      </x:c>
      <x:c r="E1020" s="23" t="n">
        <x:f>'Parameters'!$B$2*'Parameters'!$B$3*LN(4*PI()*C1020^2)</x:f>
        <x:v>3.519542255324539</x:v>
      </x:c>
      <x:c r="F1020" s="23" t="n">
        <x:f>D1020+E1020</x:f>
        <x:v>-14.468607744675463</x:v>
      </x:c>
      <x:c r="G1020" s="23" t="n">
        <x:f>AVERAGE($F$1142:$F$1166)</x:f>
        <x:v>-13.488143584366567</x:v>
      </x:c>
      <x:c r="H1020" s="24" t="n">
        <x:f>F1020-G1020</x:f>
        <x:v>-0.9804641603088964</x:v>
      </x:c>
    </x:row>
    <x:row r="1021">
      <x:c r="A1021" s="2" t="str">
        <x:v>LiD3-Core</x:v>
      </x:c>
      <x:c r="B1021" s="4" t="str">
        <x:v>NaCl</x:v>
      </x:c>
      <x:c r="C1021" s="23" t="n">
        <x:v>0.5857807</x:v>
      </x:c>
      <x:c r="D1021" s="23" t="n">
        <x:v>-17.85212</x:v>
      </x:c>
      <x:c r="E1021" s="23" t="n">
        <x:f>'Parameters'!$B$2*'Parameters'!$B$3*LN(4*PI()*C1021^2)</x:f>
        <x:v>3.6227593646949416</x:v>
      </x:c>
      <x:c r="F1021" s="23" t="n">
        <x:f>D1021+E1021</x:f>
        <x:v>-14.229360635305058</x:v>
      </x:c>
      <x:c r="G1021" s="23" t="n">
        <x:f>AVERAGE($F$1142:$F$1166)</x:f>
        <x:v>-13.488143584366567</x:v>
      </x:c>
      <x:c r="H1021" s="24" t="n">
        <x:f>F1021-G1021</x:f>
        <x:v>-0.7412170509384914</x:v>
      </x:c>
    </x:row>
    <x:row r="1022">
      <x:c r="A1022" s="2" t="str">
        <x:v>LiD3-Core</x:v>
      </x:c>
      <x:c r="B1022" s="4" t="str">
        <x:v>NaCl</x:v>
      </x:c>
      <x:c r="C1022" s="23" t="n">
        <x:v>0.5978498</x:v>
      </x:c>
      <x:c r="D1022" s="23" t="n">
        <x:v>-17.6546</x:v>
      </x:c>
      <x:c r="E1022" s="23" t="n">
        <x:f>'Parameters'!$B$2*'Parameters'!$B$3*LN(4*PI()*C1022^2)</x:f>
        <x:v>3.7238713832121397</x:v>
      </x:c>
      <x:c r="F1022" s="23" t="n">
        <x:f>D1022+E1022</x:f>
        <x:v>-13.930728616787858</x:v>
      </x:c>
      <x:c r="G1022" s="23" t="n">
        <x:f>AVERAGE($F$1142:$F$1166)</x:f>
        <x:v>-13.488143584366567</x:v>
      </x:c>
      <x:c r="H1022" s="24" t="n">
        <x:f>F1022-G1022</x:f>
        <x:v>-0.44258503242129166</x:v>
      </x:c>
    </x:row>
    <x:row r="1023">
      <x:c r="A1023" s="2" t="str">
        <x:v>LiD3-Core</x:v>
      </x:c>
      <x:c r="B1023" s="4" t="str">
        <x:v>NaCl</x:v>
      </x:c>
      <x:c r="C1023" s="23" t="n">
        <x:v>0.6099189</x:v>
      </x:c>
      <x:c r="D1023" s="23" t="n">
        <x:v>-17.95782</x:v>
      </x:c>
      <x:c r="E1023" s="23" t="n">
        <x:f>'Parameters'!$B$2*'Parameters'!$B$3*LN(4*PI()*C1023^2)</x:f>
        <x:v>3.8229624632201413</x:v>
      </x:c>
      <x:c r="F1023" s="23" t="n">
        <x:f>D1023+E1023</x:f>
        <x:v>-14.13485753677986</x:v>
      </x:c>
      <x:c r="G1023" s="23" t="n">
        <x:f>AVERAGE($F$1142:$F$1166)</x:f>
        <x:v>-13.488143584366567</x:v>
      </x:c>
      <x:c r="H1023" s="24" t="n">
        <x:f>F1023-G1023</x:f>
        <x:v>-0.6467139524132932</x:v>
      </x:c>
    </x:row>
    <x:row r="1024">
      <x:c r="A1024" s="2" t="str">
        <x:v>LiD3-Core</x:v>
      </x:c>
      <x:c r="B1024" s="4" t="str">
        <x:v>NaCl</x:v>
      </x:c>
      <x:c r="C1024" s="23" t="n">
        <x:v>0.6219881</x:v>
      </x:c>
      <x:c r="D1024" s="23" t="n">
        <x:v>-18.20888</x:v>
      </x:c>
      <x:c r="E1024" s="23" t="n">
        <x:f>'Parameters'!$B$2*'Parameters'!$B$3*LN(4*PI()*C1024^2)</x:f>
        <x:v>3.9201126068305396</x:v>
      </x:c>
      <x:c r="F1024" s="23" t="n">
        <x:f>D1024+E1024</x:f>
        <x:v>-14.288767393169461</x:v>
      </x:c>
      <x:c r="G1024" s="23" t="n">
        <x:f>AVERAGE($F$1142:$F$1166)</x:f>
        <x:v>-13.488143584366567</x:v>
      </x:c>
      <x:c r="H1024" s="24" t="n">
        <x:f>F1024-G1024</x:f>
        <x:v>-0.8006238088028947</x:v>
      </x:c>
    </x:row>
    <x:row r="1025">
      <x:c r="A1025" s="2" t="str">
        <x:v>LiD3-Core</x:v>
      </x:c>
      <x:c r="B1025" s="4" t="str">
        <x:v>NaCl</x:v>
      </x:c>
      <x:c r="C1025" s="23" t="n">
        <x:v>0.6340572</x:v>
      </x:c>
      <x:c r="D1025" s="23" t="n">
        <x:v>-18.39269</x:v>
      </x:c>
      <x:c r="E1025" s="23" t="n">
        <x:f>'Parameters'!$B$2*'Parameters'!$B$3*LN(4*PI()*C1025^2)</x:f>
        <x:v>4.015394842684723</x:v>
      </x:c>
      <x:c r="F1025" s="23" t="n">
        <x:f>D1025+E1025</x:f>
        <x:v>-14.37729515731528</x:v>
      </x:c>
      <x:c r="G1025" s="23" t="n">
        <x:f>AVERAGE($F$1142:$F$1166)</x:f>
        <x:v>-13.488143584366567</x:v>
      </x:c>
      <x:c r="H1025" s="24" t="n">
        <x:f>F1025-G1025</x:f>
        <x:v>-0.8891515729487125</x:v>
      </x:c>
    </x:row>
    <x:row r="1026">
      <x:c r="A1026" s="2" t="str">
        <x:v>LiD3-Core</x:v>
      </x:c>
      <x:c r="B1026" s="4" t="str">
        <x:v>NaCl</x:v>
      </x:c>
      <x:c r="C1026" s="23" t="n">
        <x:v>0.6461263</x:v>
      </x:c>
      <x:c r="D1026" s="23" t="n">
        <x:v>-18.57978</x:v>
      </x:c>
      <x:c r="E1026" s="23" t="n">
        <x:f>'Parameters'!$B$2*'Parameters'!$B$3*LN(4*PI()*C1026^2)</x:f>
        <x:v>4.1088803991837075</x:v>
      </x:c>
      <x:c r="F1026" s="23" t="n">
        <x:f>D1026+E1026</x:f>
        <x:v>-14.470899600816292</x:v>
      </x:c>
      <x:c r="G1026" s="23" t="n">
        <x:f>AVERAGE($F$1142:$F$1166)</x:f>
        <x:v>-13.488143584366567</x:v>
      </x:c>
      <x:c r="H1026" s="24" t="n">
        <x:f>F1026-G1026</x:f>
        <x:v>-0.9827560164497253</x:v>
      </x:c>
    </x:row>
    <x:row r="1027">
      <x:c r="A1027" s="2" t="str">
        <x:v>LiD3-Core</x:v>
      </x:c>
      <x:c r="B1027" s="4" t="str">
        <x:v>NaCl</x:v>
      </x:c>
      <x:c r="C1027" s="23" t="n">
        <x:v>0.6581954</x:v>
      </x:c>
      <x:c r="D1027" s="23" t="n">
        <x:v>-18.8212</x:v>
      </x:c>
      <x:c r="E1027" s="23" t="n">
        <x:f>'Parameters'!$B$2*'Parameters'!$B$3*LN(4*PI()*C1027^2)</x:f>
        <x:v>4.200635781991114</x:v>
      </x:c>
      <x:c r="F1027" s="23" t="n">
        <x:f>D1027+E1027</x:f>
        <x:v>-14.620564218008887</x:v>
      </x:c>
      <x:c r="G1027" s="23" t="n">
        <x:f>AVERAGE($F$1142:$F$1166)</x:f>
        <x:v>-13.488143584366567</x:v>
      </x:c>
      <x:c r="H1027" s="24" t="n">
        <x:f>F1027-G1027</x:f>
        <x:v>-1.1324206336423206</x:v>
      </x:c>
    </x:row>
    <x:row r="1028">
      <x:c r="A1028" s="2" t="str">
        <x:v>LiD3-Core</x:v>
      </x:c>
      <x:c r="B1028" s="4" t="str">
        <x:v>NaCl</x:v>
      </x:c>
      <x:c r="C1028" s="23" t="n">
        <x:v>0.6702645</x:v>
      </x:c>
      <x:c r="D1028" s="23" t="n">
        <x:v>-18.77217</x:v>
      </x:c>
      <x:c r="E1028" s="23" t="n">
        <x:f>'Parameters'!$B$2*'Parameters'!$B$3*LN(4*PI()*C1028^2)</x:f>
        <x:v>4.290723871123933</x:v>
      </x:c>
      <x:c r="F1028" s="23" t="n">
        <x:f>D1028+E1028</x:f>
        <x:v>-14.481446128876065</x:v>
      </x:c>
      <x:c r="G1028" s="23" t="n">
        <x:f>AVERAGE($F$1142:$F$1166)</x:f>
        <x:v>-13.488143584366567</x:v>
      </x:c>
      <x:c r="H1028" s="24" t="n">
        <x:f>F1028-G1028</x:f>
        <x:v>-0.9933025445094987</x:v>
      </x:c>
    </x:row>
    <x:row r="1029">
      <x:c r="A1029" s="2" t="str">
        <x:v>LiD3-Core</x:v>
      </x:c>
      <x:c r="B1029" s="4" t="str">
        <x:v>NaCl</x:v>
      </x:c>
      <x:c r="C1029" s="23" t="n">
        <x:v>0.6823336</x:v>
      </x:c>
      <x:c r="D1029" s="23" t="n">
        <x:v>-18.97027</x:v>
      </x:c>
      <x:c r="E1029" s="23" t="n">
        <x:f>'Parameters'!$B$2*'Parameters'!$B$3*LN(4*PI()*C1029^2)</x:f>
        <x:v>4.379204179798471</x:v>
      </x:c>
      <x:c r="F1029" s="23" t="n">
        <x:f>D1029+E1029</x:f>
        <x:v>-14.591065820201528</x:v>
      </x:c>
      <x:c r="G1029" s="23" t="n">
        <x:f>AVERAGE($F$1142:$F$1166)</x:f>
        <x:v>-13.488143584366567</x:v>
      </x:c>
      <x:c r="H1029" s="24" t="n">
        <x:f>F1029-G1029</x:f>
        <x:v>-1.1029222358349617</x:v>
      </x:c>
    </x:row>
    <x:row r="1030">
      <x:c r="A1030" s="2" t="str">
        <x:v>LiD3-Core</x:v>
      </x:c>
      <x:c r="B1030" s="4" t="str">
        <x:v>NaCl</x:v>
      </x:c>
      <x:c r="C1030" s="23" t="n">
        <x:v>0.6944027</x:v>
      </x:c>
      <x:c r="D1030" s="23" t="n">
        <x:v>-18.90389</x:v>
      </x:c>
      <x:c r="E1030" s="23" t="n">
        <x:f>'Parameters'!$B$2*'Parameters'!$B$3*LN(4*PI()*C1030^2)</x:f>
        <x:v>4.466133090581036</x:v>
      </x:c>
      <x:c r="F1030" s="23" t="n">
        <x:f>D1030+E1030</x:f>
        <x:v>-14.437756909418965</x:v>
      </x:c>
      <x:c r="G1030" s="23" t="n">
        <x:f>AVERAGE($F$1142:$F$1166)</x:f>
        <x:v>-13.488143584366567</x:v>
      </x:c>
      <x:c r="H1030" s="24" t="n">
        <x:f>F1030-G1030</x:f>
        <x:v>-0.9496133250523986</x:v>
      </x:c>
    </x:row>
    <x:row r="1031">
      <x:c r="A1031" s="2" t="str">
        <x:v>LiD3-Core</x:v>
      </x:c>
      <x:c r="B1031" s="4" t="str">
        <x:v>NaCl</x:v>
      </x:c>
      <x:c r="C1031" s="23" t="n">
        <x:v>0.7064718</x:v>
      </x:c>
      <x:c r="D1031" s="23" t="n">
        <x:v>-18.82962</x:v>
      </x:c>
      <x:c r="E1031" s="23" t="n">
        <x:f>'Parameters'!$B$2*'Parameters'!$B$3*LN(4*PI()*C1031^2)</x:f>
        <x:v>4.551564071190121</x:v>
      </x:c>
      <x:c r="F1031" s="23" t="n">
        <x:f>D1031+E1031</x:f>
        <x:v>-14.278055928809877</x:v>
      </x:c>
      <x:c r="G1031" s="23" t="n">
        <x:f>AVERAGE($F$1142:$F$1166)</x:f>
        <x:v>-13.488143584366567</x:v>
      </x:c>
      <x:c r="H1031" s="24" t="n">
        <x:f>F1031-G1031</x:f>
        <x:v>-0.7899123444433105</x:v>
      </x:c>
    </x:row>
    <x:row r="1032">
      <x:c r="A1032" s="2" t="str">
        <x:v>LiD3-Core</x:v>
      </x:c>
      <x:c r="B1032" s="4" t="str">
        <x:v>NaCl</x:v>
      </x:c>
      <x:c r="C1032" s="23" t="n">
        <x:v>0.7185409</x:v>
      </x:c>
      <x:c r="D1032" s="23" t="n">
        <x:v>-18.67347</x:v>
      </x:c>
      <x:c r="E1032" s="23" t="n">
        <x:f>'Parameters'!$B$2*'Parameters'!$B$3*LN(4*PI()*C1032^2)</x:f>
        <x:v>4.635547872018552</x:v>
      </x:c>
      <x:c r="F1032" s="23" t="n">
        <x:f>D1032+E1032</x:f>
        <x:v>-14.037922127981446</x:v>
      </x:c>
      <x:c r="G1032" s="23" t="n">
        <x:f>AVERAGE($F$1142:$F$1166)</x:f>
        <x:v>-13.488143584366567</x:v>
      </x:c>
      <x:c r="H1032" s="24" t="n">
        <x:f>F1032-G1032</x:f>
        <x:v>-0.5497785436148792</x:v>
      </x:c>
    </x:row>
    <x:row r="1033">
      <x:c r="A1033" s="2" t="str">
        <x:v>LiD3-Core</x:v>
      </x:c>
      <x:c r="B1033" s="4" t="str">
        <x:v>NaCl</x:v>
      </x:c>
      <x:c r="C1033" s="23" t="n">
        <x:v>0.73061</x:v>
      </x:c>
      <x:c r="D1033" s="23" t="n">
        <x:v>-18.75741</x:v>
      </x:c>
      <x:c r="E1033" s="23" t="n">
        <x:f>'Parameters'!$B$2*'Parameters'!$B$3*LN(4*PI()*C1033^2)</x:f>
        <x:v>4.718132707202828</x:v>
      </x:c>
      <x:c r="F1033" s="23" t="n">
        <x:f>D1033+E1033</x:f>
        <x:v>-14.039277292797173</x:v>
      </x:c>
      <x:c r="G1033" s="23" t="n">
        <x:f>AVERAGE($F$1142:$F$1166)</x:f>
        <x:v>-13.488143584366567</x:v>
      </x:c>
      <x:c r="H1033" s="24" t="n">
        <x:f>F1033-G1033</x:f>
        <x:v>-0.5511337084306067</x:v>
      </x:c>
    </x:row>
    <x:row r="1034">
      <x:c r="A1034" s="2" t="str">
        <x:v>LiD3-Core</x:v>
      </x:c>
      <x:c r="B1034" s="4" t="str">
        <x:v>NaCl</x:v>
      </x:c>
      <x:c r="C1034" s="23" t="n">
        <x:v>0.7426791</x:v>
      </x:c>
      <x:c r="D1034" s="23" t="n">
        <x:v>-18.71042</x:v>
      </x:c>
      <x:c r="E1034" s="23" t="n">
        <x:f>'Parameters'!$B$2*'Parameters'!$B$3*LN(4*PI()*C1034^2)</x:f>
        <x:v>4.799364420857287</x:v>
      </x:c>
      <x:c r="F1034" s="23" t="n">
        <x:f>D1034+E1034</x:f>
        <x:v>-13.911055579142712</x:v>
      </x:c>
      <x:c r="G1034" s="23" t="n">
        <x:f>AVERAGE($F$1142:$F$1166)</x:f>
        <x:v>-13.488143584366567</x:v>
      </x:c>
      <x:c r="H1034" s="24" t="n">
        <x:f>F1034-G1034</x:f>
        <x:v>-0.42291199477614505</x:v>
      </x:c>
    </x:row>
    <x:row r="1035">
      <x:c r="A1035" s="2" t="str">
        <x:v>LiD3-Core</x:v>
      </x:c>
      <x:c r="B1035" s="4" t="str">
        <x:v>NaCl</x:v>
      </x:c>
      <x:c r="C1035" s="23" t="n">
        <x:v>0.7547482</x:v>
      </x:c>
      <x:c r="D1035" s="23" t="n">
        <x:v>-18.66143</x:v>
      </x:c>
      <x:c r="E1035" s="23" t="n">
        <x:f>'Parameters'!$B$2*'Parameters'!$B$3*LN(4*PI()*C1035^2)</x:f>
        <x:v>4.879286639908165</x:v>
      </x:c>
      <x:c r="F1035" s="23" t="n">
        <x:f>D1035+E1035</x:f>
        <x:v>-13.782143360091833</x:v>
      </x:c>
      <x:c r="G1035" s="23" t="n">
        <x:f>AVERAGE($F$1142:$F$1166)</x:f>
        <x:v>-13.488143584366567</x:v>
      </x:c>
      <x:c r="H1035" s="24" t="n">
        <x:f>F1035-G1035</x:f>
        <x:v>-0.2939997757252666</x:v>
      </x:c>
    </x:row>
    <x:row r="1036">
      <x:c r="A1036" s="2" t="str">
        <x:v>LiD3-Core</x:v>
      </x:c>
      <x:c r="B1036" s="4" t="str">
        <x:v>NaCl</x:v>
      </x:c>
      <x:c r="C1036" s="23" t="n">
        <x:v>0.7668174</x:v>
      </x:c>
      <x:c r="D1036" s="23" t="n">
        <x:v>-18.80301</x:v>
      </x:c>
      <x:c r="E1036" s="23" t="n">
        <x:f>'Parameters'!$B$2*'Parameters'!$B$3*LN(4*PI()*C1036^2)</x:f>
        <x:v>4.957941561360591</x:v>
      </x:c>
      <x:c r="F1036" s="23" t="n">
        <x:f>D1036+E1036</x:f>
        <x:v>-13.845068438639409</x:v>
      </x:c>
      <x:c r="G1036" s="23" t="n">
        <x:f>AVERAGE($F$1142:$F$1166)</x:f>
        <x:v>-13.488143584366567</x:v>
      </x:c>
      <x:c r="H1036" s="24" t="n">
        <x:f>F1036-G1036</x:f>
        <x:v>-0.35692485427284204</x:v>
      </x:c>
    </x:row>
    <x:row r="1037">
      <x:c r="A1037" s="2" t="str">
        <x:v>LiD3-Core</x:v>
      </x:c>
      <x:c r="B1037" s="4" t="str">
        <x:v>NaCl</x:v>
      </x:c>
      <x:c r="C1037" s="23" t="n">
        <x:v>0.7788865</x:v>
      </x:c>
      <x:c r="D1037" s="23" t="n">
        <x:v>-18.89775</x:v>
      </x:c>
      <x:c r="E1037" s="23" t="n">
        <x:f>'Parameters'!$B$2*'Parameters'!$B$3*LN(4*PI()*C1037^2)</x:f>
        <x:v>5.035367485771909</x:v>
      </x:c>
      <x:c r="F1037" s="23" t="n">
        <x:f>D1037+E1037</x:f>
        <x:v>-13.86238251422809</x:v>
      </x:c>
      <x:c r="G1037" s="23" t="n">
        <x:f>AVERAGE($F$1142:$F$1166)</x:f>
        <x:v>-13.488143584366567</x:v>
      </x:c>
      <x:c r="H1037" s="24" t="n">
        <x:f>F1037-G1037</x:f>
        <x:v>-0.37423892986152296</x:v>
      </x:c>
    </x:row>
    <x:row r="1038">
      <x:c r="A1038" s="2" t="str">
        <x:v>LiD3-Core</x:v>
      </x:c>
      <x:c r="B1038" s="4" t="str">
        <x:v>NaCl</x:v>
      </x:c>
      <x:c r="C1038" s="23" t="n">
        <x:v>0.7909556</x:v>
      </x:c>
      <x:c r="D1038" s="23" t="n">
        <x:v>-19.06042</x:v>
      </x:c>
      <x:c r="E1038" s="23" t="n">
        <x:f>'Parameters'!$B$2*'Parameters'!$B$3*LN(4*PI()*C1038^2)</x:f>
        <x:v>5.111602846704536</x:v>
      </x:c>
      <x:c r="F1038" s="23" t="n">
        <x:f>D1038+E1038</x:f>
        <x:v>-13.948817153295465</x:v>
      </x:c>
      <x:c r="G1038" s="23" t="n">
        <x:f>AVERAGE($F$1142:$F$1166)</x:f>
        <x:v>-13.488143584366567</x:v>
      </x:c>
      <x:c r="H1038" s="24" t="n">
        <x:f>F1038-G1038</x:f>
        <x:v>-0.46067356892889855</x:v>
      </x:c>
    </x:row>
    <x:row r="1039">
      <x:c r="A1039" s="2" t="str">
        <x:v>LiD3-Core</x:v>
      </x:c>
      <x:c r="B1039" s="4" t="str">
        <x:v>NaCl</x:v>
      </x:c>
      <x:c r="C1039" s="23" t="n">
        <x:v>0.8030247</x:v>
      </x:c>
      <x:c r="D1039" s="23" t="n">
        <x:v>-19.28488</x:v>
      </x:c>
      <x:c r="E1039" s="23" t="n">
        <x:f>'Parameters'!$B$2*'Parameters'!$B$3*LN(4*PI()*C1039^2)</x:f>
        <x:v>5.186683704494498</x:v>
      </x:c>
      <x:c r="F1039" s="23" t="n">
        <x:f>D1039+E1039</x:f>
        <x:v>-14.098196295505502</x:v>
      </x:c>
      <x:c r="G1039" s="23" t="n">
        <x:f>AVERAGE($F$1142:$F$1166)</x:f>
        <x:v>-13.488143584366567</x:v>
      </x:c>
      <x:c r="H1039" s="24" t="n">
        <x:f>F1039-G1039</x:f>
        <x:v>-0.6100527111389358</x:v>
      </x:c>
    </x:row>
    <x:row r="1040">
      <x:c r="A1040" s="2" t="str">
        <x:v>LiD3-Core</x:v>
      </x:c>
      <x:c r="B1040" s="4" t="str">
        <x:v>NaCl</x:v>
      </x:c>
      <x:c r="C1040" s="23" t="n">
        <x:v>0.8150938</x:v>
      </x:c>
      <x:c r="D1040" s="23" t="n">
        <x:v>-19.13368</x:v>
      </x:c>
      <x:c r="E1040" s="23" t="n">
        <x:f>'Parameters'!$B$2*'Parameters'!$B$3*LN(4*PI()*C1040^2)</x:f>
        <x:v>5.260644505570669</x:v>
      </x:c>
      <x:c r="F1040" s="23" t="n">
        <x:f>D1040+E1040</x:f>
        <x:v>-13.87303549442933</x:v>
      </x:c>
      <x:c r="G1040" s="23" t="n">
        <x:f>AVERAGE($F$1142:$F$1166)</x:f>
        <x:v>-13.488143584366567</x:v>
      </x:c>
      <x:c r="H1040" s="24" t="n">
        <x:f>F1040-G1040</x:f>
        <x:v>-0.3848919100627626</x:v>
      </x:c>
    </x:row>
    <x:row r="1041">
      <x:c r="A1041" s="2" t="str">
        <x:v>LiD3-Core</x:v>
      </x:c>
      <x:c r="B1041" s="4" t="str">
        <x:v>NaCl</x:v>
      </x:c>
      <x:c r="C1041" s="23" t="n">
        <x:v>0.8271629</x:v>
      </x:c>
      <x:c r="D1041" s="23" t="n">
        <x:v>-19.43335</x:v>
      </x:c>
      <x:c r="E1041" s="23" t="n">
        <x:f>'Parameters'!$B$2*'Parameters'!$B$3*LN(4*PI()*C1041^2)</x:f>
        <x:v>5.33351817734964</x:v>
      </x:c>
      <x:c r="F1041" s="23" t="n">
        <x:f>D1041+E1041</x:f>
        <x:v>-14.099831822650362</x:v>
      </x:c>
      <x:c r="G1041" s="23" t="n">
        <x:f>AVERAGE($F$1142:$F$1166)</x:f>
        <x:v>-13.488143584366567</x:v>
      </x:c>
      <x:c r="H1041" s="24" t="n">
        <x:f>F1041-G1041</x:f>
        <x:v>-0.6116882382837954</x:v>
      </x:c>
    </x:row>
    <x:row r="1042">
      <x:c r="A1042" s="2" t="str">
        <x:v>LiD3-Core</x:v>
      </x:c>
      <x:c r="B1042" s="4" t="str">
        <x:v>NaCl</x:v>
      </x:c>
      <x:c r="C1042" s="23" t="n">
        <x:v>0.839232</x:v>
      </x:c>
      <x:c r="D1042" s="23" t="n">
        <x:v>-19.39692</x:v>
      </x:c>
      <x:c r="E1042" s="23" t="n">
        <x:f>'Parameters'!$B$2*'Parameters'!$B$3*LN(4*PI()*C1042^2)</x:f>
        <x:v>5.405336216256922</x:v>
      </x:c>
      <x:c r="F1042" s="23" t="n">
        <x:f>D1042+E1042</x:f>
        <x:v>-13.99158378374308</x:v>
      </x:c>
      <x:c r="G1042" s="23" t="n">
        <x:f>AVERAGE($F$1142:$F$1166)</x:f>
        <x:v>-13.488143584366567</x:v>
      </x:c>
      <x:c r="H1042" s="24" t="n">
        <x:f>F1042-G1042</x:f>
        <x:v>-0.503440199376513</x:v>
      </x:c>
    </x:row>
    <x:row r="1043">
      <x:c r="A1043" s="2" t="str">
        <x:v>LiD3-Core</x:v>
      </x:c>
      <x:c r="B1043" s="4" t="str">
        <x:v>NaCl</x:v>
      </x:c>
      <x:c r="C1043" s="23" t="n">
        <x:v>0.8513011</x:v>
      </x:c>
      <x:c r="D1043" s="23" t="n">
        <x:v>-19.34043</x:v>
      </x:c>
      <x:c r="E1043" s="23" t="n">
        <x:f>'Parameters'!$B$2*'Parameters'!$B$3*LN(4*PI()*C1043^2)</x:f>
        <x:v>5.476128769463469</x:v>
      </x:c>
      <x:c r="F1043" s="23" t="n">
        <x:f>D1043+E1043</x:f>
        <x:v>-13.864301230536533</x:v>
      </x:c>
      <x:c r="G1043" s="23" t="n">
        <x:f>AVERAGE($F$1142:$F$1166)</x:f>
        <x:v>-13.488143584366567</x:v>
      </x:c>
      <x:c r="H1043" s="24" t="n">
        <x:f>F1043-G1043</x:f>
        <x:v>-0.3761576461699665</x:v>
      </x:c>
    </x:row>
    <x:row r="1044">
      <x:c r="A1044" s="2" t="str">
        <x:v>LiD3-Core</x:v>
      </x:c>
      <x:c r="B1044" s="4" t="str">
        <x:v>NaCl</x:v>
      </x:c>
      <x:c r="C1044" s="23" t="n">
        <x:v>0.8633702</x:v>
      </x:c>
      <x:c r="D1044" s="23" t="n">
        <x:v>-19.53726</x:v>
      </x:c>
      <x:c r="E1044" s="23" t="n">
        <x:f>'Parameters'!$B$2*'Parameters'!$B$3*LN(4*PI()*C1044^2)</x:f>
        <x:v>5.545924710868384</x:v>
      </x:c>
      <x:c r="F1044" s="23" t="n">
        <x:f>D1044+E1044</x:f>
        <x:v>-13.991335289131616</x:v>
      </x:c>
      <x:c r="G1044" s="23" t="n">
        <x:f>AVERAGE($F$1142:$F$1166)</x:f>
        <x:v>-13.488143584366567</x:v>
      </x:c>
      <x:c r="H1044" s="24" t="n">
        <x:f>F1044-G1044</x:f>
        <x:v>-0.5031917047650492</x:v>
      </x:c>
    </x:row>
    <x:row r="1045">
      <x:c r="A1045" s="2" t="str">
        <x:v>LiD3-Core</x:v>
      </x:c>
      <x:c r="B1045" s="4" t="str">
        <x:v>NaCl</x:v>
      </x:c>
      <x:c r="C1045" s="23" t="n">
        <x:v>0.8754393</x:v>
      </x:c>
      <x:c r="D1045" s="23" t="n">
        <x:v>-19.56155</x:v>
      </x:c>
      <x:c r="E1045" s="23" t="n">
        <x:f>'Parameters'!$B$2*'Parameters'!$B$3*LN(4*PI()*C1045^2)</x:f>
        <x:v>5.614751711807142</x:v>
      </x:c>
      <x:c r="F1045" s="23" t="n">
        <x:f>D1045+E1045</x:f>
        <x:v>-13.94679828819286</x:v>
      </x:c>
      <x:c r="G1045" s="23" t="n">
        <x:f>AVERAGE($F$1142:$F$1166)</x:f>
        <x:v>-13.488143584366567</x:v>
      </x:c>
      <x:c r="H1045" s="24" t="n">
        <x:f>F1045-G1045</x:f>
        <x:v>-0.4586547038262925</x:v>
      </x:c>
    </x:row>
    <x:row r="1046">
      <x:c r="A1046" s="2" t="str">
        <x:v>LiD3-Core</x:v>
      </x:c>
      <x:c r="B1046" s="4" t="str">
        <x:v>NaCl</x:v>
      </x:c>
      <x:c r="C1046" s="23" t="n">
        <x:v>0.8875084</x:v>
      </x:c>
      <x:c r="D1046" s="23" t="n">
        <x:v>-19.5974</x:v>
      </x:c>
      <x:c r="E1046" s="23" t="n">
        <x:f>'Parameters'!$B$2*'Parameters'!$B$3*LN(4*PI()*C1046^2)</x:f>
        <x:v>5.682636306918664</x:v>
      </x:c>
      <x:c r="F1046" s="23" t="n">
        <x:f>D1046+E1046</x:f>
        <x:v>-13.914763693081337</x:v>
      </x:c>
      <x:c r="G1046" s="23" t="n">
        <x:f>AVERAGE($F$1142:$F$1166)</x:f>
        <x:v>-13.488143584366567</x:v>
      </x:c>
      <x:c r="H1046" s="24" t="n">
        <x:f>F1046-G1046</x:f>
        <x:v>-0.4266201087147703</x:v>
      </x:c>
    </x:row>
    <x:row r="1047">
      <x:c r="A1047" s="2" t="str">
        <x:v>LiD3-Core</x:v>
      </x:c>
      <x:c r="B1047" s="4" t="str">
        <x:v>NaCl</x:v>
      </x:c>
      <x:c r="C1047" s="23" t="n">
        <x:v>0.8995775</x:v>
      </x:c>
      <x:c r="D1047" s="23" t="n">
        <x:v>-19.64522</x:v>
      </x:c>
      <x:c r="E1047" s="23" t="n">
        <x:f>'Parameters'!$B$2*'Parameters'!$B$3*LN(4*PI()*C1047^2)</x:f>
        <x:v>5.7496039555636465</x:v>
      </x:c>
      <x:c r="F1047" s="23" t="n">
        <x:f>D1047+E1047</x:f>
        <x:v>-13.895616044436352</x:v>
      </x:c>
      <x:c r="G1047" s="23" t="n">
        <x:f>AVERAGE($F$1142:$F$1166)</x:f>
        <x:v>-13.488143584366567</x:v>
      </x:c>
      <x:c r="H1047" s="24" t="n">
        <x:f>F1047-G1047</x:f>
        <x:v>-0.4074724600697852</x:v>
      </x:c>
    </x:row>
    <x:row r="1048">
      <x:c r="A1048" s="2" t="str">
        <x:v>LiD3-Core</x:v>
      </x:c>
      <x:c r="B1048" s="4" t="str">
        <x:v>NaCl</x:v>
      </x:c>
      <x:c r="C1048" s="23" t="n">
        <x:v>0.9116467</x:v>
      </x:c>
      <x:c r="D1048" s="23" t="n">
        <x:v>-19.81542</x:v>
      </x:c>
      <x:c r="E1048" s="23" t="n">
        <x:f>'Parameters'!$B$2*'Parameters'!$B$3*LN(4*PI()*C1048^2)</x:f>
        <x:v>5.815679642991511</x:v>
      </x:c>
      <x:c r="F1048" s="23" t="n">
        <x:f>D1048+E1048</x:f>
        <x:v>-13.999740357008488</x:v>
      </x:c>
      <x:c r="G1048" s="23" t="n">
        <x:f>AVERAGE($F$1142:$F$1166)</x:f>
        <x:v>-13.488143584366567</x:v>
      </x:c>
      <x:c r="H1048" s="24" t="n">
        <x:f>F1048-G1048</x:f>
        <x:v>-0.511596772641921</x:v>
      </x:c>
    </x:row>
    <x:row r="1049">
      <x:c r="A1049" s="2" t="str">
        <x:v>LiD3-Core</x:v>
      </x:c>
      <x:c r="B1049" s="4" t="str">
        <x:v>NaCl</x:v>
      </x:c>
      <x:c r="C1049" s="23" t="n">
        <x:v>0.9237158</x:v>
      </x:c>
      <x:c r="D1049" s="23" t="n">
        <x:v>-19.97134</x:v>
      </x:c>
      <x:c r="E1049" s="23" t="n">
        <x:f>'Parameters'!$B$2*'Parameters'!$B$3*LN(4*PI()*C1049^2)</x:f>
        <x:v>5.880885751423499</x:v>
      </x:c>
      <x:c r="F1049" s="23" t="n">
        <x:f>D1049+E1049</x:f>
        <x:v>-14.090454248576503</x:v>
      </x:c>
      <x:c r="G1049" s="23" t="n">
        <x:f>AVERAGE($F$1142:$F$1166)</x:f>
        <x:v>-13.488143584366567</x:v>
      </x:c>
      <x:c r="H1049" s="24" t="n">
        <x:f>F1049-G1049</x:f>
        <x:v>-0.6023106642099361</x:v>
      </x:c>
    </x:row>
    <x:row r="1050">
      <x:c r="A1050" s="2" t="str">
        <x:v>LiD3-Core</x:v>
      </x:c>
      <x:c r="B1050" s="4" t="str">
        <x:v>NaCl</x:v>
      </x:c>
      <x:c r="C1050" s="23" t="n">
        <x:v>0.9357849</x:v>
      </x:c>
      <x:c r="D1050" s="23" t="n">
        <x:v>-20.08498</x:v>
      </x:c>
      <x:c r="E1050" s="23" t="n">
        <x:f>'Parameters'!$B$2*'Parameters'!$B$3*LN(4*PI()*C1050^2)</x:f>
        <x:v>5.945245394682011</x:v>
      </x:c>
      <x:c r="F1050" s="23" t="n">
        <x:f>D1050+E1050</x:f>
        <x:v>-14.13973460531799</x:v>
      </x:c>
      <x:c r="G1050" s="23" t="n">
        <x:f>AVERAGE($F$1142:$F$1166)</x:f>
        <x:v>-13.488143584366567</x:v>
      </x:c>
      <x:c r="H1050" s="24" t="n">
        <x:f>F1050-G1050</x:f>
        <x:v>-0.6515910209514235</x:v>
      </x:c>
    </x:row>
    <x:row r="1051">
      <x:c r="A1051" s="2" t="str">
        <x:v>LiD3-Core</x:v>
      </x:c>
      <x:c r="B1051" s="4" t="str">
        <x:v>NaCl</x:v>
      </x:c>
      <x:c r="C1051" s="23" t="n">
        <x:v>0.947854</x:v>
      </x:c>
      <x:c r="D1051" s="23" t="n">
        <x:v>-20.0836</x:v>
      </x:c>
      <x:c r="E1051" s="23" t="n">
        <x:f>'Parameters'!$B$2*'Parameters'!$B$3*LN(4*PI()*C1051^2)</x:f>
        <x:v>6.008780268003314</x:v>
      </x:c>
      <x:c r="F1051" s="23" t="n">
        <x:f>D1051+E1051</x:f>
        <x:v>-14.074819731996687</x:v>
      </x:c>
      <x:c r="G1051" s="23" t="n">
        <x:f>AVERAGE($F$1142:$F$1166)</x:f>
        <x:v>-13.488143584366567</x:v>
      </x:c>
      <x:c r="H1051" s="24" t="n">
        <x:f>F1051-G1051</x:f>
        <x:v>-0.5866761476301203</x:v>
      </x:c>
    </x:row>
    <x:row r="1052">
      <x:c r="A1052" s="2" t="str">
        <x:v>LiD3-Core</x:v>
      </x:c>
      <x:c r="B1052" s="4" t="str">
        <x:v>NaCl</x:v>
      </x:c>
      <x:c r="C1052" s="23" t="n">
        <x:v>0.9599231</x:v>
      </x:c>
      <x:c r="D1052" s="23" t="n">
        <x:v>-20.26348</x:v>
      </x:c>
      <x:c r="E1052" s="23" t="n">
        <x:f>'Parameters'!$B$2*'Parameters'!$B$3*LN(4*PI()*C1052^2)</x:f>
        <x:v>6.071511243080227</x:v>
      </x:c>
      <x:c r="F1052" s="23" t="n">
        <x:f>D1052+E1052</x:f>
        <x:v>-14.191968756919774</x:v>
      </x:c>
      <x:c r="G1052" s="23" t="n">
        <x:f>AVERAGE($F$1142:$F$1166)</x:f>
        <x:v>-13.488143584366567</x:v>
      </x:c>
      <x:c r="H1052" s="24" t="n">
        <x:f>F1052-G1052</x:f>
        <x:v>-0.7038251725532074</x:v>
      </x:c>
    </x:row>
    <x:row r="1053">
      <x:c r="A1053" s="2" t="str">
        <x:v>LiD3-Core</x:v>
      </x:c>
      <x:c r="B1053" s="4" t="str">
        <x:v>NaCl</x:v>
      </x:c>
      <x:c r="C1053" s="23" t="n">
        <x:v>0.9719922</x:v>
      </x:c>
      <x:c r="D1053" s="23" t="n">
        <x:v>-20.28725</x:v>
      </x:c>
      <x:c r="E1053" s="23" t="n">
        <x:f>'Parameters'!$B$2*'Parameters'!$B$3*LN(4*PI()*C1053^2)</x:f>
        <x:v>6.133458409223721</x:v>
      </x:c>
      <x:c r="F1053" s="23" t="n">
        <x:f>D1053+E1053</x:f>
        <x:v>-14.15379159077628</x:v>
      </x:c>
      <x:c r="G1053" s="23" t="n">
        <x:f>AVERAGE($F$1142:$F$1166)</x:f>
        <x:v>-13.488143584366567</x:v>
      </x:c>
      <x:c r="H1053" s="24" t="n">
        <x:f>F1053-G1053</x:f>
        <x:v>-0.6656480064097128</x:v>
      </x:c>
    </x:row>
    <x:row r="1054">
      <x:c r="A1054" s="2" t="str">
        <x:v>LiD3-Core</x:v>
      </x:c>
      <x:c r="B1054" s="4" t="str">
        <x:v>NaCl</x:v>
      </x:c>
      <x:c r="C1054" s="23" t="n">
        <x:v>0.9840613</x:v>
      </x:c>
      <x:c r="D1054" s="23" t="n">
        <x:v>-20.33966</x:v>
      </x:c>
      <x:c r="E1054" s="23" t="n">
        <x:f>'Parameters'!$B$2*'Parameters'!$B$3*LN(4*PI()*C1054^2)</x:f>
        <x:v>6.194641111984605</x:v>
      </x:c>
      <x:c r="F1054" s="23" t="n">
        <x:f>D1054+E1054</x:f>
        <x:v>-14.145018888015393</x:v>
      </x:c>
      <x:c r="G1054" s="23" t="n">
        <x:f>AVERAGE($F$1142:$F$1166)</x:f>
        <x:v>-13.488143584366567</x:v>
      </x:c>
      <x:c r="H1054" s="24" t="n">
        <x:f>F1054-G1054</x:f>
        <x:v>-0.6568753036488264</x:v>
      </x:c>
    </x:row>
    <x:row r="1055">
      <x:c r="A1055" s="2" t="str">
        <x:v>LiD3-Core</x:v>
      </x:c>
      <x:c r="B1055" s="4" t="str">
        <x:v>NaCl</x:v>
      </x:c>
      <x:c r="C1055" s="23" t="n">
        <x:v>0.9961304</x:v>
      </x:c>
      <x:c r="D1055" s="23" t="n">
        <x:v>-20.27627</x:v>
      </x:c>
      <x:c r="E1055" s="23" t="n">
        <x:f>'Parameters'!$B$2*'Parameters'!$B$3*LN(4*PI()*C1055^2)</x:f>
        <x:v>6.255077989421063</x:v>
      </x:c>
      <x:c r="F1055" s="23" t="n">
        <x:f>D1055+E1055</x:f>
        <x:v>-14.021192010578936</x:v>
      </x:c>
      <x:c r="G1055" s="23" t="n">
        <x:f>AVERAGE($F$1142:$F$1166)</x:f>
        <x:v>-13.488143584366567</x:v>
      </x:c>
      <x:c r="H1055" s="24" t="n">
        <x:f>F1055-G1055</x:f>
        <x:v>-0.5330484262123694</x:v>
      </x:c>
    </x:row>
    <x:row r="1056">
      <x:c r="A1056" s="2" t="str">
        <x:v>LiD3-Core</x:v>
      </x:c>
      <x:c r="B1056" s="4" t="str">
        <x:v>NaCl</x:v>
      </x:c>
      <x:c r="C1056" s="23" t="n">
        <x:v>1.0082</x:v>
      </x:c>
      <x:c r="D1056" s="23" t="n">
        <x:v>-20.40917</x:v>
      </x:c>
      <x:c r="E1056" s="23" t="n">
        <x:f>'Parameters'!$B$2*'Parameters'!$B$3*LN(4*PI()*C1056^2)</x:f>
        <x:v>6.314789464977704</x:v>
      </x:c>
      <x:c r="F1056" s="23" t="n">
        <x:f>D1056+E1056</x:f>
        <x:v>-14.094380535022296</x:v>
      </x:c>
      <x:c r="G1056" s="23" t="n">
        <x:f>AVERAGE($F$1142:$F$1166)</x:f>
        <x:v>-13.488143584366567</x:v>
      </x:c>
      <x:c r="H1056" s="24" t="n">
        <x:f>F1056-G1056</x:f>
        <x:v>-0.6062369506557292</x:v>
      </x:c>
    </x:row>
    <x:row r="1057">
      <x:c r="A1057" s="2" t="str">
        <x:v>LiD3-Core</x:v>
      </x:c>
      <x:c r="B1057" s="4" t="str">
        <x:v>NaCl</x:v>
      </x:c>
      <x:c r="C1057" s="23" t="n">
        <x:v>1.020269</x:v>
      </x:c>
      <x:c r="D1057" s="23" t="n">
        <x:v>-20.53789</x:v>
      </x:c>
      <x:c r="E1057" s="23" t="n">
        <x:f>'Parameters'!$B$2*'Parameters'!$B$3*LN(4*PI()*C1057^2)</x:f>
        <x:v>6.373787429331185</x:v>
      </x:c>
      <x:c r="F1057" s="23" t="n">
        <x:f>D1057+E1057</x:f>
        <x:v>-14.164102570668817</x:v>
      </x:c>
      <x:c r="G1057" s="23" t="n">
        <x:f>AVERAGE($F$1142:$F$1166)</x:f>
        <x:v>-13.488143584366567</x:v>
      </x:c>
      <x:c r="H1057" s="24" t="n">
        <x:f>F1057-G1057</x:f>
        <x:v>-0.6759589863022502</x:v>
      </x:c>
    </x:row>
    <x:row r="1058">
      <x:c r="A1058" s="2" t="str">
        <x:v>LiD3-Core</x:v>
      </x:c>
      <x:c r="B1058" s="4" t="str">
        <x:v>NaCl</x:v>
      </x:c>
      <x:c r="C1058" s="23" t="n">
        <x:v>1.032338</x:v>
      </x:c>
      <x:c r="D1058" s="23" t="n">
        <x:v>-20.49825</x:v>
      </x:c>
      <x:c r="E1058" s="23" t="n">
        <x:f>'Parameters'!$B$2*'Parameters'!$B$3*LN(4*PI()*C1058^2)</x:f>
        <x:v>6.43209158045942</x:v>
      </x:c>
      <x:c r="F1058" s="23" t="n">
        <x:f>D1058+E1058</x:f>
        <x:v>-14.066158419540578</x:v>
      </x:c>
      <x:c r="G1058" s="23" t="n">
        <x:f>AVERAGE($F$1142:$F$1166)</x:f>
        <x:v>-13.488143584366567</x:v>
      </x:c>
      <x:c r="H1058" s="24" t="n">
        <x:f>F1058-G1058</x:f>
        <x:v>-0.5780148351740113</x:v>
      </x:c>
    </x:row>
    <x:row r="1059">
      <x:c r="A1059" s="2" t="str">
        <x:v>LiD3-Core</x:v>
      </x:c>
      <x:c r="B1059" s="4" t="str">
        <x:v>NaCl</x:v>
      </x:c>
      <x:c r="C1059" s="23" t="n">
        <x:v>1.044407</x:v>
      </x:c>
      <x:c r="D1059" s="23" t="n">
        <x:v>-20.66052</x:v>
      </x:c>
      <x:c r="E1059" s="23" t="n">
        <x:f>'Parameters'!$B$2*'Parameters'!$B$3*LN(4*PI()*C1059^2)</x:f>
        <x:v>6.489718047291064</x:v>
      </x:c>
      <x:c r="F1059" s="23" t="n">
        <x:f>D1059+E1059</x:f>
        <x:v>-14.170801952708938</x:v>
      </x:c>
      <x:c r="G1059" s="23" t="n">
        <x:f>AVERAGE($F$1142:$F$1166)</x:f>
        <x:v>-13.488143584366567</x:v>
      </x:c>
      <x:c r="H1059" s="24" t="n">
        <x:f>F1059-G1059</x:f>
        <x:v>-0.6826583683423717</x:v>
      </x:c>
    </x:row>
    <x:row r="1060">
      <x:c r="A1060" s="2" t="str">
        <x:v>LiD3-Core</x:v>
      </x:c>
      <x:c r="B1060" s="4" t="str">
        <x:v>NaCl</x:v>
      </x:c>
      <x:c r="C1060" s="23" t="n">
        <x:v>1.056476</x:v>
      </x:c>
      <x:c r="D1060" s="23" t="n">
        <x:v>-20.66451</x:v>
      </x:c>
      <x:c r="E1060" s="23" t="n">
        <x:f>'Parameters'!$B$2*'Parameters'!$B$3*LN(4*PI()*C1060^2)</x:f>
        <x:v>6.546682402792089</x:v>
      </x:c>
      <x:c r="F1060" s="23" t="n">
        <x:f>D1060+E1060</x:f>
        <x:v>-14.11782759720791</x:v>
      </x:c>
      <x:c r="G1060" s="23" t="n">
        <x:f>AVERAGE($F$1142:$F$1166)</x:f>
        <x:v>-13.488143584366567</x:v>
      </x:c>
      <x:c r="H1060" s="24" t="n">
        <x:f>F1060-G1060</x:f>
        <x:v>-0.6296840128413432</x:v>
      </x:c>
    </x:row>
    <x:row r="1061">
      <x:c r="A1061" s="2" t="str">
        <x:v>LiD3-Core</x:v>
      </x:c>
      <x:c r="B1061" s="4" t="str">
        <x:v>NaCl</x:v>
      </x:c>
      <x:c r="C1061" s="23" t="n">
        <x:v>1.068545</x:v>
      </x:c>
      <x:c r="D1061" s="23" t="n">
        <x:v>-20.59608</x:v>
      </x:c>
      <x:c r="E1061" s="23" t="n">
        <x:f>'Parameters'!$B$2*'Parameters'!$B$3*LN(4*PI()*C1061^2)</x:f>
        <x:v>6.602999689227779</x:v>
      </x:c>
      <x:c r="F1061" s="23" t="n">
        <x:f>D1061+E1061</x:f>
        <x:v>-13.993080310772221</x:v>
      </x:c>
      <x:c r="G1061" s="23" t="n">
        <x:f>AVERAGE($F$1142:$F$1166)</x:f>
        <x:v>-13.488143584366567</x:v>
      </x:c>
      <x:c r="H1061" s="24" t="n">
        <x:f>F1061-G1061</x:f>
        <x:v>-0.5049367264056546</x:v>
      </x:c>
    </x:row>
    <x:row r="1062">
      <x:c r="A1062" s="2" t="str">
        <x:v>LiD3-Core</x:v>
      </x:c>
      <x:c r="B1062" s="4" t="str">
        <x:v>NaCl</x:v>
      </x:c>
      <x:c r="C1062" s="23" t="n">
        <x:v>1.080614</x:v>
      </x:c>
      <x:c r="D1062" s="23" t="n">
        <x:v>-20.66737</x:v>
      </x:c>
      <x:c r="E1062" s="23" t="n">
        <x:f>'Parameters'!$B$2*'Parameters'!$B$3*LN(4*PI()*C1062^2)</x:f>
        <x:v>6.6586844420059945</x:v>
      </x:c>
      <x:c r="F1062" s="23" t="n">
        <x:f>D1062+E1062</x:f>
        <x:v>-14.008685557994003</x:v>
      </x:c>
      <x:c r="G1062" s="23" t="n">
        <x:f>AVERAGE($F$1142:$F$1166)</x:f>
        <x:v>-13.488143584366567</x:v>
      </x:c>
      <x:c r="H1062" s="24" t="n">
        <x:f>F1062-G1062</x:f>
        <x:v>-0.5205419736274361</x:v>
      </x:c>
    </x:row>
    <x:row r="1063">
      <x:c r="A1063" s="2" t="str">
        <x:v>LiD3-Core</x:v>
      </x:c>
      <x:c r="B1063" s="4" t="str">
        <x:v>NaCl</x:v>
      </x:c>
      <x:c r="C1063" s="23" t="n">
        <x:v>1.092683</x:v>
      </x:c>
      <x:c r="D1063" s="23" t="n">
        <x:v>-20.67119</x:v>
      </x:c>
      <x:c r="E1063" s="23" t="n">
        <x:f>'Parameters'!$B$2*'Parameters'!$B$3*LN(4*PI()*C1063^2)</x:f>
        <x:v>6.713750712196263</x:v>
      </x:c>
      <x:c r="F1063" s="23" t="n">
        <x:f>D1063+E1063</x:f>
        <x:v>-13.957439287803737</x:v>
      </x:c>
      <x:c r="G1063" s="23" t="n">
        <x:f>AVERAGE($F$1142:$F$1166)</x:f>
        <x:v>-13.488143584366567</x:v>
      </x:c>
      <x:c r="H1063" s="24" t="n">
        <x:f>F1063-G1063</x:f>
        <x:v>-0.46929570343717053</x:v>
      </x:c>
    </x:row>
    <x:row r="1064">
      <x:c r="A1064" s="2" t="str">
        <x:v>LiD3-Core</x:v>
      </x:c>
      <x:c r="B1064" s="4" t="str">
        <x:v>NaCl</x:v>
      </x:c>
      <x:c r="C1064" s="23" t="n">
        <x:v>1.104752</x:v>
      </x:c>
      <x:c r="D1064" s="23" t="n">
        <x:v>-20.70813</x:v>
      </x:c>
      <x:c r="E1064" s="23" t="n">
        <x:f>'Parameters'!$B$2*'Parameters'!$B$3*LN(4*PI()*C1064^2)</x:f>
        <x:v>6.768212087811971</x:v>
      </x:c>
      <x:c r="F1064" s="23" t="n">
        <x:f>D1064+E1064</x:f>
        <x:v>-13.93991791218803</x:v>
      </x:c>
      <x:c r="G1064" s="23" t="n">
        <x:f>AVERAGE($F$1142:$F$1166)</x:f>
        <x:v>-13.488143584366567</x:v>
      </x:c>
      <x:c r="H1064" s="24" t="n">
        <x:f>F1064-G1064</x:f>
        <x:v>-0.45177432782146276</x:v>
      </x:c>
    </x:row>
    <x:row r="1065">
      <x:c r="A1065" s="2" t="str">
        <x:v>LiD3-Core</x:v>
      </x:c>
      <x:c r="B1065" s="4" t="str">
        <x:v>NaCl</x:v>
      </x:c>
      <x:c r="C1065" s="23" t="n">
        <x:v>1.116822</x:v>
      </x:c>
      <x:c r="D1065" s="23" t="n">
        <x:v>-20.79455</x:v>
      </x:c>
      <x:c r="E1065" s="23" t="n">
        <x:f>'Parameters'!$B$2*'Parameters'!$B$3*LN(4*PI()*C1065^2)</x:f>
        <x:v>6.822086153243807</x:v>
      </x:c>
      <x:c r="F1065" s="23" t="n">
        <x:f>D1065+E1065</x:f>
        <x:v>-13.972463846756195</x:v>
      </x:c>
      <x:c r="G1065" s="23" t="n">
        <x:f>AVERAGE($F$1142:$F$1166)</x:f>
        <x:v>-13.488143584366567</x:v>
      </x:c>
      <x:c r="H1065" s="24" t="n">
        <x:f>F1065-G1065</x:f>
        <x:v>-0.48432026238962855</x:v>
      </x:c>
    </x:row>
    <x:row r="1066">
      <x:c r="A1066" s="2" t="str">
        <x:v>LiD3-Core</x:v>
      </x:c>
      <x:c r="B1066" s="4" t="str">
        <x:v>NaCl</x:v>
      </x:c>
      <x:c r="C1066" s="23" t="n">
        <x:v>1.128891</x:v>
      </x:c>
      <x:c r="D1066" s="23" t="n">
        <x:v>-20.80188</x:v>
      </x:c>
      <x:c r="E1066" s="23" t="n">
        <x:f>'Parameters'!$B$2*'Parameters'!$B$3*LN(4*PI()*C1066^2)</x:f>
        <x:v>6.875376703613263</x:v>
      </x:c>
      <x:c r="F1066" s="23" t="n">
        <x:f>D1066+E1066</x:f>
        <x:v>-13.926503296386738</x:v>
      </x:c>
      <x:c r="G1066" s="23" t="n">
        <x:f>AVERAGE($F$1142:$F$1166)</x:f>
        <x:v>-13.488143584366567</x:v>
      </x:c>
      <x:c r="H1066" s="24" t="n">
        <x:f>F1066-G1066</x:f>
        <x:v>-0.438359712020171</x:v>
      </x:c>
    </x:row>
    <x:row r="1067">
      <x:c r="A1067" s="2" t="str">
        <x:v>LiD3-Core</x:v>
      </x:c>
      <x:c r="B1067" s="4" t="str">
        <x:v>NaCl</x:v>
      </x:c>
      <x:c r="C1067" s="23" t="n">
        <x:v>1.14096</x:v>
      </x:c>
      <x:c r="D1067" s="23" t="n">
        <x:v>-20.77802</x:v>
      </x:c>
      <x:c r="E1067" s="23" t="n">
        <x:f>'Parameters'!$B$2*'Parameters'!$B$3*LN(4*PI()*C1067^2)</x:f>
        <x:v>6.928100542035578</x:v>
      </x:c>
      <x:c r="F1067" s="23" t="n">
        <x:f>D1067+E1067</x:f>
        <x:v>-13.849919457964424</x:v>
      </x:c>
      <x:c r="G1067" s="23" t="n">
        <x:f>AVERAGE($F$1142:$F$1166)</x:f>
        <x:v>-13.488143584366567</x:v>
      </x:c>
      <x:c r="H1067" s="24" t="n">
        <x:f>F1067-G1067</x:f>
        <x:v>-0.3617758735978569</x:v>
      </x:c>
    </x:row>
    <x:row r="1068">
      <x:c r="A1068" s="2" t="str">
        <x:v>LiD3-Core</x:v>
      </x:c>
      <x:c r="B1068" s="4" t="str">
        <x:v>NaCl</x:v>
      </x:c>
      <x:c r="C1068" s="23" t="n">
        <x:v>1.153029</x:v>
      </x:c>
      <x:c r="D1068" s="23" t="n">
        <x:v>-20.87814</x:v>
      </x:c>
      <x:c r="E1068" s="23" t="n">
        <x:f>'Parameters'!$B$2*'Parameters'!$B$3*LN(4*PI()*C1068^2)</x:f>
        <x:v>6.980269595050667</x:v>
      </x:c>
      <x:c r="F1068" s="23" t="n">
        <x:f>D1068+E1068</x:f>
        <x:v>-13.89787040494933</x:v>
      </x:c>
      <x:c r="G1068" s="23" t="n">
        <x:f>AVERAGE($F$1142:$F$1166)</x:f>
        <x:v>-13.488143584366567</x:v>
      </x:c>
      <x:c r="H1068" s="24" t="n">
        <x:f>F1068-G1068</x:f>
        <x:v>-0.40972682058276355</x:v>
      </x:c>
    </x:row>
    <x:row r="1069">
      <x:c r="A1069" s="2" t="str">
        <x:v>LiD3-Core</x:v>
      </x:c>
      <x:c r="B1069" s="4" t="str">
        <x:v>NaCl</x:v>
      </x:c>
      <x:c r="C1069" s="23" t="n">
        <x:v>1.165098</x:v>
      </x:c>
      <x:c r="D1069" s="23" t="n">
        <x:v>-21.00777</x:v>
      </x:c>
      <x:c r="E1069" s="23" t="n">
        <x:f>'Parameters'!$B$2*'Parameters'!$B$3*LN(4*PI()*C1069^2)</x:f>
        <x:v>7.031895416621711</x:v>
      </x:c>
      <x:c r="F1069" s="23" t="n">
        <x:f>D1069+E1069</x:f>
        <x:v>-13.975874583378289</x:v>
      </x:c>
      <x:c r="G1069" s="23" t="n">
        <x:f>AVERAGE($F$1142:$F$1166)</x:f>
        <x:v>-13.488143584366567</x:v>
      </x:c>
      <x:c r="H1069" s="24" t="n">
        <x:f>F1069-G1069</x:f>
        <x:v>-0.48773099901172223</x:v>
      </x:c>
    </x:row>
    <x:row r="1070">
      <x:c r="A1070" s="2" t="str">
        <x:v>LiD3-Core</x:v>
      </x:c>
      <x:c r="B1070" s="4" t="str">
        <x:v>NaCl</x:v>
      </x:c>
      <x:c r="C1070" s="23" t="n">
        <x:v>1.177167</x:v>
      </x:c>
      <x:c r="D1070" s="23" t="n">
        <x:v>-21.19016</x:v>
      </x:c>
      <x:c r="E1070" s="23" t="n">
        <x:f>'Parameters'!$B$2*'Parameters'!$B$3*LN(4*PI()*C1070^2)</x:f>
        <x:v>7.0829892034940825</x:v>
      </x:c>
      <x:c r="F1070" s="23" t="n">
        <x:f>D1070+E1070</x:f>
        <x:v>-14.107170796505915</x:v>
      </x:c>
      <x:c r="G1070" s="23" t="n">
        <x:f>AVERAGE($F$1142:$F$1166)</x:f>
        <x:v>-13.488143584366567</x:v>
      </x:c>
      <x:c r="H1070" s="24" t="n">
        <x:f>F1070-G1070</x:f>
        <x:v>-0.6190272121393487</x:v>
      </x:c>
    </x:row>
    <x:row r="1071">
      <x:c r="A1071" s="2" t="str">
        <x:v>LiD3-Core</x:v>
      </x:c>
      <x:c r="B1071" s="4" t="str">
        <x:v>NaCl</x:v>
      </x:c>
      <x:c r="C1071" s="23" t="n">
        <x:v>1.189236</x:v>
      </x:c>
      <x:c r="D1071" s="23" t="n">
        <x:v>-21.23687</x:v>
      </x:c>
      <x:c r="E1071" s="23" t="n">
        <x:f>'Parameters'!$B$2*'Parameters'!$B$3*LN(4*PI()*C1071^2)</x:f>
        <x:v>7.133561809770888</x:v>
      </x:c>
      <x:c r="F1071" s="23" t="n">
        <x:f>D1071+E1071</x:f>
        <x:v>-14.10330819022911</x:v>
      </x:c>
      <x:c r="G1071" s="23" t="n">
        <x:f>AVERAGE($F$1142:$F$1166)</x:f>
        <x:v>-13.488143584366567</x:v>
      </x:c>
      <x:c r="H1071" s="24" t="n">
        <x:f>F1071-G1071</x:f>
        <x:v>-0.6151646058625442</x:v>
      </x:c>
    </x:row>
    <x:row r="1072">
      <x:c r="A1072" s="2" t="str">
        <x:v>LiD3-Core</x:v>
      </x:c>
      <x:c r="B1072" s="4" t="str">
        <x:v>NaCl</x:v>
      </x:c>
      <x:c r="C1072" s="23" t="n">
        <x:v>1.201305</x:v>
      </x:c>
      <x:c r="D1072" s="23" t="n">
        <x:v>-21.30684</x:v>
      </x:c>
      <x:c r="E1072" s="23" t="n">
        <x:f>'Parameters'!$B$2*'Parameters'!$B$3*LN(4*PI()*C1072^2)</x:f>
        <x:v>7.183623760752615</x:v>
      </x:c>
      <x:c r="F1072" s="23" t="n">
        <x:f>D1072+E1072</x:f>
        <x:v>-14.123216239247386</x:v>
      </x:c>
      <x:c r="G1072" s="23" t="n">
        <x:f>AVERAGE($F$1142:$F$1166)</x:f>
        <x:v>-13.488143584366567</x:v>
      </x:c>
      <x:c r="H1072" s="24" t="n">
        <x:f>F1072-G1072</x:f>
        <x:v>-0.635072654880819</x:v>
      </x:c>
    </x:row>
    <x:row r="1073">
      <x:c r="A1073" s="2" t="str">
        <x:v>LiD3-Core</x:v>
      </x:c>
      <x:c r="B1073" s="4" t="str">
        <x:v>NaCl</x:v>
      </x:c>
      <x:c r="C1073" s="23" t="n">
        <x:v>1.213374</x:v>
      </x:c>
      <x:c r="D1073" s="23" t="n">
        <x:v>-21.25488</x:v>
      </x:c>
      <x:c r="E1073" s="23" t="n">
        <x:f>'Parameters'!$B$2*'Parameters'!$B$3*LN(4*PI()*C1073^2)</x:f>
        <x:v>7.233185266085</x:v>
      </x:c>
      <x:c r="F1073" s="23" t="n">
        <x:f>D1073+E1073</x:f>
        <x:v>-14.021694733915</x:v>
      </x:c>
      <x:c r="G1073" s="23" t="n">
        <x:f>AVERAGE($F$1142:$F$1166)</x:f>
        <x:v>-13.488143584366567</x:v>
      </x:c>
      <x:c r="H1073" s="24" t="n">
        <x:f>F1073-G1073</x:f>
        <x:v>-0.5335511495484333</x:v>
      </x:c>
    </x:row>
    <x:row r="1074">
      <x:c r="A1074" s="2" t="str">
        <x:v>LiD3-Core</x:v>
      </x:c>
      <x:c r="B1074" s="4" t="str">
        <x:v>NaCl</x:v>
      </x:c>
      <x:c r="C1074" s="23" t="n">
        <x:v>1.225443</x:v>
      </x:c>
      <x:c r="D1074" s="23" t="n">
        <x:v>-21.26106</x:v>
      </x:c>
      <x:c r="E1074" s="23" t="n">
        <x:f>'Parameters'!$B$2*'Parameters'!$B$3*LN(4*PI()*C1074^2)</x:f>
        <x:v>7.282256232256229</x:v>
      </x:c>
      <x:c r="F1074" s="23" t="n">
        <x:f>D1074+E1074</x:f>
        <x:v>-13.978803767743772</x:v>
      </x:c>
      <x:c r="G1074" s="23" t="n">
        <x:f>AVERAGE($F$1142:$F$1166)</x:f>
        <x:v>-13.488143584366567</x:v>
      </x:c>
      <x:c r="H1074" s="24" t="n">
        <x:f>F1074-G1074</x:f>
        <x:v>-0.4906601833772051</x:v>
      </x:c>
    </x:row>
    <x:row r="1075">
      <x:c r="A1075" s="2" t="str">
        <x:v>LiD3-Core</x:v>
      </x:c>
      <x:c r="B1075" s="4" t="str">
        <x:v>NaCl</x:v>
      </x:c>
      <x:c r="C1075" s="23" t="n">
        <x:v>1.237513</x:v>
      </x:c>
      <x:c r="D1075" s="23" t="n">
        <x:v>-21.34935</x:v>
      </x:c>
      <x:c r="E1075" s="23" t="n">
        <x:f>'Parameters'!$B$2*'Parameters'!$B$3*LN(4*PI()*C1075^2)</x:f>
        <x:v>7.330850280836439</x:v>
      </x:c>
      <x:c r="F1075" s="23" t="n">
        <x:f>D1075+E1075</x:f>
        <x:v>-14.018499719163561</x:v>
      </x:c>
      <x:c r="G1075" s="23" t="n">
        <x:f>AVERAGE($F$1142:$F$1166)</x:f>
        <x:v>-13.488143584366567</x:v>
      </x:c>
      <x:c r="H1075" s="24" t="n">
        <x:f>F1075-G1075</x:f>
        <x:v>-0.5303561347969943</x:v>
      </x:c>
    </x:row>
    <x:row r="1076">
      <x:c r="A1076" s="2" t="str">
        <x:v>LiD3-Core</x:v>
      </x:c>
      <x:c r="B1076" s="4" t="str">
        <x:v>NaCl</x:v>
      </x:c>
      <x:c r="C1076" s="23" t="n">
        <x:v>1.249582</x:v>
      </x:c>
      <x:c r="D1076" s="23" t="n">
        <x:v>-21.45354</x:v>
      </x:c>
      <x:c r="E1076" s="23" t="n">
        <x:f>'Parameters'!$B$2*'Parameters'!$B$3*LN(4*PI()*C1076^2)</x:f>
        <x:v>7.378968695671702</x:v>
      </x:c>
      <x:c r="F1076" s="23" t="n">
        <x:f>D1076+E1076</x:f>
        <x:v>-14.074571304328298</x:v>
      </x:c>
      <x:c r="G1076" s="23" t="n">
        <x:f>AVERAGE($F$1142:$F$1166)</x:f>
        <x:v>-13.488143584366567</x:v>
      </x:c>
      <x:c r="H1076" s="24" t="n">
        <x:f>F1076-G1076</x:f>
        <x:v>-0.5864277199617316</x:v>
      </x:c>
    </x:row>
    <x:row r="1077">
      <x:c r="A1077" s="2" t="str">
        <x:v>LiD3-Core</x:v>
      </x:c>
      <x:c r="B1077" s="4" t="str">
        <x:v>NaCl</x:v>
      </x:c>
      <x:c r="C1077" s="23" t="n">
        <x:v>1.261651</x:v>
      </x:c>
      <x:c r="D1077" s="23" t="n">
        <x:v>-21.34691</x:v>
      </x:c>
      <x:c r="E1077" s="23" t="n">
        <x:f>'Parameters'!$B$2*'Parameters'!$B$3*LN(4*PI()*C1077^2)</x:f>
        <x:v>7.426624588602592</x:v>
      </x:c>
      <x:c r="F1077" s="23" t="n">
        <x:f>D1077+E1077</x:f>
        <x:v>-13.920285411397408</x:v>
      </x:c>
      <x:c r="G1077" s="23" t="n">
        <x:f>AVERAGE($F$1142:$F$1166)</x:f>
        <x:v>-13.488143584366567</x:v>
      </x:c>
      <x:c r="H1077" s="24" t="n">
        <x:f>F1077-G1077</x:f>
        <x:v>-0.4321418270308417</x:v>
      </x:c>
    </x:row>
    <x:row r="1078">
      <x:c r="A1078" s="2" t="str">
        <x:v>LiD3-Core</x:v>
      </x:c>
      <x:c r="B1078" s="4" t="str">
        <x:v>NaCl</x:v>
      </x:c>
      <x:c r="C1078" s="23" t="n">
        <x:v>1.27372</x:v>
      </x:c>
      <x:c r="D1078" s="23" t="n">
        <x:v>-21.27832</x:v>
      </x:c>
      <x:c r="E1078" s="23" t="n">
        <x:f>'Parameters'!$B$2*'Parameters'!$B$3*LN(4*PI()*C1078^2)</x:f>
        <x:v>7.473826766710332</x:v>
      </x:c>
      <x:c r="F1078" s="23" t="n">
        <x:f>D1078+E1078</x:f>
        <x:v>-13.80449323328967</x:v>
      </x:c>
      <x:c r="G1078" s="23" t="n">
        <x:f>AVERAGE($F$1142:$F$1166)</x:f>
        <x:v>-13.488143584366567</x:v>
      </x:c>
      <x:c r="H1078" s="24" t="n">
        <x:f>F1078-G1078</x:f>
        <x:v>-0.3163496489231026</x:v>
      </x:c>
    </x:row>
    <x:row r="1079">
      <x:c r="A1079" s="2" t="str">
        <x:v>LiD3-Core</x:v>
      </x:c>
      <x:c r="B1079" s="4" t="str">
        <x:v>NaCl</x:v>
      </x:c>
      <x:c r="C1079" s="23" t="n">
        <x:v>1.285789</x:v>
      </x:c>
      <x:c r="D1079" s="23" t="n">
        <x:v>-21.3529</x:v>
      </x:c>
      <x:c r="E1079" s="23" t="n">
        <x:f>'Parameters'!$B$2*'Parameters'!$B$3*LN(4*PI()*C1079^2)</x:f>
        <x:v>7.520583787897435</x:v>
      </x:c>
      <x:c r="F1079" s="23" t="n">
        <x:f>D1079+E1079</x:f>
        <x:v>-13.832316212102567</x:v>
      </x:c>
      <x:c r="G1079" s="23" t="n">
        <x:f>AVERAGE($F$1142:$F$1166)</x:f>
        <x:v>-13.488143584366567</x:v>
      </x:c>
      <x:c r="H1079" s="24" t="n">
        <x:f>F1079-G1079</x:f>
        <x:v>-0.34417262773600044</x:v>
      </x:c>
    </x:row>
    <x:row r="1080">
      <x:c r="A1080" s="2" t="str">
        <x:v>LiD3-Core</x:v>
      </x:c>
      <x:c r="B1080" s="4" t="str">
        <x:v>NaCl</x:v>
      </x:c>
      <x:c r="C1080" s="23" t="n">
        <x:v>1.297858</x:v>
      </x:c>
      <x:c r="D1080" s="23" t="n">
        <x:v>-21.38476</x:v>
      </x:c>
      <x:c r="E1080" s="23" t="n">
        <x:f>'Parameters'!$B$2*'Parameters'!$B$3*LN(4*PI()*C1080^2)</x:f>
        <x:v>7.566903970199956</x:v>
      </x:c>
      <x:c r="F1080" s="23" t="n">
        <x:f>D1080+E1080</x:f>
        <x:v>-13.817856029800044</x:v>
      </x:c>
      <x:c r="G1080" s="23" t="n">
        <x:f>AVERAGE($F$1142:$F$1166)</x:f>
        <x:v>-13.488143584366567</x:v>
      </x:c>
      <x:c r="H1080" s="24" t="n">
        <x:f>F1080-G1080</x:f>
        <x:v>-0.32971244543347744</x:v>
      </x:c>
    </x:row>
    <x:row r="1081">
      <x:c r="A1081" s="2" t="str">
        <x:v>LiD3-Core</x:v>
      </x:c>
      <x:c r="B1081" s="4" t="str">
        <x:v>NaCl</x:v>
      </x:c>
      <x:c r="C1081" s="23" t="n">
        <x:v>1.309927</x:v>
      </x:c>
      <x:c r="D1081" s="23" t="n">
        <x:v>-21.48506</x:v>
      </x:c>
      <x:c r="E1081" s="23" t="n">
        <x:f>'Parameters'!$B$2*'Parameters'!$B$3*LN(4*PI()*C1081^2)</x:f>
        <x:v>7.612795400668763</x:v>
      </x:c>
      <x:c r="F1081" s="23" t="n">
        <x:f>D1081+E1081</x:f>
        <x:v>-13.872264599331238</x:v>
      </x:c>
      <x:c r="G1081" s="23" t="n">
        <x:f>AVERAGE($F$1142:$F$1166)</x:f>
        <x:v>-13.488143584366567</x:v>
      </x:c>
      <x:c r="H1081" s="24" t="n">
        <x:f>F1081-G1081</x:f>
        <x:v>-0.38412101496467166</x:v>
      </x:c>
    </x:row>
    <x:row r="1082">
      <x:c r="A1082" s="2" t="str">
        <x:v>LiD3-Core</x:v>
      </x:c>
      <x:c r="B1082" s="4" t="str">
        <x:v>NaCl</x:v>
      </x:c>
      <x:c r="C1082" s="23" t="n">
        <x:v>1.321996</x:v>
      </x:c>
      <x:c r="D1082" s="23" t="n">
        <x:v>-21.47535</x:v>
      </x:c>
      <x:c r="E1082" s="23" t="n">
        <x:f>'Parameters'!$B$2*'Parameters'!$B$3*LN(4*PI()*C1082^2)</x:f>
        <x:v>7.658265943843526</x:v>
      </x:c>
      <x:c r="F1082" s="23" t="n">
        <x:f>D1082+E1082</x:f>
        <x:v>-13.817084056156473</x:v>
      </x:c>
      <x:c r="G1082" s="23" t="n">
        <x:f>AVERAGE($F$1142:$F$1166)</x:f>
        <x:v>-13.488143584366567</x:v>
      </x:c>
      <x:c r="H1082" s="24" t="n">
        <x:f>F1082-G1082</x:f>
        <x:v>-0.32894047178990604</x:v>
      </x:c>
    </x:row>
    <x:row r="1083">
      <x:c r="A1083" s="2" t="str">
        <x:v>LiD3-Core</x:v>
      </x:c>
      <x:c r="B1083" s="4" t="str">
        <x:v>NaCl</x:v>
      </x:c>
      <x:c r="C1083" s="23" t="n">
        <x:v>1.334065</x:v>
      </x:c>
      <x:c r="D1083" s="23" t="n">
        <x:v>-21.59809</x:v>
      </x:c>
      <x:c r="E1083" s="23" t="n">
        <x:f>'Parameters'!$B$2*'Parameters'!$B$3*LN(4*PI()*C1083^2)</x:f>
        <x:v>7.703323249841621</x:v>
      </x:c>
      <x:c r="F1083" s="23" t="n">
        <x:f>D1083+E1083</x:f>
        <x:v>-13.894766750158379</x:v>
      </x:c>
      <x:c r="G1083" s="23" t="n">
        <x:f>AVERAGE($F$1142:$F$1166)</x:f>
        <x:v>-13.488143584366567</x:v>
      </x:c>
      <x:c r="H1083" s="24" t="n">
        <x:f>F1083-G1083</x:f>
        <x:v>-0.406623165791812</x:v>
      </x:c>
    </x:row>
    <x:row r="1084">
      <x:c r="A1084" s="2" t="str">
        <x:v>LiD3-Core</x:v>
      </x:c>
      <x:c r="B1084" s="4" t="str">
        <x:v>NaCl</x:v>
      </x:c>
      <x:c r="C1084" s="23" t="n">
        <x:v>1.346135</x:v>
      </x:c>
      <x:c r="D1084" s="23" t="n">
        <x:v>-21.55908</x:v>
      </x:c>
      <x:c r="E1084" s="23" t="n">
        <x:f>'Parameters'!$B$2*'Parameters'!$B$3*LN(4*PI()*C1084^2)</x:f>
        <x:v>7.747978445157603</x:v>
      </x:c>
      <x:c r="F1084" s="23" t="n">
        <x:f>D1084+E1084</x:f>
        <x:v>-13.811101554842399</x:v>
      </x:c>
      <x:c r="G1084" s="23" t="n">
        <x:f>AVERAGE($F$1142:$F$1166)</x:f>
        <x:v>-13.488143584366567</x:v>
      </x:c>
      <x:c r="H1084" s="24" t="n">
        <x:f>F1084-G1084</x:f>
        <x:v>-0.32295797047583186</x:v>
      </x:c>
    </x:row>
    <x:row r="1085">
      <x:c r="A1085" s="2" t="str">
        <x:v>LiD3-Core</x:v>
      </x:c>
      <x:c r="B1085" s="4" t="str">
        <x:v>NaCl</x:v>
      </x:c>
      <x:c r="C1085" s="23" t="n">
        <x:v>1.358204</x:v>
      </x:c>
      <x:c r="D1085" s="23" t="n">
        <x:v>-21.63223</x:v>
      </x:c>
      <x:c r="E1085" s="23" t="n">
        <x:f>'Parameters'!$B$2*'Parameters'!$B$3*LN(4*PI()*C1085^2)</x:f>
        <x:v>7.792231375016071</x:v>
      </x:c>
      <x:c r="F1085" s="23" t="n">
        <x:f>D1085+E1085</x:f>
        <x:v>-13.839998624983929</x:v>
      </x:c>
      <x:c r="G1085" s="23" t="n">
        <x:f>AVERAGE($F$1142:$F$1166)</x:f>
        <x:v>-13.488143584366567</x:v>
      </x:c>
      <x:c r="H1085" s="24" t="n">
        <x:f>F1085-G1085</x:f>
        <x:v>-0.3518550406173624</x:v>
      </x:c>
    </x:row>
    <x:row r="1086">
      <x:c r="A1086" s="2" t="str">
        <x:v>LiD3-Core</x:v>
      </x:c>
      <x:c r="B1086" s="4" t="str">
        <x:v>NaCl</x:v>
      </x:c>
      <x:c r="C1086" s="23" t="n">
        <x:v>1.370273</x:v>
      </x:c>
      <x:c r="D1086" s="23" t="n">
        <x:v>-21.59701</x:v>
      </x:c>
      <x:c r="E1086" s="23" t="n">
        <x:f>'Parameters'!$B$2*'Parameters'!$B$3*LN(4*PI()*C1086^2)</x:f>
        <x:v>7.8360928076339</x:v>
      </x:c>
      <x:c r="F1086" s="23" t="n">
        <x:f>D1086+E1086</x:f>
        <x:v>-13.760917192366101</x:v>
      </x:c>
      <x:c r="G1086" s="23" t="n">
        <x:f>AVERAGE($F$1142:$F$1166)</x:f>
        <x:v>-13.488143584366567</x:v>
      </x:c>
      <x:c r="H1086" s="24" t="n">
        <x:f>F1086-G1086</x:f>
        <x:v>-0.2727736079995342</x:v>
      </x:c>
    </x:row>
    <x:row r="1087">
      <x:c r="A1087" s="2" t="str">
        <x:v>LiD3-Core</x:v>
      </x:c>
      <x:c r="B1087" s="4" t="str">
        <x:v>NaCl</x:v>
      </x:c>
      <x:c r="C1087" s="23" t="n">
        <x:v>1.382342</x:v>
      </x:c>
      <x:c r="D1087" s="23" t="n">
        <x:v>-21.60477</x:v>
      </x:c>
      <x:c r="E1087" s="23" t="n">
        <x:f>'Parameters'!$B$2*'Parameters'!$B$3*LN(4*PI()*C1087^2)</x:f>
        <x:v>7.879569609313631</x:v>
      </x:c>
      <x:c r="F1087" s="23" t="n">
        <x:f>D1087+E1087</x:f>
        <x:v>-13.725200390686368</x:v>
      </x:c>
      <x:c r="G1087" s="23" t="n">
        <x:f>AVERAGE($F$1142:$F$1166)</x:f>
        <x:v>-13.488143584366567</x:v>
      </x:c>
      <x:c r="H1087" s="24" t="n">
        <x:f>F1087-G1087</x:f>
        <x:v>-0.23705680631980108</x:v>
      </x:c>
    </x:row>
    <x:row r="1088">
      <x:c r="A1088" s="2" t="str">
        <x:v>LiD3-Core</x:v>
      </x:c>
      <x:c r="B1088" s="4" t="str">
        <x:v>NaCl</x:v>
      </x:c>
      <x:c r="C1088" s="23" t="n">
        <x:v>1.394411</x:v>
      </x:c>
      <x:c r="D1088" s="23" t="n">
        <x:v>-21.62777</x:v>
      </x:c>
      <x:c r="E1088" s="23" t="n">
        <x:f>'Parameters'!$B$2*'Parameters'!$B$3*LN(4*PI()*C1088^2)</x:f>
        <x:v>7.9226684672892596</x:v>
      </x:c>
      <x:c r="F1088" s="23" t="n">
        <x:f>D1088+E1088</x:f>
        <x:v>-13.705101532710742</x:v>
      </x:c>
      <x:c r="G1088" s="23" t="n">
        <x:f>AVERAGE($F$1142:$F$1166)</x:f>
        <x:v>-13.488143584366567</x:v>
      </x:c>
      <x:c r="H1088" s="24" t="n">
        <x:f>F1088-G1088</x:f>
        <x:v>-0.21695794834417548</x:v>
      </x:c>
    </x:row>
    <x:row r="1089">
      <x:c r="A1089" s="2" t="str">
        <x:v>LiD3-Core</x:v>
      </x:c>
      <x:c r="B1089" s="4" t="str">
        <x:v>NaCl</x:v>
      </x:c>
      <x:c r="C1089" s="23" t="n">
        <x:v>1.40648</x:v>
      </x:c>
      <x:c r="D1089" s="23" t="n">
        <x:v>-21.79207</x:v>
      </x:c>
      <x:c r="E1089" s="23" t="n">
        <x:f>'Parameters'!$B$2*'Parameters'!$B$3*LN(4*PI()*C1089^2)</x:f>
        <x:v>7.965395895899258</x:v>
      </x:c>
      <x:c r="F1089" s="23" t="n">
        <x:f>D1089+E1089</x:f>
        <x:v>-13.826674104100741</x:v>
      </x:c>
      <x:c r="G1089" s="23" t="n">
        <x:f>AVERAGE($F$1142:$F$1166)</x:f>
        <x:v>-13.488143584366567</x:v>
      </x:c>
      <x:c r="H1089" s="24" t="n">
        <x:f>F1089-G1089</x:f>
        <x:v>-0.33853051973417436</x:v>
      </x:c>
    </x:row>
    <x:row r="1090">
      <x:c r="A1090" s="2" t="str">
        <x:v>LiD3-Core</x:v>
      </x:c>
      <x:c r="B1090" s="4" t="str">
        <x:v>NaCl</x:v>
      </x:c>
      <x:c r="C1090" s="23" t="n">
        <x:v>1.418549</x:v>
      </x:c>
      <x:c r="D1090" s="23" t="n">
        <x:v>-21.65444</x:v>
      </x:c>
      <x:c r="E1090" s="23" t="n">
        <x:f>'Parameters'!$B$2*'Parameters'!$B$3*LN(4*PI()*C1090^2)</x:f>
        <x:v>8.007758242495871</x:v>
      </x:c>
      <x:c r="F1090" s="23" t="n">
        <x:f>D1090+E1090</x:f>
        <x:v>-13.64668175750413</x:v>
      </x:c>
      <x:c r="G1090" s="23" t="n">
        <x:f>AVERAGE($F$1142:$F$1166)</x:f>
        <x:v>-13.488143584366567</x:v>
      </x:c>
      <x:c r="H1090" s="24" t="n">
        <x:f>F1090-G1090</x:f>
        <x:v>-0.15853817313756302</x:v>
      </x:c>
    </x:row>
    <x:row r="1091">
      <x:c r="A1091" s="2" t="str">
        <x:v>LiD3-Core</x:v>
      </x:c>
      <x:c r="B1091" s="4" t="str">
        <x:v>NaCl</x:v>
      </x:c>
      <x:c r="C1091" s="23" t="n">
        <x:v>1.430618</x:v>
      </x:c>
      <x:c r="D1091" s="23" t="n">
        <x:v>-21.63622</x:v>
      </x:c>
      <x:c r="E1091" s="23" t="n">
        <x:f>'Parameters'!$B$2*'Parameters'!$B$3*LN(4*PI()*C1091^2)</x:f>
        <x:v>8.049761693104085</x:v>
      </x:c>
      <x:c r="F1091" s="23" t="n">
        <x:f>D1091+E1091</x:f>
        <x:v>-13.586458306895917</x:v>
      </x:c>
      <x:c r="G1091" s="23" t="n">
        <x:f>AVERAGE($F$1142:$F$1166)</x:f>
        <x:v>-13.488143584366567</x:v>
      </x:c>
      <x:c r="H1091" s="24" t="n">
        <x:f>F1091-G1091</x:f>
        <x:v>-0.09831472252935036</x:v>
      </x:c>
    </x:row>
    <x:row r="1092">
      <x:c r="A1092" s="2" t="str">
        <x:v>LiD3-Core</x:v>
      </x:c>
      <x:c r="B1092" s="4" t="str">
        <x:v>NaCl</x:v>
      </x:c>
      <x:c r="C1092" s="23" t="n">
        <x:v>1.442687</x:v>
      </x:c>
      <x:c r="D1092" s="23" t="n">
        <x:v>-21.73199</x:v>
      </x:c>
      <x:c r="E1092" s="23" t="n">
        <x:f>'Parameters'!$B$2*'Parameters'!$B$3*LN(4*PI()*C1092^2)</x:f>
        <x:v>8.091412277842887</x:v>
      </x:c>
      <x:c r="F1092" s="23" t="n">
        <x:f>D1092+E1092</x:f>
        <x:v>-13.640577722157113</x:v>
      </x:c>
      <x:c r="G1092" s="23" t="n">
        <x:f>AVERAGE($F$1142:$F$1166)</x:f>
        <x:v>-13.488143584366567</x:v>
      </x:c>
      <x:c r="H1092" s="24" t="n">
        <x:f>F1092-G1092</x:f>
        <x:v>-0.1524341377905465</x:v>
      </x:c>
    </x:row>
    <x:row r="1093">
      <x:c r="A1093" s="2" t="str">
        <x:v>LiD3-Core</x:v>
      </x:c>
      <x:c r="B1093" s="4" t="str">
        <x:v>NaCl</x:v>
      </x:c>
      <x:c r="C1093" s="23" t="n">
        <x:v>1.454757</x:v>
      </x:c>
      <x:c r="D1093" s="23" t="n">
        <x:v>-21.84573</x:v>
      </x:c>
      <x:c r="E1093" s="23" t="n">
        <x:f>'Parameters'!$B$2*'Parameters'!$B$3*LN(4*PI()*C1093^2)</x:f>
        <x:v>8.132719284192126</x:v>
      </x:c>
      <x:c r="F1093" s="23" t="n">
        <x:f>D1093+E1093</x:f>
        <x:v>-13.713010715807874</x:v>
      </x:c>
      <x:c r="G1093" s="23" t="n">
        <x:f>AVERAGE($F$1142:$F$1166)</x:f>
        <x:v>-13.488143584366567</x:v>
      </x:c>
      <x:c r="H1093" s="24" t="n">
        <x:f>F1093-G1093</x:f>
        <x:v>-0.22486713144130732</x:v>
      </x:c>
    </x:row>
    <x:row r="1094">
      <x:c r="A1094" s="2" t="str">
        <x:v>LiD3-Core</x:v>
      </x:c>
      <x:c r="B1094" s="4" t="str">
        <x:v>NaCl</x:v>
      </x:c>
      <x:c r="C1094" s="23" t="n">
        <x:v>1.466826</x:v>
      </x:c>
      <x:c r="D1094" s="23" t="n">
        <x:v>-21.76579</x:v>
      </x:c>
      <x:c r="E1094" s="23" t="n">
        <x:f>'Parameters'!$B$2*'Parameters'!$B$3*LN(4*PI()*C1094^2)</x:f>
        <x:v>8.173681601646093</x:v>
      </x:c>
      <x:c r="F1094" s="23" t="n">
        <x:f>D1094+E1094</x:f>
        <x:v>-13.592108398353906</x:v>
      </x:c>
      <x:c r="G1094" s="23" t="n">
        <x:f>AVERAGE($F$1142:$F$1166)</x:f>
        <x:v>-13.488143584366567</x:v>
      </x:c>
      <x:c r="H1094" s="24" t="n">
        <x:f>F1094-G1094</x:f>
        <x:v>-0.10396481398733926</x:v>
      </x:c>
    </x:row>
    <x:row r="1095">
      <x:c r="A1095" s="2" t="str">
        <x:v>LiD3-Core</x:v>
      </x:c>
      <x:c r="B1095" s="4" t="str">
        <x:v>NaCl</x:v>
      </x:c>
      <x:c r="C1095" s="23" t="n">
        <x:v>1.478895</x:v>
      </x:c>
      <x:c r="D1095" s="23" t="n">
        <x:v>-21.8978</x:v>
      </x:c>
      <x:c r="E1095" s="23" t="n">
        <x:f>'Parameters'!$B$2*'Parameters'!$B$3*LN(4*PI()*C1095^2)</x:f>
        <x:v>8.21430825950106</x:v>
      </x:c>
      <x:c r="F1095" s="23" t="n">
        <x:f>D1095+E1095</x:f>
        <x:v>-13.68349174049894</x:v>
      </x:c>
      <x:c r="G1095" s="23" t="n">
        <x:f>AVERAGE($F$1142:$F$1166)</x:f>
        <x:v>-13.488143584366567</x:v>
      </x:c>
      <x:c r="H1095" s="24" t="n">
        <x:f>F1095-G1095</x:f>
        <x:v>-0.19534815613237377</x:v>
      </x:c>
    </x:row>
    <x:row r="1096">
      <x:c r="A1096" s="2" t="str">
        <x:v>LiD3-Core</x:v>
      </x:c>
      <x:c r="B1096" s="4" t="str">
        <x:v>NaCl</x:v>
      </x:c>
      <x:c r="C1096" s="23" t="n">
        <x:v>1.490964</x:v>
      </x:c>
      <x:c r="D1096" s="23" t="n">
        <x:v>-21.88473</x:v>
      </x:c>
      <x:c r="E1096" s="23" t="n">
        <x:f>'Parameters'!$B$2*'Parameters'!$B$3*LN(4*PI()*C1096^2)</x:f>
        <x:v>8.254604714101115</x:v>
      </x:c>
      <x:c r="F1096" s="23" t="n">
        <x:f>D1096+E1096</x:f>
        <x:v>-13.630125285898886</x:v>
      </x:c>
      <x:c r="G1096" s="23" t="n">
        <x:f>AVERAGE($F$1142:$F$1166)</x:f>
        <x:v>-13.488143584366567</x:v>
      </x:c>
      <x:c r="H1096" s="24" t="n">
        <x:f>F1096-G1096</x:f>
        <x:v>-0.1419817015323197</x:v>
      </x:c>
    </x:row>
    <x:row r="1097">
      <x:c r="A1097" s="2" t="str">
        <x:v>LiD3-Core</x:v>
      </x:c>
      <x:c r="B1097" s="4" t="str">
        <x:v>NaCl</x:v>
      </x:c>
      <x:c r="C1097" s="23" t="n">
        <x:v>1.503033</x:v>
      </x:c>
      <x:c r="D1097" s="23" t="n">
        <x:v>-21.94069</x:v>
      </x:c>
      <x:c r="E1097" s="23" t="n">
        <x:f>'Parameters'!$B$2*'Parameters'!$B$3*LN(4*PI()*C1097^2)</x:f>
        <x:v>8.29457628981816</x:v>
      </x:c>
      <x:c r="F1097" s="23" t="n">
        <x:f>D1097+E1097</x:f>
        <x:v>-13.64611371018184</x:v>
      </x:c>
      <x:c r="G1097" s="23" t="n">
        <x:f>AVERAGE($F$1142:$F$1166)</x:f>
        <x:v>-13.488143584366567</x:v>
      </x:c>
      <x:c r="H1097" s="24" t="n">
        <x:f>F1097-G1097</x:f>
        <x:v>-0.15797012581527348</x:v>
      </x:c>
    </x:row>
    <x:row r="1098">
      <x:c r="A1098" s="2" t="str">
        <x:v>LiD3-Core</x:v>
      </x:c>
      <x:c r="B1098" s="4" t="str">
        <x:v>NaCl</x:v>
      </x:c>
      <x:c r="C1098" s="23" t="n">
        <x:v>1.515102</x:v>
      </x:c>
      <x:c r="D1098" s="23" t="n">
        <x:v>-22.04447</x:v>
      </x:c>
      <x:c r="E1098" s="23" t="n">
        <x:f>'Parameters'!$B$2*'Parameters'!$B$3*LN(4*PI()*C1098^2)</x:f>
        <x:v>8.334228183273877</x:v>
      </x:c>
      <x:c r="F1098" s="23" t="n">
        <x:f>D1098+E1098</x:f>
        <x:v>-13.710241816726123</x:v>
      </x:c>
      <x:c r="G1098" s="23" t="n">
        <x:f>AVERAGE($F$1142:$F$1166)</x:f>
        <x:v>-13.488143584366567</x:v>
      </x:c>
      <x:c r="H1098" s="24" t="n">
        <x:f>F1098-G1098</x:f>
        <x:v>-0.2220982323595564</x:v>
      </x:c>
    </x:row>
    <x:row r="1099">
      <x:c r="A1099" s="2" t="str">
        <x:v>LiD3-Core</x:v>
      </x:c>
      <x:c r="B1099" s="4" t="str">
        <x:v>NaCl</x:v>
      </x:c>
      <x:c r="C1099" s="23" t="n">
        <x:v>1.527171</x:v>
      </x:c>
      <x:c r="D1099" s="23" t="n">
        <x:v>-22.14621</x:v>
      </x:c>
      <x:c r="E1099" s="23" t="n">
        <x:f>'Parameters'!$B$2*'Parameters'!$B$3*LN(4*PI()*C1099^2)</x:f>
        <x:v>8.373565467394231</x:v>
      </x:c>
      <x:c r="F1099" s="23" t="n">
        <x:f>D1099+E1099</x:f>
        <x:v>-13.772644532605769</x:v>
      </x:c>
      <x:c r="G1099" s="23" t="n">
        <x:f>AVERAGE($F$1142:$F$1166)</x:f>
        <x:v>-13.488143584366567</x:v>
      </x:c>
      <x:c r="H1099" s="24" t="n">
        <x:f>F1099-G1099</x:f>
        <x:v>-0.28450094823920224</x:v>
      </x:c>
    </x:row>
    <x:row r="1100">
      <x:c r="A1100" s="2" t="str">
        <x:v>LiD3-Core</x:v>
      </x:c>
      <x:c r="B1100" s="4" t="str">
        <x:v>NaCl</x:v>
      </x:c>
      <x:c r="C1100" s="23" t="n">
        <x:v>1.53924</x:v>
      </x:c>
      <x:c r="D1100" s="23" t="n">
        <x:v>-22.10395</x:v>
      </x:c>
      <x:c r="E1100" s="23" t="n">
        <x:f>'Parameters'!$B$2*'Parameters'!$B$3*LN(4*PI()*C1100^2)</x:f>
        <x:v>8.412593095304366</x:v>
      </x:c>
      <x:c r="F1100" s="23" t="n">
        <x:f>D1100+E1100</x:f>
        <x:v>-13.691356904695635</x:v>
      </x:c>
      <x:c r="G1100" s="23" t="n">
        <x:f>AVERAGE($F$1142:$F$1166)</x:f>
        <x:v>-13.488143584366567</x:v>
      </x:c>
      <x:c r="H1100" s="24" t="n">
        <x:f>F1100-G1100</x:f>
        <x:v>-0.20321332032906803</x:v>
      </x:c>
    </x:row>
    <x:row r="1101">
      <x:c r="A1101" s="2" t="str">
        <x:v>LiD3-Core</x:v>
      </x:c>
      <x:c r="B1101" s="4" t="str">
        <x:v>NaCl</x:v>
      </x:c>
      <x:c r="C1101" s="23" t="n">
        <x:v>1.551309</x:v>
      </x:c>
      <x:c r="D1101" s="23" t="n">
        <x:v>-22.17939</x:v>
      </x:c>
      <x:c r="E1101" s="23" t="n">
        <x:f>'Parameters'!$B$2*'Parameters'!$B$3*LN(4*PI()*C1101^2)</x:f>
        <x:v>8.451315904071416</x:v>
      </x:c>
      <x:c r="F1101" s="23" t="n">
        <x:f>D1101+E1101</x:f>
        <x:v>-13.728074095928585</x:v>
      </x:c>
      <x:c r="G1101" s="23" t="n">
        <x:f>AVERAGE($F$1142:$F$1166)</x:f>
        <x:v>-13.488143584366567</x:v>
      </x:c>
      <x:c r="H1101" s="24" t="n">
        <x:f>F1101-G1101</x:f>
        <x:v>-0.23993051156201872</x:v>
      </x:c>
    </x:row>
    <x:row r="1102">
      <x:c r="A1102" s="2" t="str">
        <x:v>LiD3-Core</x:v>
      </x:c>
      <x:c r="B1102" s="4" t="str">
        <x:v>NaCl</x:v>
      </x:c>
      <x:c r="C1102" s="23" t="n">
        <x:v>1.563379</x:v>
      </x:c>
      <x:c r="D1102" s="23" t="n">
        <x:v>-22.05919</x:v>
      </x:c>
      <x:c r="E1102" s="23" t="n">
        <x:f>'Parameters'!$B$2*'Parameters'!$B$3*LN(4*PI()*C1102^2)</x:f>
        <x:v>8.489741789584235</x:v>
      </x:c>
      <x:c r="F1102" s="23" t="n">
        <x:f>D1102+E1102</x:f>
        <x:v>-13.569448210415766</x:v>
      </x:c>
      <x:c r="G1102" s="23" t="n">
        <x:f>AVERAGE($F$1142:$F$1166)</x:f>
        <x:v>-13.488143584366567</x:v>
      </x:c>
      <x:c r="H1102" s="24" t="n">
        <x:f>F1102-G1102</x:f>
        <x:v>-0.08130462604919941</x:v>
      </x:c>
    </x:row>
    <x:row r="1103">
      <x:c r="A1103" s="2" t="str">
        <x:v>LiD3-Core</x:v>
      </x:c>
      <x:c r="B1103" s="4" t="str">
        <x:v>NaCl</x:v>
      </x:c>
      <x:c r="C1103" s="23" t="n">
        <x:v>1.575448</x:v>
      </x:c>
      <x:c r="D1103" s="23" t="n">
        <x:v>-21.95122</x:v>
      </x:c>
      <x:c r="E1103" s="23" t="n">
        <x:f>'Parameters'!$B$2*'Parameters'!$B$3*LN(4*PI()*C1103^2)</x:f>
        <x:v>8.527869000590757</x:v>
      </x:c>
      <x:c r="F1103" s="23" t="n">
        <x:f>D1103+E1103</x:f>
        <x:v>-13.423350999409243</x:v>
      </x:c>
      <x:c r="G1103" s="23" t="n">
        <x:f>AVERAGE($F$1142:$F$1166)</x:f>
        <x:v>-13.488143584366567</x:v>
      </x:c>
      <x:c r="H1103" s="24" t="n">
        <x:f>F1103-G1103</x:f>
        <x:v>0.0647925849573241</x:v>
      </x:c>
    </x:row>
    <x:row r="1104">
      <x:c r="A1104" s="2" t="str">
        <x:v>LiD3-Core</x:v>
      </x:c>
      <x:c r="B1104" s="4" t="str">
        <x:v>NaCl</x:v>
      </x:c>
      <x:c r="C1104" s="23" t="n">
        <x:v>1.587517</x:v>
      </x:c>
      <x:c r="D1104" s="23" t="n">
        <x:v>-22.04354</x:v>
      </x:c>
      <x:c r="E1104" s="23" t="n">
        <x:f>'Parameters'!$B$2*'Parameters'!$B$3*LN(4*PI()*C1104^2)</x:f>
        <x:v>8.56570524296918</x:v>
      </x:c>
      <x:c r="F1104" s="23" t="n">
        <x:f>D1104+E1104</x:f>
        <x:v>-13.47783475703082</x:v>
      </x:c>
      <x:c r="G1104" s="23" t="n">
        <x:f>AVERAGE($F$1142:$F$1166)</x:f>
        <x:v>-13.488143584366567</x:v>
      </x:c>
      <x:c r="H1104" s="24" t="n">
        <x:f>F1104-G1104</x:f>
        <x:v>0.010308827335746784</x:v>
      </x:c>
    </x:row>
    <x:row r="1105">
      <x:c r="A1105" s="2" t="str">
        <x:v>LiD3-Core</x:v>
      </x:c>
      <x:c r="B1105" s="4" t="str">
        <x:v>NaCl</x:v>
      </x:c>
      <x:c r="C1105" s="23" t="n">
        <x:v>1.599586</x:v>
      </x:c>
      <x:c r="D1105" s="23" t="n">
        <x:v>-21.99743</x:v>
      </x:c>
      <x:c r="E1105" s="23" t="n">
        <x:f>'Parameters'!$B$2*'Parameters'!$B$3*LN(4*PI()*C1105^2)</x:f>
        <x:v>8.603254924171816</x:v>
      </x:c>
      <x:c r="F1105" s="23" t="n">
        <x:f>D1105+E1105</x:f>
        <x:v>-13.394175075828185</x:v>
      </x:c>
      <x:c r="G1105" s="23" t="n">
        <x:f>AVERAGE($F$1142:$F$1166)</x:f>
        <x:v>-13.488143584366567</x:v>
      </x:c>
      <x:c r="H1105" s="24" t="n">
        <x:f>F1105-G1105</x:f>
        <x:v>0.09396850853838146</x:v>
      </x:c>
    </x:row>
    <x:row r="1106">
      <x:c r="A1106" s="2" t="str">
        <x:v>LiD3-Core</x:v>
      </x:c>
      <x:c r="B1106" s="4" t="str">
        <x:v>NaCl</x:v>
      </x:c>
      <x:c r="C1106" s="23" t="n">
        <x:v>1.611655</x:v>
      </x:c>
      <x:c r="D1106" s="23" t="n">
        <x:v>-21.94541</x:v>
      </x:c>
      <x:c r="E1106" s="23" t="n">
        <x:f>'Parameters'!$B$2*'Parameters'!$B$3*LN(4*PI()*C1106^2)</x:f>
        <x:v>8.640522352260318</x:v>
      </x:c>
      <x:c r="F1106" s="23" t="n">
        <x:f>D1106+E1106</x:f>
        <x:v>-13.304887647739681</x:v>
      </x:c>
      <x:c r="G1106" s="23" t="n">
        <x:f>AVERAGE($F$1142:$F$1166)</x:f>
        <x:v>-13.488143584366567</x:v>
      </x:c>
      <x:c r="H1106" s="24" t="n">
        <x:f>F1106-G1106</x:f>
        <x:v>0.18325593662688533</x:v>
      </x:c>
    </x:row>
    <x:row r="1107">
      <x:c r="A1107" s="2" t="str">
        <x:v>LiD3-Core</x:v>
      </x:c>
      <x:c r="B1107" s="4" t="str">
        <x:v>NaCl</x:v>
      </x:c>
      <x:c r="C1107" s="23" t="n">
        <x:v>1.623724</x:v>
      </x:c>
      <x:c r="D1107" s="23" t="n">
        <x:v>-21.90495</x:v>
      </x:c>
      <x:c r="E1107" s="23" t="n">
        <x:f>'Parameters'!$B$2*'Parameters'!$B$3*LN(4*PI()*C1107^2)</x:f>
        <x:v>8.67751173887183</x:v>
      </x:c>
      <x:c r="F1107" s="23" t="n">
        <x:f>D1107+E1107</x:f>
        <x:v>-13.22743826112817</x:v>
      </x:c>
      <x:c r="G1107" s="23" t="n">
        <x:f>AVERAGE($F$1142:$F$1166)</x:f>
        <x:v>-13.488143584366567</x:v>
      </x:c>
      <x:c r="H1107" s="24" t="n">
        <x:f>F1107-G1107</x:f>
        <x:v>0.26070532323839757</x:v>
      </x:c>
    </x:row>
    <x:row r="1108">
      <x:c r="A1108" s="2" t="str">
        <x:v>LiD3-Core</x:v>
      </x:c>
      <x:c r="B1108" s="4" t="str">
        <x:v>NaCl</x:v>
      </x:c>
      <x:c r="C1108" s="23" t="n">
        <x:v>1.635793</x:v>
      </x:c>
      <x:c r="D1108" s="23" t="n">
        <x:v>-22.06669</x:v>
      </x:c>
      <x:c r="E1108" s="23" t="n">
        <x:f>'Parameters'!$B$2*'Parameters'!$B$3*LN(4*PI()*C1108^2)</x:f>
        <x:v>8.714227202075312</x:v>
      </x:c>
      <x:c r="F1108" s="23" t="n">
        <x:f>D1108+E1108</x:f>
        <x:v>-13.352462797924689</x:v>
      </x:c>
      <x:c r="G1108" s="23" t="n">
        <x:f>AVERAGE($F$1142:$F$1166)</x:f>
        <x:v>-13.488143584366567</x:v>
      </x:c>
      <x:c r="H1108" s="24" t="n">
        <x:f>F1108-G1108</x:f>
        <x:v>0.13568078644187764</x:v>
      </x:c>
    </x:row>
    <x:row r="1109">
      <x:c r="A1109" s="2" t="str">
        <x:v>LiD3-Core</x:v>
      </x:c>
      <x:c r="B1109" s="4" t="str">
        <x:v>NaCl</x:v>
      </x:c>
      <x:c r="C1109" s="23" t="n">
        <x:v>1.647862</x:v>
      </x:c>
      <x:c r="D1109" s="23" t="n">
        <x:v>-22.07878</x:v>
      </x:c>
      <x:c r="E1109" s="23" t="n">
        <x:f>'Parameters'!$B$2*'Parameters'!$B$3*LN(4*PI()*C1109^2)</x:f>
        <x:v>8.750672769122835</x:v>
      </x:c>
      <x:c r="F1109" s="23" t="n">
        <x:f>D1109+E1109</x:f>
        <x:v>-13.328107230877164</x:v>
      </x:c>
      <x:c r="G1109" s="23" t="n">
        <x:f>AVERAGE($F$1142:$F$1166)</x:f>
        <x:v>-13.488143584366567</x:v>
      </x:c>
      <x:c r="H1109" s="24" t="n">
        <x:f>F1109-G1109</x:f>
        <x:v>0.16003635348940293</x:v>
      </x:c>
    </x:row>
    <x:row r="1110">
      <x:c r="A1110" s="2" t="str">
        <x:v>LiD3-Core</x:v>
      </x:c>
      <x:c r="B1110" s="4" t="str">
        <x:v>NaCl</x:v>
      </x:c>
      <x:c r="C1110" s="23" t="n">
        <x:v>1.659931</x:v>
      </x:c>
      <x:c r="D1110" s="23" t="n">
        <x:v>-22.20685</x:v>
      </x:c>
      <x:c r="E1110" s="23" t="n">
        <x:f>'Parameters'!$B$2*'Parameters'!$B$3*LN(4*PI()*C1110^2)</x:f>
        <x:v>8.78685237910054</x:v>
      </x:c>
      <x:c r="F1110" s="23" t="n">
        <x:f>D1110+E1110</x:f>
        <x:v>-13.419997620899458</x:v>
      </x:c>
      <x:c r="G1110" s="23" t="n">
        <x:f>AVERAGE($F$1142:$F$1166)</x:f>
        <x:v>-13.488143584366567</x:v>
      </x:c>
      <x:c r="H1110" s="24" t="n">
        <x:f>F1110-G1110</x:f>
        <x:v>0.06814596346710822</x:v>
      </x:c>
    </x:row>
    <x:row r="1111">
      <x:c r="A1111" s="2" t="str">
        <x:v>LiD3-Core</x:v>
      </x:c>
      <x:c r="B1111" s="4" t="str">
        <x:v>NaCl</x:v>
      </x:c>
      <x:c r="C1111" s="23" t="n">
        <x:v>1.672</x:v>
      </x:c>
      <x:c r="D1111" s="23" t="n">
        <x:v>-22.17425</x:v>
      </x:c>
      <x:c r="E1111" s="23" t="n">
        <x:f>'Parameters'!$B$2*'Parameters'!$B$3*LN(4*PI()*C1111^2)</x:f>
        <x:v>8.822769885483547</x:v>
      </x:c>
      <x:c r="F1111" s="23" t="n">
        <x:f>D1111+E1111</x:f>
        <x:v>-13.351480114516454</x:v>
      </x:c>
      <x:c r="G1111" s="23" t="n">
        <x:f>AVERAGE($F$1142:$F$1166)</x:f>
        <x:v>-13.488143584366567</x:v>
      </x:c>
      <x:c r="H1111" s="24" t="n">
        <x:f>F1111-G1111</x:f>
        <x:v>0.13666346985011302</x:v>
      </x:c>
    </x:row>
    <x:row r="1112">
      <x:c r="A1112" s="2" t="str">
        <x:v>LiD3-Core</x:v>
      </x:c>
      <x:c r="B1112" s="4" t="str">
        <x:v>NaCl</x:v>
      </x:c>
      <x:c r="C1112" s="23" t="n">
        <x:v>1.68407</x:v>
      </x:c>
      <x:c r="D1112" s="23" t="n">
        <x:v>-22.30558</x:v>
      </x:c>
      <x:c r="E1112" s="23" t="n">
        <x:f>'Parameters'!$B$2*'Parameters'!$B$3*LN(4*PI()*C1112^2)</x:f>
        <x:v>8.858432002606964</x:v>
      </x:c>
      <x:c r="F1112" s="23" t="n">
        <x:f>D1112+E1112</x:f>
        <x:v>-13.447147997393035</x:v>
      </x:c>
      <x:c r="G1112" s="23" t="n">
        <x:f>AVERAGE($F$1142:$F$1166)</x:f>
        <x:v>-13.488143584366567</x:v>
      </x:c>
      <x:c r="H1112" s="24" t="n">
        <x:f>F1112-G1112</x:f>
        <x:v>0.04099558697353167</x:v>
      </x:c>
    </x:row>
    <x:row r="1113">
      <x:c r="A1113" s="2" t="str">
        <x:v>LiD3-Core</x:v>
      </x:c>
      <x:c r="B1113" s="4" t="str">
        <x:v>NaCl</x:v>
      </x:c>
      <x:c r="C1113" s="23" t="n">
        <x:v>1.696139</x:v>
      </x:c>
      <x:c r="D1113" s="23" t="n">
        <x:v>-22.2278</x:v>
      </x:c>
      <x:c r="E1113" s="23" t="n">
        <x:f>'Parameters'!$B$2*'Parameters'!$B$3*LN(4*PI()*C1113^2)</x:f>
        <x:v>8.893836511060716</x:v>
      </x:c>
      <x:c r="F1113" s="23" t="n">
        <x:f>D1113+E1113</x:f>
        <x:v>-13.333963488939283</x:v>
      </x:c>
      <x:c r="G1113" s="23" t="n">
        <x:f>AVERAGE($F$1142:$F$1166)</x:f>
        <x:v>-13.488143584366567</x:v>
      </x:c>
      <x:c r="H1113" s="24" t="n">
        <x:f>F1113-G1113</x:f>
        <x:v>0.15418009542728406</x:v>
      </x:c>
    </x:row>
    <x:row r="1114">
      <x:c r="A1114" s="2" t="str">
        <x:v>LiD3-Core</x:v>
      </x:c>
      <x:c r="B1114" s="4" t="str">
        <x:v>NaCl</x:v>
      </x:c>
      <x:c r="C1114" s="23" t="n">
        <x:v>1.708208</x:v>
      </x:c>
      <x:c r="D1114" s="23" t="n">
        <x:v>-22.16384</x:v>
      </x:c>
      <x:c r="E1114" s="23" t="n">
        <x:f>'Parameters'!$B$2*'Parameters'!$B$3*LN(4*PI()*C1114^2)</x:f>
        <x:v>8.928989987169292</x:v>
      </x:c>
      <x:c r="F1114" s="23" t="n">
        <x:f>D1114+E1114</x:f>
        <x:v>-13.234850012830709</x:v>
      </x:c>
      <x:c r="G1114" s="23" t="n">
        <x:f>AVERAGE($F$1142:$F$1166)</x:f>
        <x:v>-13.488143584366567</x:v>
      </x:c>
      <x:c r="H1114" s="24" t="n">
        <x:f>F1114-G1114</x:f>
        <x:v>0.25329357153585796</x:v>
      </x:c>
    </x:row>
    <x:row r="1115">
      <x:c r="A1115" s="2" t="str">
        <x:v>LiD3-Core</x:v>
      </x:c>
      <x:c r="B1115" s="4" t="str">
        <x:v>NaCl</x:v>
      </x:c>
      <x:c r="C1115" s="23" t="n">
        <x:v>1.720277</x:v>
      </x:c>
      <x:c r="D1115" s="23" t="n">
        <x:v>-22.36864</x:v>
      </x:c>
      <x:c r="E1115" s="23" t="n">
        <x:f>'Parameters'!$B$2*'Parameters'!$B$3*LN(4*PI()*C1115^2)</x:f>
        <x:v>8.963895965726847</x:v>
      </x:c>
      <x:c r="F1115" s="23" t="n">
        <x:f>D1115+E1115</x:f>
        <x:v>-13.404744034273152</x:v>
      </x:c>
      <x:c r="G1115" s="23" t="n">
        <x:f>AVERAGE($F$1142:$F$1166)</x:f>
        <x:v>-13.488143584366567</x:v>
      </x:c>
      <x:c r="H1115" s="24" t="n">
        <x:f>F1115-G1115</x:f>
        <x:v>0.08339955009341438</x:v>
      </x:c>
    </x:row>
    <x:row r="1116">
      <x:c r="A1116" s="2" t="str">
        <x:v>LiD3-Core</x:v>
      </x:c>
      <x:c r="B1116" s="4" t="str">
        <x:v>NaCl</x:v>
      </x:c>
      <x:c r="C1116" s="23" t="n">
        <x:v>1.732346</x:v>
      </x:c>
      <x:c r="D1116" s="23" t="n">
        <x:v>-22.37843</x:v>
      </x:c>
      <x:c r="E1116" s="23" t="n">
        <x:f>'Parameters'!$B$2*'Parameters'!$B$3*LN(4*PI()*C1116^2)</x:f>
        <x:v>8.99855790738889</x:v>
      </x:c>
      <x:c r="F1116" s="23" t="n">
        <x:f>D1116+E1116</x:f>
        <x:v>-13.379872092611112</x:v>
      </x:c>
      <x:c r="G1116" s="23" t="n">
        <x:f>AVERAGE($F$1142:$F$1166)</x:f>
        <x:v>-13.488143584366567</x:v>
      </x:c>
      <x:c r="H1116" s="24" t="n">
        <x:f>F1116-G1116</x:f>
        <x:v>0.10827149175545436</x:v>
      </x:c>
    </x:row>
    <x:row r="1117">
      <x:c r="A1117" s="2" t="str">
        <x:v>LiD3-Core</x:v>
      </x:c>
      <x:c r="B1117" s="4" t="str">
        <x:v>NaCl</x:v>
      </x:c>
      <x:c r="C1117" s="23" t="n">
        <x:v>1.744415</x:v>
      </x:c>
      <x:c r="D1117" s="23" t="n">
        <x:v>-22.49237</x:v>
      </x:c>
      <x:c r="E1117" s="23" t="n">
        <x:f>'Parameters'!$B$2*'Parameters'!$B$3*LN(4*PI()*C1117^2)</x:f>
        <x:v>9.032979200731207</x:v>
      </x:c>
      <x:c r="F1117" s="23" t="n">
        <x:f>D1117+E1117</x:f>
        <x:v>-13.459390799268794</x:v>
      </x:c>
      <x:c r="G1117" s="23" t="n">
        <x:f>AVERAGE($F$1142:$F$1166)</x:f>
        <x:v>-13.488143584366567</x:v>
      </x:c>
      <x:c r="H1117" s="24" t="n">
        <x:f>F1117-G1117</x:f>
        <x:v>0.02875278509777246</x:v>
      </x:c>
    </x:row>
    <x:row r="1118">
      <x:c r="A1118" s="2" t="str">
        <x:v>LiD3-Core</x:v>
      </x:c>
      <x:c r="B1118" s="4" t="str">
        <x:v>NaCl</x:v>
      </x:c>
      <x:c r="C1118" s="23" t="n">
        <x:v>1.756484</x:v>
      </x:c>
      <x:c r="D1118" s="23" t="n">
        <x:v>-22.54112</x:v>
      </x:c>
      <x:c r="E1118" s="23" t="n">
        <x:f>'Parameters'!$B$2*'Parameters'!$B$3*LN(4*PI()*C1118^2)</x:f>
        <x:v>9.067163164237796</x:v>
      </x:c>
      <x:c r="F1118" s="23" t="n">
        <x:f>D1118+E1118</x:f>
        <x:v>-13.473956835762204</x:v>
      </x:c>
      <x:c r="G1118" s="23" t="n">
        <x:f>AVERAGE($F$1142:$F$1166)</x:f>
        <x:v>-13.488143584366567</x:v>
      </x:c>
      <x:c r="H1118" s="24" t="n">
        <x:f>F1118-G1118</x:f>
        <x:v>0.014186748604362975</x:v>
      </x:c>
    </x:row>
    <x:row r="1119">
      <x:c r="A1119" s="2" t="str">
        <x:v>LiD3-Core</x:v>
      </x:c>
      <x:c r="B1119" s="4" t="str">
        <x:v>NaCl</x:v>
      </x:c>
      <x:c r="C1119" s="23" t="n">
        <x:v>1.768553</x:v>
      </x:c>
      <x:c r="D1119" s="23" t="n">
        <x:v>-22.56169</x:v>
      </x:c>
      <x:c r="E1119" s="23" t="n">
        <x:f>'Parameters'!$B$2*'Parameters'!$B$3*LN(4*PI()*C1119^2)</x:f>
        <x:v>9.101113048220752</x:v>
      </x:c>
      <x:c r="F1119" s="23" t="n">
        <x:f>D1119+E1119</x:f>
        <x:v>-13.460576951779247</x:v>
      </x:c>
      <x:c r="G1119" s="23" t="n">
        <x:f>AVERAGE($F$1142:$F$1166)</x:f>
        <x:v>-13.488143584366567</x:v>
      </x:c>
      <x:c r="H1119" s="24" t="n">
        <x:f>F1119-G1119</x:f>
        <x:v>0.027566632587319617</x:v>
      </x:c>
    </x:row>
    <x:row r="1120">
      <x:c r="A1120" s="2" t="str">
        <x:v>LiD3-Core</x:v>
      </x:c>
      <x:c r="B1120" s="4" t="str">
        <x:v>NaCl</x:v>
      </x:c>
      <x:c r="C1120" s="23" t="n">
        <x:v>1.780622</x:v>
      </x:c>
      <x:c r="D1120" s="23" t="n">
        <x:v>-22.69337</x:v>
      </x:c>
      <x:c r="E1120" s="23" t="n">
        <x:f>'Parameters'!$B$2*'Parameters'!$B$3*LN(4*PI()*C1120^2)</x:f>
        <x:v>9.134832036674846</x:v>
      </x:c>
      <x:c r="F1120" s="23" t="n">
        <x:f>D1120+E1120</x:f>
        <x:v>-13.558537963325156</x:v>
      </x:c>
      <x:c r="G1120" s="23" t="n">
        <x:f>AVERAGE($F$1142:$F$1166)</x:f>
        <x:v>-13.488143584366567</x:v>
      </x:c>
      <x:c r="H1120" s="24" t="n">
        <x:f>F1120-G1120</x:f>
        <x:v>-0.07039437895858924</x:v>
      </x:c>
    </x:row>
    <x:row r="1121">
      <x:c r="A1121" s="2" t="str">
        <x:v>LiD3-Core</x:v>
      </x:c>
      <x:c r="B1121" s="4" t="str">
        <x:v>NaCl</x:v>
      </x:c>
      <x:c r="C1121" s="23" t="n">
        <x:v>1.792692</x:v>
      </x:c>
      <x:c r="D1121" s="23" t="n">
        <x:v>-22.69016</x:v>
      </x:c>
      <x:c r="E1121" s="23" t="n">
        <x:f>'Parameters'!$B$2*'Parameters'!$B$3*LN(4*PI()*C1121^2)</x:f>
        <x:v>9.168326014695396</x:v>
      </x:c>
      <x:c r="F1121" s="23" t="n">
        <x:f>D1121+E1121</x:f>
        <x:v>-13.521833985304603</x:v>
      </x:c>
      <x:c r="G1121" s="23" t="n">
        <x:f>AVERAGE($F$1142:$F$1166)</x:f>
        <x:v>-13.488143584366567</x:v>
      </x:c>
      <x:c r="H1121" s="24" t="n">
        <x:f>F1121-G1121</x:f>
        <x:v>-0.03369040093803655</x:v>
      </x:c>
    </x:row>
    <x:row r="1122">
      <x:c r="A1122" s="2" t="str">
        <x:v>LiD3-Core</x:v>
      </x:c>
      <x:c r="B1122" s="4" t="str">
        <x:v>NaCl</x:v>
      </x:c>
      <x:c r="C1122" s="23" t="n">
        <x:v>1.804761</x:v>
      </x:c>
      <x:c r="D1122" s="23" t="n">
        <x:v>-22.78509</x:v>
      </x:c>
      <x:c r="E1122" s="23" t="n">
        <x:f>'Parameters'!$B$2*'Parameters'!$B$3*LN(4*PI()*C1122^2)</x:f>
        <x:v>9.20159248921184</x:v>
      </x:c>
      <x:c r="F1122" s="23" t="n">
        <x:f>D1122+E1122</x:f>
        <x:v>-13.58349751078816</x:v>
      </x:c>
      <x:c r="G1122" s="23" t="n">
        <x:f>AVERAGE($F$1142:$F$1166)</x:f>
        <x:v>-13.488143584366567</x:v>
      </x:c>
      <x:c r="H1122" s="24" t="n">
        <x:f>F1122-G1122</x:f>
        <x:v>-0.09535392642159302</x:v>
      </x:c>
    </x:row>
    <x:row r="1123">
      <x:c r="A1123" s="2" t="str">
        <x:v>LiD3-Core</x:v>
      </x:c>
      <x:c r="B1123" s="4" t="str">
        <x:v>NaCl</x:v>
      </x:c>
      <x:c r="C1123" s="23" t="n">
        <x:v>1.81683</x:v>
      </x:c>
      <x:c r="D1123" s="23" t="n">
        <x:v>-22.79175</x:v>
      </x:c>
      <x:c r="E1123" s="23" t="n">
        <x:f>'Parameters'!$B$2*'Parameters'!$B$3*LN(4*PI()*C1123^2)</x:f>
        <x:v>9.234637240146855</x:v>
      </x:c>
      <x:c r="F1123" s="23" t="n">
        <x:f>D1123+E1123</x:f>
        <x:v>-13.557112759853146</x:v>
      </x:c>
      <x:c r="G1123" s="23" t="n">
        <x:f>AVERAGE($F$1142:$F$1166)</x:f>
        <x:v>-13.488143584366567</x:v>
      </x:c>
      <x:c r="H1123" s="24" t="n">
        <x:f>F1123-G1123</x:f>
        <x:v>-0.0689691754865791</x:v>
      </x:c>
    </x:row>
    <x:row r="1124">
      <x:c r="A1124" s="2" t="str">
        <x:v>LiD3-Core</x:v>
      </x:c>
      <x:c r="B1124" s="4" t="str">
        <x:v>NaCl</x:v>
      </x:c>
      <x:c r="C1124" s="23" t="n">
        <x:v>1.828899</x:v>
      </x:c>
      <x:c r="D1124" s="23" t="n">
        <x:v>-22.91863</x:v>
      </x:c>
      <x:c r="E1124" s="23" t="n">
        <x:f>'Parameters'!$B$2*'Parameters'!$B$3*LN(4*PI()*C1124^2)</x:f>
        <x:v>9.267463203551282</x:v>
      </x:c>
      <x:c r="F1124" s="23" t="n">
        <x:f>D1124+E1124</x:f>
        <x:v>-13.651166796448718</x:v>
      </x:c>
      <x:c r="G1124" s="23" t="n">
        <x:f>AVERAGE($F$1142:$F$1166)</x:f>
        <x:v>-13.488143584366567</x:v>
      </x:c>
      <x:c r="H1124" s="24" t="n">
        <x:f>F1124-G1124</x:f>
        <x:v>-0.16302321208215176</x:v>
      </x:c>
    </x:row>
    <x:row r="1125">
      <x:c r="A1125" s="2" t="str">
        <x:v>LiD3-Core</x:v>
      </x:c>
      <x:c r="B1125" s="4" t="str">
        <x:v>NaCl</x:v>
      </x:c>
      <x:c r="C1125" s="23" t="n">
        <x:v>1.840968</x:v>
      </x:c>
      <x:c r="D1125" s="23" t="n">
        <x:v>-22.91841</x:v>
      </x:c>
      <x:c r="E1125" s="23" t="n">
        <x:f>'Parameters'!$B$2*'Parameters'!$B$3*LN(4*PI()*C1125^2)</x:f>
        <x:v>9.300073257540818</x:v>
      </x:c>
      <x:c r="F1125" s="23" t="n">
        <x:f>D1125+E1125</x:f>
        <x:v>-13.618336742459183</x:v>
      </x:c>
      <x:c r="G1125" s="23" t="n">
        <x:f>AVERAGE($F$1142:$F$1166)</x:f>
        <x:v>-13.488143584366567</x:v>
      </x:c>
      <x:c r="H1125" s="24" t="n">
        <x:f>F1125-G1125</x:f>
        <x:v>-0.13019315809261656</x:v>
      </x:c>
    </x:row>
    <x:row r="1126">
      <x:c r="A1126" s="2" t="str">
        <x:v>LiD3-Core</x:v>
      </x:c>
      <x:c r="B1126" s="4" t="str">
        <x:v>NaCl</x:v>
      </x:c>
      <x:c r="C1126" s="23" t="n">
        <x:v>1.853037</x:v>
      </x:c>
      <x:c r="D1126" s="23" t="n">
        <x:v>-22.89646</x:v>
      </x:c>
      <x:c r="E1126" s="23" t="n">
        <x:f>'Parameters'!$B$2*'Parameters'!$B$3*LN(4*PI()*C1126^2)</x:f>
        <x:v>9.332470223810324</x:v>
      </x:c>
      <x:c r="F1126" s="23" t="n">
        <x:f>D1126+E1126</x:f>
        <x:v>-13.563989776189677</x:v>
      </x:c>
      <x:c r="G1126" s="23" t="n">
        <x:f>AVERAGE($F$1142:$F$1166)</x:f>
        <x:v>-13.488143584366567</x:v>
      </x:c>
      <x:c r="H1126" s="24" t="n">
        <x:f>F1126-G1126</x:f>
        <x:v>-0.07584619182311059</x:v>
      </x:c>
    </x:row>
    <x:row r="1127">
      <x:c r="A1127" s="2" t="str">
        <x:v>LiD3-Core</x:v>
      </x:c>
      <x:c r="B1127" s="4" t="str">
        <x:v>NaCl</x:v>
      </x:c>
      <x:c r="C1127" s="23" t="n">
        <x:v>1.865106</x:v>
      </x:c>
      <x:c r="D1127" s="23" t="n">
        <x:v>-22.96156</x:v>
      </x:c>
      <x:c r="E1127" s="23" t="n">
        <x:f>'Parameters'!$B$2*'Parameters'!$B$3*LN(4*PI()*C1127^2)</x:f>
        <x:v>9.364656869098965</x:v>
      </x:c>
      <x:c r="F1127" s="23" t="n">
        <x:f>D1127+E1127</x:f>
        <x:v>-13.596903130901033</x:v>
      </x:c>
      <x:c r="G1127" s="23" t="n">
        <x:f>AVERAGE($F$1142:$F$1166)</x:f>
        <x:v>-13.488143584366567</x:v>
      </x:c>
      <x:c r="H1127" s="24" t="n">
        <x:f>F1127-G1127</x:f>
        <x:v>-0.10875954653446662</x:v>
      </x:c>
    </x:row>
    <x:row r="1128">
      <x:c r="A1128" s="2" t="str">
        <x:v>LiD3-Core</x:v>
      </x:c>
      <x:c r="B1128" s="4" t="str">
        <x:v>NaCl</x:v>
      </x:c>
      <x:c r="C1128" s="23" t="n">
        <x:v>1.877175</x:v>
      </x:c>
      <x:c r="D1128" s="23" t="n">
        <x:v>-23.04152</x:v>
      </x:c>
      <x:c r="E1128" s="23" t="n">
        <x:f>'Parameters'!$B$2*'Parameters'!$B$3*LN(4*PI()*C1128^2)</x:f>
        <x:v>9.396635906608124</x:v>
      </x:c>
      <x:c r="F1128" s="23" t="n">
        <x:f>D1128+E1128</x:f>
        <x:v>-13.644884093391875</x:v>
      </x:c>
      <x:c r="G1128" s="23" t="n">
        <x:f>AVERAGE($F$1142:$F$1166)</x:f>
        <x:v>-13.488143584366567</x:v>
      </x:c>
      <x:c r="H1128" s="24" t="n">
        <x:f>F1128-G1128</x:f>
        <x:v>-0.15674050902530823</x:v>
      </x:c>
    </x:row>
    <x:row r="1129">
      <x:c r="A1129" s="2" t="str">
        <x:v>LiD3-Core</x:v>
      </x:c>
      <x:c r="B1129" s="4" t="str">
        <x:v>NaCl</x:v>
      </x:c>
      <x:c r="C1129" s="23" t="n">
        <x:v>1.889244</x:v>
      </x:c>
      <x:c r="D1129" s="23" t="n">
        <x:v>-23.06969</x:v>
      </x:c>
      <x:c r="E1129" s="23" t="n">
        <x:f>'Parameters'!$B$2*'Parameters'!$B$3*LN(4*PI()*C1129^2)</x:f>
        <x:v>9.428409997373846</x:v>
      </x:c>
      <x:c r="F1129" s="23" t="n">
        <x:f>D1129+E1129</x:f>
        <x:v>-13.641280002626155</x:v>
      </x:c>
      <x:c r="G1129" s="23" t="n">
        <x:f>AVERAGE($F$1142:$F$1166)</x:f>
        <x:v>-13.488143584366567</x:v>
      </x:c>
      <x:c r="H1129" s="24" t="n">
        <x:f>F1129-G1129</x:f>
        <x:v>-0.15313641825958868</x:v>
      </x:c>
    </x:row>
    <x:row r="1130">
      <x:c r="A1130" s="2" t="str">
        <x:v>LiD3-Core</x:v>
      </x:c>
      <x:c r="B1130" s="4" t="str">
        <x:v>NaCl</x:v>
      </x:c>
      <x:c r="C1130" s="23" t="n">
        <x:v>1.901314</x:v>
      </x:c>
      <x:c r="D1130" s="23" t="n">
        <x:v>-23.18567</x:v>
      </x:c>
      <x:c r="E1130" s="23" t="n">
        <x:f>'Parameters'!$B$2*'Parameters'!$B$3*LN(4*PI()*C1130^2)</x:f>
        <x:v>9.45998435922138</x:v>
      </x:c>
      <x:c r="F1130" s="23" t="n">
        <x:f>D1130+E1130</x:f>
        <x:v>-13.725685640778618</x:v>
      </x:c>
      <x:c r="G1130" s="23" t="n">
        <x:f>AVERAGE($F$1142:$F$1166)</x:f>
        <x:v>-13.488143584366567</x:v>
      </x:c>
      <x:c r="H1130" s="24" t="n">
        <x:f>F1130-G1130</x:f>
        <x:v>-0.2375420564120514</x:v>
      </x:c>
    </x:row>
    <x:row r="1131">
      <x:c r="A1131" s="2" t="str">
        <x:v>LiD3-Core</x:v>
      </x:c>
      <x:c r="B1131" s="4" t="str">
        <x:v>NaCl</x:v>
      </x:c>
      <x:c r="C1131" s="23" t="n">
        <x:v>1.913383</x:v>
      </x:c>
      <x:c r="D1131" s="23" t="n">
        <x:v>-23.33677</x:v>
      </x:c>
      <x:c r="E1131" s="23" t="n">
        <x:f>'Parameters'!$B$2*'Parameters'!$B$3*LN(4*PI()*C1131^2)</x:f>
        <x:v>9.491356321100792</x:v>
      </x:c>
      <x:c r="F1131" s="23" t="n">
        <x:f>D1131+E1131</x:f>
        <x:v>-13.84541367889921</x:v>
      </x:c>
      <x:c r="G1131" s="23" t="n">
        <x:f>AVERAGE($F$1142:$F$1166)</x:f>
        <x:v>-13.488143584366567</x:v>
      </x:c>
      <x:c r="H1131" s="24" t="n">
        <x:f>F1131-G1131</x:f>
        <x:v>-0.3572700945326428</x:v>
      </x:c>
    </x:row>
    <x:row r="1132">
      <x:c r="A1132" s="2" t="str">
        <x:v>LiD3-Core</x:v>
      </x:c>
      <x:c r="B1132" s="4" t="str">
        <x:v>NaCl</x:v>
      </x:c>
      <x:c r="C1132" s="23" t="n">
        <x:v>1.925452</x:v>
      </x:c>
      <x:c r="D1132" s="23" t="n">
        <x:v>-23.28097</x:v>
      </x:c>
      <x:c r="E1132" s="23" t="n">
        <x:f>'Parameters'!$B$2*'Parameters'!$B$3*LN(4*PI()*C1132^2)</x:f>
        <x:v>9.522531019638167</x:v>
      </x:c>
      <x:c r="F1132" s="23" t="n">
        <x:f>D1132+E1132</x:f>
        <x:v>-13.758438980361833</x:v>
      </x:c>
      <x:c r="G1132" s="23" t="n">
        <x:f>AVERAGE($F$1142:$F$1166)</x:f>
        <x:v>-13.488143584366567</x:v>
      </x:c>
      <x:c r="H1132" s="24" t="n">
        <x:f>F1132-G1132</x:f>
        <x:v>-0.27029539599526586</x:v>
      </x:c>
    </x:row>
    <x:row r="1133">
      <x:c r="A1133" s="2" t="str">
        <x:v>LiD3-Core</x:v>
      </x:c>
      <x:c r="B1133" s="4" t="str">
        <x:v>NaCl</x:v>
      </x:c>
      <x:c r="C1133" s="23" t="n">
        <x:v>1.937521</x:v>
      </x:c>
      <x:c r="D1133" s="23" t="n">
        <x:v>-23.28317</x:v>
      </x:c>
      <x:c r="E1133" s="23" t="n">
        <x:f>'Parameters'!$B$2*'Parameters'!$B$3*LN(4*PI()*C1133^2)</x:f>
        <x:v>9.553510920079484</x:v>
      </x:c>
      <x:c r="F1133" s="23" t="n">
        <x:f>D1133+E1133</x:f>
        <x:v>-13.729659079920514</x:v>
      </x:c>
      <x:c r="G1133" s="23" t="n">
        <x:f>AVERAGE($F$1142:$F$1166)</x:f>
        <x:v>-13.488143584366567</x:v>
      </x:c>
      <x:c r="H1133" s="24" t="n">
        <x:f>F1133-G1133</x:f>
        <x:v>-0.2415154955539478</x:v>
      </x:c>
    </x:row>
    <x:row r="1134">
      <x:c r="A1134" s="2" t="str">
        <x:v>LiD3-Core</x:v>
      </x:c>
      <x:c r="B1134" s="4" t="str">
        <x:v>NaCl</x:v>
      </x:c>
      <x:c r="C1134" s="23" t="n">
        <x:v>1.94959</x:v>
      </x:c>
      <x:c r="D1134" s="23" t="n">
        <x:v>-23.24509</x:v>
      </x:c>
      <x:c r="E1134" s="23" t="n">
        <x:f>'Parameters'!$B$2*'Parameters'!$B$3*LN(4*PI()*C1134^2)</x:f>
        <x:v>9.584298441744417</x:v>
      </x:c>
      <x:c r="F1134" s="23" t="n">
        <x:f>D1134+E1134</x:f>
        <x:v>-13.660791558255584</x:v>
      </x:c>
      <x:c r="G1134" s="23" t="n">
        <x:f>AVERAGE($F$1142:$F$1166)</x:f>
        <x:v>-13.488143584366567</x:v>
      </x:c>
      <x:c r="H1134" s="24" t="n">
        <x:f>F1134-G1134</x:f>
        <x:v>-0.17264797388901698</x:v>
      </x:c>
    </x:row>
    <x:row r="1135">
      <x:c r="A1135" s="2" t="str">
        <x:v>LiD3-Core</x:v>
      </x:c>
      <x:c r="B1135" s="4" t="str">
        <x:v>NaCl</x:v>
      </x:c>
      <x:c r="C1135" s="23" t="n">
        <x:v>1.961659</x:v>
      </x:c>
      <x:c r="D1135" s="23" t="n">
        <x:v>-23.43241</x:v>
      </x:c>
      <x:c r="E1135" s="23" t="n">
        <x:f>'Parameters'!$B$2*'Parameters'!$B$3*LN(4*PI()*C1135^2)</x:f>
        <x:v>9.614895959160076</x:v>
      </x:c>
      <x:c r="F1135" s="23" t="n">
        <x:f>D1135+E1135</x:f>
        <x:v>-13.817514040839924</x:v>
      </x:c>
      <x:c r="G1135" s="23" t="n">
        <x:f>AVERAGE($F$1142:$F$1166)</x:f>
        <x:v>-13.488143584366567</x:v>
      </x:c>
      <x:c r="H1135" s="24" t="n">
        <x:f>F1135-G1135</x:f>
        <x:v>-0.3293704564733577</x:v>
      </x:c>
    </x:row>
    <x:row r="1136">
      <x:c r="A1136" s="2" t="str">
        <x:v>LiD3-Core</x:v>
      </x:c>
      <x:c r="B1136" s="4" t="str">
        <x:v>NaCl</x:v>
      </x:c>
      <x:c r="C1136" s="23" t="n">
        <x:v>1.973728</x:v>
      </x:c>
      <x:c r="D1136" s="23" t="n">
        <x:v>-23.30528</x:v>
      </x:c>
      <x:c r="E1136" s="23" t="n">
        <x:f>'Parameters'!$B$2*'Parameters'!$B$3*LN(4*PI()*C1136^2)</x:f>
        <x:v>9.645305803159985</x:v>
      </x:c>
      <x:c r="F1136" s="23" t="n">
        <x:f>D1136+E1136</x:f>
        <x:v>-13.659974196840015</x:v>
      </x:c>
      <x:c r="G1136" s="23" t="n">
        <x:f>AVERAGE($F$1142:$F$1166)</x:f>
        <x:v>-13.488143584366567</x:v>
      </x:c>
      <x:c r="H1136" s="24" t="n">
        <x:f>F1136-G1136</x:f>
        <x:v>-0.17183061247344789</x:v>
      </x:c>
    </x:row>
    <x:row r="1137">
      <x:c r="A1137" s="2" t="str">
        <x:v>LiD3-Core</x:v>
      </x:c>
      <x:c r="B1137" s="4" t="str">
        <x:v>NaCl</x:v>
      </x:c>
      <x:c r="C1137" s="23" t="n">
        <x:v>1.985797</x:v>
      </x:c>
      <x:c r="D1137" s="23" t="n">
        <x:v>-23.28755</x:v>
      </x:c>
      <x:c r="E1137" s="23" t="n">
        <x:f>'Parameters'!$B$2*'Parameters'!$B$3*LN(4*PI()*C1137^2)</x:f>
        <x:v>9.675530261949552</x:v>
      </x:c>
      <x:c r="F1137" s="23" t="n">
        <x:f>D1137+E1137</x:f>
        <x:v>-13.612019738050448</x:v>
      </x:c>
      <x:c r="G1137" s="23" t="n">
        <x:f>AVERAGE($F$1142:$F$1166)</x:f>
        <x:v>-13.488143584366567</x:v>
      </x:c>
      <x:c r="H1137" s="24" t="n">
        <x:f>F1137-G1137</x:f>
        <x:v>-0.12387615368388083</x:v>
      </x:c>
    </x:row>
    <x:row r="1138">
      <x:c r="A1138" s="2" t="str">
        <x:v>LiD3-Core</x:v>
      </x:c>
      <x:c r="B1138" s="4" t="str">
        <x:v>NaCl</x:v>
      </x:c>
      <x:c r="C1138" s="23" t="n">
        <x:v>1.997866</x:v>
      </x:c>
      <x:c r="D1138" s="23" t="n">
        <x:v>-23.44316</x:v>
      </x:c>
      <x:c r="E1138" s="23" t="n">
        <x:f>'Parameters'!$B$2*'Parameters'!$B$3*LN(4*PI()*C1138^2)</x:f>
        <x:v>9.705571582139259</x:v>
      </x:c>
      <x:c r="F1138" s="23" t="n">
        <x:f>D1138+E1138</x:f>
        <x:v>-13.73758841786074</x:v>
      </x:c>
      <x:c r="G1138" s="23" t="n">
        <x:f>AVERAGE($F$1142:$F$1166)</x:f>
        <x:v>-13.488143584366567</x:v>
      </x:c>
      <x:c r="H1138" s="24" t="n">
        <x:f>F1138-G1138</x:f>
        <x:v>-0.24944483349417368</x:v>
      </x:c>
    </x:row>
    <x:row r="1139">
      <x:c r="A1139" s="2" t="str">
        <x:v>LiD3-Core</x:v>
      </x:c>
      <x:c r="B1139" s="4" t="str">
        <x:v>NaCl</x:v>
      </x:c>
      <x:c r="C1139" s="23" t="n">
        <x:v>2.009936</x:v>
      </x:c>
      <x:c r="D1139" s="23" t="n">
        <x:v>-23.37642</x:v>
      </x:c>
      <x:c r="E1139" s="23" t="n">
        <x:f>'Parameters'!$B$2*'Parameters'!$B$3*LN(4*PI()*C1139^2)</x:f>
        <x:v>9.735434436449815</x:v>
      </x:c>
      <x:c r="F1139" s="23" t="n">
        <x:f>D1139+E1139</x:f>
        <x:v>-13.640985563550185</x:v>
      </x:c>
      <x:c r="G1139" s="23" t="n">
        <x:f>AVERAGE($F$1142:$F$1166)</x:f>
        <x:v>-13.488143584366567</x:v>
      </x:c>
      <x:c r="H1139" s="24" t="n">
        <x:f>F1139-G1139</x:f>
        <x:v>-0.1528419791836182</x:v>
      </x:c>
    </x:row>
    <x:row r="1140">
      <x:c r="A1140" s="2" t="str">
        <x:v>LiD3-Core</x:v>
      </x:c>
      <x:c r="B1140" s="4" t="str">
        <x:v>NaCl</x:v>
      </x:c>
      <x:c r="C1140" s="23" t="n">
        <x:v>2.022005</x:v>
      </x:c>
      <x:c r="D1140" s="23" t="n">
        <x:v>-23.40399</x:v>
      </x:c>
      <x:c r="E1140" s="23" t="n">
        <x:f>'Parameters'!$B$2*'Parameters'!$B$3*LN(4*PI()*C1140^2)</x:f>
        <x:v>9.76511604314864</x:v>
      </x:c>
      <x:c r="F1140" s="23" t="n">
        <x:f>D1140+E1140</x:f>
        <x:v>-13.638873956851361</x:v>
      </x:c>
      <x:c r="G1140" s="23" t="n">
        <x:f>AVERAGE($F$1142:$F$1166)</x:f>
        <x:v>-13.488143584366567</x:v>
      </x:c>
      <x:c r="H1140" s="24" t="n">
        <x:f>F1140-G1140</x:f>
        <x:v>-0.15073037248479437</x:v>
      </x:c>
    </x:row>
    <x:row r="1141">
      <x:c r="A1141" s="2" t="str">
        <x:v>LiD3-Core</x:v>
      </x:c>
      <x:c r="B1141" s="4" t="str">
        <x:v>NaCl</x:v>
      </x:c>
      <x:c r="C1141" s="23" t="n">
        <x:v>2.034074</x:v>
      </x:c>
      <x:c r="D1141" s="23" t="n">
        <x:v>-23.43218</x:v>
      </x:c>
      <x:c r="E1141" s="23" t="n">
        <x:f>'Parameters'!$B$2*'Parameters'!$B$3*LN(4*PI()*C1141^2)</x:f>
        <x:v>9.794621011556126</x:v>
      </x:c>
      <x:c r="F1141" s="23" t="n">
        <x:f>D1141+E1141</x:f>
        <x:v>-13.637558988443873</x:v>
      </x:c>
      <x:c r="G1141" s="23" t="n">
        <x:f>AVERAGE($F$1142:$F$1166)</x:f>
        <x:v>-13.488143584366567</x:v>
      </x:c>
      <x:c r="H1141" s="24" t="n">
        <x:f>F1141-G1141</x:f>
        <x:v>-0.14941540407730614</x:v>
      </x:c>
    </x:row>
    <x:row r="1142">
      <x:c r="A1142" s="2" t="str">
        <x:v>LiD3-Core</x:v>
      </x:c>
      <x:c r="B1142" s="4" t="str">
        <x:v>NaCl</x:v>
      </x:c>
      <x:c r="C1142" s="23" t="n">
        <x:v>2.046143</x:v>
      </x:c>
      <x:c r="D1142" s="23" t="n">
        <x:v>-23.3662</x:v>
      </x:c>
      <x:c r="E1142" s="23" t="n">
        <x:f>'Parameters'!$B$2*'Parameters'!$B$3*LN(4*PI()*C1142^2)</x:f>
        <x:v>9.823951431626124</x:v>
      </x:c>
      <x:c r="F1142" s="23" t="n">
        <x:f>D1142+E1142</x:f>
        <x:v>-13.542248568373875</x:v>
      </x:c>
      <x:c r="G1142" s="23" t="n">
        <x:f>AVERAGE($F$1142:$F$1166)</x:f>
        <x:v>-13.488143584366567</x:v>
      </x:c>
      <x:c r="H1142" s="24" t="n">
        <x:f>F1142-G1142</x:f>
        <x:v>-0.05410498400730823</x:v>
      </x:c>
    </x:row>
    <x:row r="1143">
      <x:c r="A1143" s="2" t="str">
        <x:v>LiD3-Core</x:v>
      </x:c>
      <x:c r="B1143" s="4" t="str">
        <x:v>NaCl</x:v>
      </x:c>
      <x:c r="C1143" s="23" t="n">
        <x:v>2.058212</x:v>
      </x:c>
      <x:c r="D1143" s="23" t="n">
        <x:v>-23.55602</x:v>
      </x:c>
      <x:c r="E1143" s="23" t="n">
        <x:f>'Parameters'!$B$2*'Parameters'!$B$3*LN(4*PI()*C1143^2)</x:f>
        <x:v>9.853109356438551</x:v>
      </x:c>
      <x:c r="F1143" s="23" t="n">
        <x:f>D1143+E1143</x:f>
        <x:v>-13.702910643561449</x:v>
      </x:c>
      <x:c r="G1143" s="23" t="n">
        <x:f>AVERAGE($F$1142:$F$1166)</x:f>
        <x:v>-13.488143584366567</x:v>
      </x:c>
      <x:c r="H1143" s="24" t="n">
        <x:f>F1143-G1143</x:f>
        <x:v>-0.21476705919488204</x:v>
      </x:c>
    </x:row>
    <x:row r="1144">
      <x:c r="A1144" s="2" t="str">
        <x:v>LiD3-Core</x:v>
      </x:c>
      <x:c r="B1144" s="4" t="str">
        <x:v>NaCl</x:v>
      </x:c>
      <x:c r="C1144" s="23" t="n">
        <x:v>2.070281</x:v>
      </x:c>
      <x:c r="D1144" s="23" t="n">
        <x:v>-23.56537</x:v>
      </x:c>
      <x:c r="E1144" s="23" t="n">
        <x:f>'Parameters'!$B$2*'Parameters'!$B$3*LN(4*PI()*C1144^2)</x:f>
        <x:v>9.882096803061776</x:v>
      </x:c>
      <x:c r="F1144" s="23" t="n">
        <x:f>D1144+E1144</x:f>
        <x:v>-13.683273196938226</x:v>
      </x:c>
      <x:c r="G1144" s="23" t="n">
        <x:f>AVERAGE($F$1142:$F$1166)</x:f>
        <x:v>-13.488143584366567</x:v>
      </x:c>
      <x:c r="H1144" s="24" t="n">
        <x:f>F1144-G1144</x:f>
        <x:v>-0.19512961257165884</x:v>
      </x:c>
    </x:row>
    <x:row r="1145">
      <x:c r="A1145" s="2" t="str">
        <x:v>LiD3-Core</x:v>
      </x:c>
      <x:c r="B1145" s="4" t="str">
        <x:v>NaCl</x:v>
      </x:c>
      <x:c r="C1145" s="23" t="n">
        <x:v>2.08235</x:v>
      </x:c>
      <x:c r="D1145" s="23" t="n">
        <x:v>-23.55308</x:v>
      </x:c>
      <x:c r="E1145" s="23" t="n">
        <x:f>'Parameters'!$B$2*'Parameters'!$B$3*LN(4*PI()*C1145^2)</x:f>
        <x:v>9.910915753389922</x:v>
      </x:c>
      <x:c r="F1145" s="23" t="n">
        <x:f>D1145+E1145</x:f>
        <x:v>-13.64216424661008</x:v>
      </x:c>
      <x:c r="G1145" s="23" t="n">
        <x:f>AVERAGE($F$1142:$F$1166)</x:f>
        <x:v>-13.488143584366567</x:v>
      </x:c>
      <x:c r="H1145" s="24" t="n">
        <x:f>F1145-G1145</x:f>
        <x:v>-0.15402066224351252</x:v>
      </x:c>
    </x:row>
    <x:row r="1146">
      <x:c r="A1146" s="2" t="str">
        <x:v>LiD3-Core</x:v>
      </x:c>
      <x:c r="B1146" s="4" t="str">
        <x:v>NaCl</x:v>
      </x:c>
      <x:c r="C1146" s="23" t="n">
        <x:v>2.094419</x:v>
      </x:c>
      <x:c r="D1146" s="23" t="n">
        <x:v>-23.60707</x:v>
      </x:c>
      <x:c r="E1146" s="23" t="n">
        <x:f>'Parameters'!$B$2*'Parameters'!$B$3*LN(4*PI()*C1146^2)</x:f>
        <x:v>9.939568154955992</x:v>
      </x:c>
      <x:c r="F1146" s="23" t="n">
        <x:f>D1146+E1146</x:f>
        <x:v>-13.667501845044008</x:v>
      </x:c>
      <x:c r="G1146" s="23" t="n">
        <x:f>AVERAGE($F$1142:$F$1166)</x:f>
        <x:v>-13.488143584366567</x:v>
      </x:c>
      <x:c r="H1146" s="24" t="n">
        <x:f>F1146-G1146</x:f>
        <x:v>-0.1793582606774411</x:v>
      </x:c>
    </x:row>
    <x:row r="1147">
      <x:c r="A1147" s="2" t="str">
        <x:v>LiD3-Core</x:v>
      </x:c>
      <x:c r="B1147" s="4" t="str">
        <x:v>NaCl</x:v>
      </x:c>
      <x:c r="C1147" s="23" t="n">
        <x:v>2.106488</x:v>
      </x:c>
      <x:c r="D1147" s="23" t="n">
        <x:v>-23.61682</x:v>
      </x:c>
      <x:c r="E1147" s="23" t="n">
        <x:f>'Parameters'!$B$2*'Parameters'!$B$3*LN(4*PI()*C1147^2)</x:f>
        <x:v>9.968055921721612</x:v>
      </x:c>
      <x:c r="F1147" s="23" t="n">
        <x:f>D1147+E1147</x:f>
        <x:v>-13.648764078278388</x:v>
      </x:c>
      <x:c r="G1147" s="23" t="n">
        <x:f>AVERAGE($F$1142:$F$1166)</x:f>
        <x:v>-13.488143584366567</x:v>
      </x:c>
      <x:c r="H1147" s="24" t="n">
        <x:f>F1147-G1147</x:f>
        <x:v>-0.16062049391182143</x:v>
      </x:c>
    </x:row>
    <x:row r="1148">
      <x:c r="A1148" s="2" t="str">
        <x:v>LiD3-Core</x:v>
      </x:c>
      <x:c r="B1148" s="4" t="str">
        <x:v>NaCl</x:v>
      </x:c>
      <x:c r="C1148" s="23" t="n">
        <x:v>2.118558</x:v>
      </x:c>
      <x:c r="D1148" s="23" t="n">
        <x:v>-23.53623</x:v>
      </x:c>
      <x:c r="E1148" s="23" t="n">
        <x:f>'Parameters'!$B$2*'Parameters'!$B$3*LN(4*PI()*C1148^2)</x:f>
        <x:v>9.99638327507528</x:v>
      </x:c>
      <x:c r="F1148" s="23" t="n">
        <x:f>D1148+E1148</x:f>
        <x:v>-13.53984672492472</x:v>
      </x:c>
      <x:c r="G1148" s="23" t="n">
        <x:f>AVERAGE($F$1142:$F$1166)</x:f>
        <x:v>-13.488143584366567</x:v>
      </x:c>
      <x:c r="H1148" s="24" t="n">
        <x:f>F1148-G1148</x:f>
        <x:v>-0.05170314055815339</x:v>
      </x:c>
    </x:row>
    <x:row r="1149">
      <x:c r="A1149" s="2" t="str">
        <x:v>LiD3-Core</x:v>
      </x:c>
      <x:c r="B1149" s="4" t="str">
        <x:v>NaCl</x:v>
      </x:c>
      <x:c r="C1149" s="23" t="n">
        <x:v>2.130627</x:v>
      </x:c>
      <x:c r="D1149" s="23" t="n">
        <x:v>-23.67567</x:v>
      </x:c>
      <x:c r="E1149" s="23" t="n">
        <x:f>'Parameters'!$B$2*'Parameters'!$B$3*LN(4*PI()*C1149^2)</x:f>
        <x:v>10.024547370397237</x:v>
      </x:c>
      <x:c r="F1149" s="23" t="n">
        <x:f>D1149+E1149</x:f>
        <x:v>-13.651122629602764</x:v>
      </x:c>
      <x:c r="G1149" s="23" t="n">
        <x:f>AVERAGE($F$1142:$F$1166)</x:f>
        <x:v>-13.488143584366567</x:v>
      </x:c>
      <x:c r="H1149" s="24" t="n">
        <x:f>F1149-G1149</x:f>
        <x:v>-0.162979045236197</x:v>
      </x:c>
    </x:row>
    <x:row r="1150">
      <x:c r="A1150" s="2" t="str">
        <x:v>LiD3-Core</x:v>
      </x:c>
      <x:c r="B1150" s="4" t="str">
        <x:v>NaCl</x:v>
      </x:c>
      <x:c r="C1150" s="23" t="n">
        <x:v>2.142696</x:v>
      </x:c>
      <x:c r="D1150" s="23" t="n">
        <x:v>-23.77795</x:v>
      </x:c>
      <x:c r="E1150" s="23" t="n">
        <x:f>'Parameters'!$B$2*'Parameters'!$B$3*LN(4*PI()*C1150^2)</x:f>
        <x:v>10.052552379088429</x:v>
      </x:c>
      <x:c r="F1150" s="23" t="n">
        <x:f>D1150+E1150</x:f>
        <x:v>-13.725397620911572</x:v>
      </x:c>
      <x:c r="G1150" s="23" t="n">
        <x:f>AVERAGE($F$1142:$F$1166)</x:f>
        <x:v>-13.488143584366567</x:v>
      </x:c>
      <x:c r="H1150" s="24" t="n">
        <x:f>F1150-G1150</x:f>
        <x:v>-0.23725403654500532</x:v>
      </x:c>
    </x:row>
    <x:row r="1151">
      <x:c r="A1151" s="2" t="str">
        <x:v>LiD3-Core</x:v>
      </x:c>
      <x:c r="B1151" s="4" t="str">
        <x:v>NaCl</x:v>
      </x:c>
      <x:c r="C1151" s="23" t="n">
        <x:v>2.154765</x:v>
      </x:c>
      <x:c r="D1151" s="23" t="n">
        <x:v>-23.74084</x:v>
      </x:c>
      <x:c r="E1151" s="23" t="n">
        <x:f>'Parameters'!$B$2*'Parameters'!$B$3*LN(4*PI()*C1151^2)</x:f>
        <x:v>10.080400088280163</x:v>
      </x:c>
      <x:c r="F1151" s="23" t="n">
        <x:f>D1151+E1151</x:f>
        <x:v>-13.660439911719836</x:v>
      </x:c>
      <x:c r="G1151" s="23" t="n">
        <x:f>AVERAGE($F$1142:$F$1166)</x:f>
        <x:v>-13.488143584366567</x:v>
      </x:c>
      <x:c r="H1151" s="24" t="n">
        <x:f>F1151-G1151</x:f>
        <x:v>-0.17229632735326916</x:v>
      </x:c>
    </x:row>
    <x:row r="1152">
      <x:c r="A1152" s="2" t="str">
        <x:v>LiD3-Core</x:v>
      </x:c>
      <x:c r="B1152" s="4" t="str">
        <x:v>NaCl</x:v>
      </x:c>
      <x:c r="C1152" s="23" t="n">
        <x:v>2.166834</x:v>
      </x:c>
      <x:c r="D1152" s="23" t="n">
        <x:v>-23.64767</x:v>
      </x:c>
      <x:c r="E1152" s="23" t="n">
        <x:f>'Parameters'!$B$2*'Parameters'!$B$3*LN(4*PI()*C1152^2)</x:f>
        <x:v>10.10809225515773</x:v>
      </x:c>
      <x:c r="F1152" s="23" t="n">
        <x:f>D1152+E1152</x:f>
        <x:v>-13.539577744842271</x:v>
      </x:c>
      <x:c r="G1152" s="23" t="n">
        <x:f>AVERAGE($F$1142:$F$1166)</x:f>
        <x:v>-13.488143584366567</x:v>
      </x:c>
      <x:c r="H1152" s="24" t="n">
        <x:f>F1152-G1152</x:f>
        <x:v>-0.05143416047570426</x:v>
      </x:c>
    </x:row>
    <x:row r="1153">
      <x:c r="A1153" s="2" t="str">
        <x:v>LiD3-Core</x:v>
      </x:c>
      <x:c r="B1153" s="4" t="str">
        <x:v>NaCl</x:v>
      </x:c>
      <x:c r="C1153" s="23" t="n">
        <x:v>2.178903</x:v>
      </x:c>
      <x:c r="D1153" s="23" t="n">
        <x:v>-23.70931</x:v>
      </x:c>
      <x:c r="E1153" s="23" t="n">
        <x:f>'Parameters'!$B$2*'Parameters'!$B$3*LN(4*PI()*C1153^2)</x:f>
        <x:v>10.135630607625744</x:v>
      </x:c>
      <x:c r="F1153" s="23" t="n">
        <x:f>D1153+E1153</x:f>
        <x:v>-13.573679392374254</x:v>
      </x:c>
      <x:c r="G1153" s="23" t="n">
        <x:f>AVERAGE($F$1142:$F$1166)</x:f>
        <x:v>-13.488143584366567</x:v>
      </x:c>
      <x:c r="H1153" s="24" t="n">
        <x:f>F1153-G1153</x:f>
        <x:v>-0.08553580800768756</x:v>
      </x:c>
    </x:row>
    <x:row r="1154">
      <x:c r="A1154" s="2" t="str">
        <x:v>LiD3-Core</x:v>
      </x:c>
      <x:c r="B1154" s="4" t="str">
        <x:v>NaCl</x:v>
      </x:c>
      <x:c r="C1154" s="23" t="n">
        <x:v>2.190972</x:v>
      </x:c>
      <x:c r="D1154" s="23" t="n">
        <x:v>-23.71652</x:v>
      </x:c>
      <x:c r="E1154" s="23" t="n">
        <x:f>'Parameters'!$B$2*'Parameters'!$B$3*LN(4*PI()*C1154^2)</x:f>
        <x:v>10.163016844955097</x:v>
      </x:c>
      <x:c r="F1154" s="23" t="n">
        <x:f>D1154+E1154</x:f>
        <x:v>-13.553503155044902</x:v>
      </x:c>
      <x:c r="G1154" s="23" t="n">
        <x:f>AVERAGE($F$1142:$F$1166)</x:f>
        <x:v>-13.488143584366567</x:v>
      </x:c>
      <x:c r="H1154" s="24" t="n">
        <x:f>F1154-G1154</x:f>
        <x:v>-0.06535957067833564</x:v>
      </x:c>
    </x:row>
    <x:row r="1155">
      <x:c r="A1155" s="2" t="str">
        <x:v>LiD3-Core</x:v>
      </x:c>
      <x:c r="B1155" s="4" t="str">
        <x:v>NaCl</x:v>
      </x:c>
      <x:c r="C1155" s="23" t="n">
        <x:v>2.203041</x:v>
      </x:c>
      <x:c r="D1155" s="23" t="n">
        <x:v>-23.76544</x:v>
      </x:c>
      <x:c r="E1155" s="23" t="n">
        <x:f>'Parameters'!$B$2*'Parameters'!$B$3*LN(4*PI()*C1155^2)</x:f>
        <x:v>10.19025263841215</x:v>
      </x:c>
      <x:c r="F1155" s="23" t="n">
        <x:f>D1155+E1155</x:f>
        <x:v>-13.57518736158785</x:v>
      </x:c>
      <x:c r="G1155" s="23" t="n">
        <x:f>AVERAGE($F$1142:$F$1166)</x:f>
        <x:v>-13.488143584366567</x:v>
      </x:c>
      <x:c r="H1155" s="24" t="n">
        <x:f>F1155-G1155</x:f>
        <x:v>-0.0870437772212842</x:v>
      </x:c>
    </x:row>
    <x:row r="1156">
      <x:c r="A1156" s="2" t="str">
        <x:v>LiD3-Core</x:v>
      </x:c>
      <x:c r="B1156" s="4" t="str">
        <x:v>NaCl</x:v>
      </x:c>
      <x:c r="C1156" s="23" t="n">
        <x:v>2.21511</x:v>
      </x:c>
      <x:c r="D1156" s="23" t="n">
        <x:v>-23.74784</x:v>
      </x:c>
      <x:c r="E1156" s="23" t="n">
        <x:f>'Parameters'!$B$2*'Parameters'!$B$3*LN(4*PI()*C1156^2)</x:f>
        <x:v>10.217339631870757</x:v>
      </x:c>
      <x:c r="F1156" s="23" t="n">
        <x:f>D1156+E1156</x:f>
        <x:v>-13.530500368129243</x:v>
      </x:c>
      <x:c r="G1156" s="23" t="n">
        <x:f>AVERAGE($F$1142:$F$1166)</x:f>
        <x:v>-13.488143584366567</x:v>
      </x:c>
      <x:c r="H1156" s="24" t="n">
        <x:f>F1156-G1156</x:f>
        <x:v>-0.04235678376267593</x:v>
      </x:c>
    </x:row>
    <x:row r="1157">
      <x:c r="A1157" s="2" t="str">
        <x:v>LiD3-Core</x:v>
      </x:c>
      <x:c r="B1157" s="4" t="str">
        <x:v>NaCl</x:v>
      </x:c>
      <x:c r="C1157" s="23" t="n">
        <x:v>2.227179</x:v>
      </x:c>
      <x:c r="D1157" s="23" t="n">
        <x:v>-23.69115</x:v>
      </x:c>
      <x:c r="E1157" s="23" t="n">
        <x:f>'Parameters'!$B$2*'Parameters'!$B$3*LN(4*PI()*C1157^2)</x:f>
        <x:v>10.244279442407613</x:v>
      </x:c>
      <x:c r="F1157" s="23" t="n">
        <x:f>D1157+E1157</x:f>
        <x:v>-13.446870557592387</x:v>
      </x:c>
      <x:c r="G1157" s="23" t="n">
        <x:f>AVERAGE($F$1142:$F$1166)</x:f>
        <x:v>-13.488143584366567</x:v>
      </x:c>
      <x:c r="H1157" s="24" t="n">
        <x:f>F1157-G1157</x:f>
        <x:v>0.041273026774179655</x:v>
      </x:c>
    </x:row>
    <x:row r="1158">
      <x:c r="A1158" s="2" t="str">
        <x:v>LiD3-Core</x:v>
      </x:c>
      <x:c r="B1158" s="4" t="str">
        <x:v>NaCl</x:v>
      </x:c>
      <x:c r="C1158" s="23" t="n">
        <x:v>2.239249</x:v>
      </x:c>
      <x:c r="D1158" s="23" t="n">
        <x:v>-23.65974</x:v>
      </x:c>
      <x:c r="E1158" s="23" t="n">
        <x:f>'Parameters'!$B$2*'Parameters'!$B$3*LN(4*PI()*C1158^2)</x:f>
        <x:v>10.271075874978864</x:v>
      </x:c>
      <x:c r="F1158" s="23" t="n">
        <x:f>D1158+E1158</x:f>
        <x:v>-13.388664125021135</x:v>
      </x:c>
      <x:c r="G1158" s="23" t="n">
        <x:f>AVERAGE($F$1142:$F$1166)</x:f>
        <x:v>-13.488143584366567</x:v>
      </x:c>
      <x:c r="H1158" s="24" t="n">
        <x:f>F1158-G1158</x:f>
        <x:v>0.09947945934543156</x:v>
      </x:c>
    </x:row>
    <x:row r="1159">
      <x:c r="A1159" s="2" t="str">
        <x:v>LiD3-Core</x:v>
      </x:c>
      <x:c r="B1159" s="4" t="str">
        <x:v>NaCl</x:v>
      </x:c>
      <x:c r="C1159" s="23" t="n">
        <x:v>2.251318</x:v>
      </x:c>
      <x:c r="D1159" s="23" t="n">
        <x:v>-23.54534</x:v>
      </x:c>
      <x:c r="E1159" s="23" t="n">
        <x:f>'Parameters'!$B$2*'Parameters'!$B$3*LN(4*PI()*C1159^2)</x:f>
        <x:v>10.29772605472515</x:v>
      </x:c>
      <x:c r="F1159" s="23" t="n">
        <x:f>D1159+E1159</x:f>
        <x:v>-13.24761394527485</x:v>
      </x:c>
      <x:c r="G1159" s="23" t="n">
        <x:f>AVERAGE($F$1142:$F$1166)</x:f>
        <x:v>-13.488143584366567</x:v>
      </x:c>
      <x:c r="H1159" s="24" t="n">
        <x:f>F1159-G1159</x:f>
        <x:v>0.24052963909171687</x:v>
      </x:c>
    </x:row>
    <x:row r="1160">
      <x:c r="A1160" s="2" t="str">
        <x:v>LiD3-Core</x:v>
      </x:c>
      <x:c r="B1160" s="4" t="str">
        <x:v>NaCl</x:v>
      </x:c>
      <x:c r="C1160" s="23" t="n">
        <x:v>2.263387</x:v>
      </x:c>
      <x:c r="D1160" s="23" t="n">
        <x:v>-23.65227</x:v>
      </x:c>
      <x:c r="E1160" s="23" t="n">
        <x:f>'Parameters'!$B$2*'Parameters'!$B$3*LN(4*PI()*C1160^2)</x:f>
        <x:v>10.324233747839042</x:v>
      </x:c>
      <x:c r="F1160" s="23" t="n">
        <x:f>D1160+E1160</x:f>
        <x:v>-13.32803625216096</x:v>
      </x:c>
      <x:c r="G1160" s="23" t="n">
        <x:f>AVERAGE($F$1142:$F$1166)</x:f>
        <x:v>-13.488143584366567</x:v>
      </x:c>
      <x:c r="H1160" s="24" t="n">
        <x:f>F1160-G1160</x:f>
        <x:v>0.16010733220560702</x:v>
      </x:c>
    </x:row>
    <x:row r="1161">
      <x:c r="A1161" s="2" t="str">
        <x:v>LiD3-Core</x:v>
      </x:c>
      <x:c r="B1161" s="4" t="str">
        <x:v>NaCl</x:v>
      </x:c>
      <x:c r="C1161" s="23" t="n">
        <x:v>2.275456</x:v>
      </x:c>
      <x:c r="D1161" s="23" t="n">
        <x:v>-23.66936</x:v>
      </x:c>
      <x:c r="E1161" s="23" t="n">
        <x:f>'Parameters'!$B$2*'Parameters'!$B$3*LN(4*PI()*C1161^2)</x:f>
        <x:v>10.35060046984631</x:v>
      </x:c>
      <x:c r="F1161" s="23" t="n">
        <x:f>D1161+E1161</x:f>
        <x:v>-13.318759530153692</x:v>
      </x:c>
      <x:c r="G1161" s="23" t="n">
        <x:f>AVERAGE($F$1142:$F$1166)</x:f>
        <x:v>-13.488143584366567</x:v>
      </x:c>
      <x:c r="H1161" s="24" t="n">
        <x:f>F1161-G1161</x:f>
        <x:v>0.16938405421287506</x:v>
      </x:c>
    </x:row>
    <x:row r="1162">
      <x:c r="A1162" s="2" t="str">
        <x:v>LiD3-Core</x:v>
      </x:c>
      <x:c r="B1162" s="4" t="str">
        <x:v>NaCl</x:v>
      </x:c>
      <x:c r="C1162" s="23" t="n">
        <x:v>2.287525</x:v>
      </x:c>
      <x:c r="D1162" s="23" t="n">
        <x:v>-23.64873</x:v>
      </x:c>
      <x:c r="E1162" s="23" t="n">
        <x:f>'Parameters'!$B$2*'Parameters'!$B$3*LN(4*PI()*C1162^2)</x:f>
        <x:v>10.376827712221285</x:v>
      </x:c>
      <x:c r="F1162" s="23" t="n">
        <x:f>D1162+E1162</x:f>
        <x:v>-13.271902287778715</x:v>
      </x:c>
      <x:c r="G1162" s="23" t="n">
        <x:f>AVERAGE($F$1142:$F$1166)</x:f>
        <x:v>-13.488143584366567</x:v>
      </x:c>
      <x:c r="H1162" s="24" t="n">
        <x:f>F1162-G1162</x:f>
        <x:v>0.2162412965878513</x:v>
      </x:c>
    </x:row>
    <x:row r="1163">
      <x:c r="A1163" s="2" t="str">
        <x:v>LiD3-Core</x:v>
      </x:c>
      <x:c r="B1163" s="4" t="str">
        <x:v>NaCl</x:v>
      </x:c>
      <x:c r="C1163" s="23" t="n">
        <x:v>2.299594</x:v>
      </x:c>
      <x:c r="D1163" s="23" t="n">
        <x:v>-23.68942</x:v>
      </x:c>
      <x:c r="E1163" s="23" t="n">
        <x:f>'Parameters'!$B$2*'Parameters'!$B$3*LN(4*PI()*C1163^2)</x:f>
        <x:v>10.402916942893091</x:v>
      </x:c>
      <x:c r="F1163" s="23" t="n">
        <x:f>D1163+E1163</x:f>
        <x:v>-13.286503057106907</x:v>
      </x:c>
      <x:c r="G1163" s="23" t="n">
        <x:f>AVERAGE($F$1142:$F$1166)</x:f>
        <x:v>-13.488143584366567</x:v>
      </x:c>
      <x:c r="H1163" s="24" t="n">
        <x:f>F1163-G1163</x:f>
        <x:v>0.2016405272596593</x:v>
      </x:c>
    </x:row>
    <x:row r="1164">
      <x:c r="A1164" s="2" t="str">
        <x:v>LiD3-Core</x:v>
      </x:c>
      <x:c r="B1164" s="4" t="str">
        <x:v>NaCl</x:v>
      </x:c>
      <x:c r="C1164" s="23" t="n">
        <x:v>2.311663</x:v>
      </x:c>
      <x:c r="D1164" s="23" t="n">
        <x:v>-23.66946</x:v>
      </x:c>
      <x:c r="E1164" s="23" t="n">
        <x:f>'Parameters'!$B$2*'Parameters'!$B$3*LN(4*PI()*C1164^2)</x:f>
        <x:v>10.428869606738663</x:v>
      </x:c>
      <x:c r="F1164" s="23" t="n">
        <x:f>D1164+E1164</x:f>
        <x:v>-13.240590393261337</x:v>
      </x:c>
      <x:c r="G1164" s="23" t="n">
        <x:f>AVERAGE($F$1142:$F$1166)</x:f>
        <x:v>-13.488143584366567</x:v>
      </x:c>
      <x:c r="H1164" s="24" t="n">
        <x:f>F1164-G1164</x:f>
        <x:v>0.24755319110522933</x:v>
      </x:c>
    </x:row>
    <x:row r="1165">
      <x:c r="A1165" s="2" t="str">
        <x:v>LiD3-Core</x:v>
      </x:c>
      <x:c r="B1165" s="4" t="str">
        <x:v>NaCl</x:v>
      </x:c>
      <x:c r="C1165" s="23" t="n">
        <x:v>2.323732</x:v>
      </x:c>
      <x:c r="D1165" s="23" t="n">
        <x:v>-23.6926</x:v>
      </x:c>
      <x:c r="E1165" s="23" t="n">
        <x:f>'Parameters'!$B$2*'Parameters'!$B$3*LN(4*PI()*C1165^2)</x:f>
        <x:v>10.4546871260629</x:v>
      </x:c>
      <x:c r="F1165" s="23" t="n">
        <x:f>D1165+E1165</x:f>
        <x:v>-13.237912873937098</x:v>
      </x:c>
      <x:c r="G1165" s="23" t="n">
        <x:f>AVERAGE($F$1142:$F$1166)</x:f>
        <x:v>-13.488143584366567</x:v>
      </x:c>
      <x:c r="H1165" s="24" t="n">
        <x:f>F1165-G1165</x:f>
        <x:v>0.2502307104294683</x:v>
      </x:c>
    </x:row>
    <x:row r="1166">
      <x:c r="A1166" s="2" t="str">
        <x:v>LiD3-Core</x:v>
      </x:c>
      <x:c r="B1166" s="4" t="str">
        <x:v>NaCl</x:v>
      </x:c>
      <x:c r="C1166" s="23" t="n">
        <x:v>2.335801</x:v>
      </x:c>
      <x:c r="D1166" s="23" t="n">
        <x:v>-23.68099</x:v>
      </x:c>
      <x:c r="E1166" s="23" t="n">
        <x:f>'Parameters'!$B$2*'Parameters'!$B$3*LN(4*PI()*C1166^2)</x:f>
        <x:v>10.480370901066404</x:v>
      </x:c>
      <x:c r="F1166" s="23" t="n">
        <x:f>D1166+E1166</x:f>
        <x:v>-13.200619098933597</x:v>
      </x:c>
      <x:c r="G1166" s="23" t="n">
        <x:f>AVERAGE($F$1142:$F$1166)</x:f>
        <x:v>-13.488143584366567</x:v>
      </x:c>
      <x:c r="H1166" s="24" t="n">
        <x:f>F1166-G1166</x:f>
        <x:v>0.2875244854329697</x:v>
      </x:c>
    </x:row>
    <x:row r="1167">
      <x:c r="A1167" s="2" t="str">
        <x:v>LiD3-Core</x:v>
      </x:c>
      <x:c r="B1167" s="4" t="str">
        <x:v>NaCl</x:v>
      </x:c>
      <x:c r="C1167" s="23" t="n">
        <x:v>2.347871</x:v>
      </x:c>
      <x:c r="D1167" s="23" t="n">
        <x:v>-23.55412</x:v>
      </x:c>
      <x:c r="E1167" s="23" t="n">
        <x:f>'Parameters'!$B$2*'Parameters'!$B$3*LN(4*PI()*C1167^2)</x:f>
        <x:v>10.505924421965346</x:v>
      </x:c>
      <x:c r="F1167" s="23" t="n">
        <x:f>D1167+E1167</x:f>
        <x:v>-13.048195578034655</x:v>
      </x:c>
      <x:c r="G1167" s="23" t="n">
        <x:f>AVERAGE($F$1142:$F$1166)</x:f>
        <x:v>-13.488143584366567</x:v>
      </x:c>
      <x:c r="H1167" s="24" t="n">
        <x:f>F1167-G1167</x:f>
        <x:v>0.4399480063319121</x:v>
      </x:c>
    </x:row>
    <x:row r="1168">
      <x:c r="A1168" s="2" t="str">
        <x:v>LiD3-Core</x:v>
      </x:c>
      <x:c r="B1168" s="4" t="str">
        <x:v>NaCl</x:v>
      </x:c>
      <x:c r="C1168" s="23" t="n">
        <x:v>2.35994</x:v>
      </x:c>
      <x:c r="D1168" s="23" t="n">
        <x:v>-23.7059</x:v>
      </x:c>
      <x:c r="E1168" s="23" t="n">
        <x:f>'Parameters'!$B$2*'Parameters'!$B$3*LN(4*PI()*C1168^2)</x:f>
        <x:v>10.531344811979404</x:v>
      </x:c>
      <x:c r="F1168" s="23" t="n">
        <x:f>D1168+E1168</x:f>
        <x:v>-13.174555188020596</x:v>
      </x:c>
      <x:c r="G1168" s="23" t="n">
        <x:f>AVERAGE($F$1142:$F$1166)</x:f>
        <x:v>-13.488143584366567</x:v>
      </x:c>
      <x:c r="H1168" s="24" t="n">
        <x:f>F1168-G1168</x:f>
        <x:v>0.31358839634597047</x:v>
      </x:c>
    </x:row>
    <x:row r="1169">
      <x:c r="A1169" s="2" t="str">
        <x:v>LiD3-Core</x:v>
      </x:c>
      <x:c r="B1169" s="4" t="str">
        <x:v>NaCl</x:v>
      </x:c>
      <x:c r="C1169" s="23" t="n">
        <x:v>2.372009</x:v>
      </x:c>
      <x:c r="D1169" s="23" t="n">
        <x:v>-23.71785</x:v>
      </x:c>
      <x:c r="E1169" s="23" t="n">
        <x:f>'Parameters'!$B$2*'Parameters'!$B$3*LN(4*PI()*C1169^2)</x:f>
        <x:v>10.556635530257338</x:v>
      </x:c>
      <x:c r="F1169" s="23" t="n">
        <x:f>D1169+E1169</x:f>
        <x:v>-13.16121446974266</x:v>
      </x:c>
      <x:c r="G1169" s="23" t="n">
        <x:f>AVERAGE($F$1142:$F$1166)</x:f>
        <x:v>-13.488143584366567</x:v>
      </x:c>
      <x:c r="H1169" s="24" t="n">
        <x:f>F1169-G1169</x:f>
        <x:v>0.3269291146239066</x:v>
      </x:c>
    </x:row>
    <x:row r="1170">
      <x:c r="A1170" s="2" t="str">
        <x:v>LiD3-Core</x:v>
      </x:c>
      <x:c r="B1170" s="4" t="str">
        <x:v>NaCl</x:v>
      </x:c>
      <x:c r="C1170" s="23" t="n">
        <x:v>2.384078</x:v>
      </x:c>
      <x:c r="D1170" s="23" t="n">
        <x:v>-23.62984</x:v>
      </x:c>
      <x:c r="E1170" s="23" t="n">
        <x:f>'Parameters'!$B$2*'Parameters'!$B$3*LN(4*PI()*C1170^2)</x:f>
        <x:v>10.581797893022609</x:v>
      </x:c>
      <x:c r="F1170" s="23" t="n">
        <x:f>D1170+E1170</x:f>
        <x:v>-13.048042106977393</x:v>
      </x:c>
      <x:c r="G1170" s="23" t="n">
        <x:f>AVERAGE($F$1142:$F$1166)</x:f>
        <x:v>-13.488143584366567</x:v>
      </x:c>
      <x:c r="H1170" s="24" t="n">
        <x:f>F1170-G1170</x:f>
        <x:v>0.4401014773891738</x:v>
      </x:c>
    </x:row>
    <x:row r="1171">
      <x:c r="A1171" s="2" t="str">
        <x:v>LiD3-Core</x:v>
      </x:c>
      <x:c r="B1171" s="4" t="str">
        <x:v>NaCl</x:v>
      </x:c>
      <x:c r="C1171" s="23" t="n">
        <x:v>2.396147</x:v>
      </x:c>
      <x:c r="D1171" s="23" t="n">
        <x:v>-23.65613</x:v>
      </x:c>
      <x:c r="E1171" s="23" t="n">
        <x:f>'Parameters'!$B$2*'Parameters'!$B$3*LN(4*PI()*C1171^2)</x:f>
        <x:v>10.60683319655947</x:v>
      </x:c>
      <x:c r="F1171" s="23" t="n">
        <x:f>D1171+E1171</x:f>
        <x:v>-13.04929680344053</x:v>
      </x:c>
      <x:c r="G1171" s="23" t="n">
        <x:f>AVERAGE($F$1142:$F$1166)</x:f>
        <x:v>-13.488143584366567</x:v>
      </x:c>
      <x:c r="H1171" s="24" t="n">
        <x:f>F1171-G1171</x:f>
        <x:v>0.4388467809260366</x:v>
      </x:c>
    </x:row>
    <x:row r="1172">
      <x:c r="A1172" s="2" t="str">
        <x:v>LiD3-Core</x:v>
      </x:c>
      <x:c r="B1172" s="4" t="str">
        <x:v>NaCl</x:v>
      </x:c>
      <x:c r="C1172" s="23" t="n">
        <x:v>2.408216</x:v>
      </x:c>
      <x:c r="D1172" s="23" t="n">
        <x:v>-23.68922</x:v>
      </x:c>
      <x:c r="E1172" s="23" t="n">
        <x:f>'Parameters'!$B$2*'Parameters'!$B$3*LN(4*PI()*C1172^2)</x:f>
        <x:v>10.631742717613713</x:v>
      </x:c>
      <x:c r="F1172" s="23" t="n">
        <x:f>D1172+E1172</x:f>
        <x:v>-13.057477282386285</x:v>
      </x:c>
      <x:c r="G1172" s="23" t="n">
        <x:f>AVERAGE($F$1142:$F$1166)</x:f>
        <x:v>-13.488143584366567</x:v>
      </x:c>
      <x:c r="H1172" s="24" t="n">
        <x:f>F1172-G1172</x:f>
        <x:v>0.4306663019802812</x:v>
      </x:c>
    </x:row>
    <x:row r="1173">
      <x:c r="A1173" s="2" t="str">
        <x:v>LiD3-Core</x:v>
      </x:c>
      <x:c r="B1173" s="4" t="str">
        <x:v>NaCl</x:v>
      </x:c>
      <x:c r="C1173" s="23" t="n">
        <x:v>2.420285</x:v>
      </x:c>
      <x:c r="D1173" s="23" t="n">
        <x:v>-23.68382</x:v>
      </x:c>
      <x:c r="E1173" s="23" t="n">
        <x:f>'Parameters'!$B$2*'Parameters'!$B$3*LN(4*PI()*C1173^2)</x:f>
        <x:v>10.656527713783351</x:v>
      </x:c>
      <x:c r="F1173" s="23" t="n">
        <x:f>D1173+E1173</x:f>
        <x:v>-13.02729228621665</x:v>
      </x:c>
      <x:c r="G1173" s="23" t="n">
        <x:f>AVERAGE($F$1142:$F$1166)</x:f>
        <x:v>-13.488143584366567</x:v>
      </x:c>
      <x:c r="H1173" s="24" t="n">
        <x:f>F1173-G1173</x:f>
        <x:v>0.4608512981499171</x:v>
      </x:c>
    </x:row>
    <x:row r="1174">
      <x:c r="A1174" s="2" t="str">
        <x:v>LiD3-Core</x:v>
      </x:c>
      <x:c r="B1174" s="4" t="str">
        <x:v>NaCl</x:v>
      </x:c>
      <x:c r="C1174" s="23" t="n">
        <x:v>2.432354</x:v>
      </x:c>
      <x:c r="D1174" s="23" t="n">
        <x:v>-23.83638</x:v>
      </x:c>
      <x:c r="E1174" s="23" t="n">
        <x:f>'Parameters'!$B$2*'Parameters'!$B$3*LN(4*PI()*C1174^2)</x:f>
        <x:v>10.681189423899603</x:v>
      </x:c>
      <x:c r="F1174" s="23" t="n">
        <x:f>D1174+E1174</x:f>
        <x:v>-13.155190576100395</x:v>
      </x:c>
      <x:c r="G1174" s="23" t="n">
        <x:f>AVERAGE($F$1142:$F$1166)</x:f>
        <x:v>-13.488143584366567</x:v>
      </x:c>
      <x:c r="H1174" s="24" t="n">
        <x:f>F1174-G1174</x:f>
        <x:v>0.3329530082661716</x:v>
      </x:c>
    </x:row>
    <x:row r="1175">
      <x:c r="A1175" s="2" t="str">
        <x:v>LiD3-Core</x:v>
      </x:c>
      <x:c r="B1175" s="4" t="str">
        <x:v>NaCl</x:v>
      </x:c>
      <x:c r="C1175" s="23" t="n">
        <x:v>2.444423</x:v>
      </x:c>
      <x:c r="D1175" s="23" t="n">
        <x:v>-23.83489</x:v>
      </x:c>
      <x:c r="E1175" s="23" t="n">
        <x:f>'Parameters'!$B$2*'Parameters'!$B$3*LN(4*PI()*C1175^2)</x:f>
        <x:v>10.705729068398453</x:v>
      </x:c>
      <x:c r="F1175" s="23" t="n">
        <x:f>D1175+E1175</x:f>
        <x:v>-13.129160931601549</x:v>
      </x:c>
      <x:c r="G1175" s="23" t="n">
        <x:f>AVERAGE($F$1142:$F$1166)</x:f>
        <x:v>-13.488143584366567</x:v>
      </x:c>
      <x:c r="H1175" s="24" t="n">
        <x:f>F1175-G1175</x:f>
        <x:v>0.3589826527650182</x:v>
      </x:c>
    </x:row>
    <x:row r="1176">
      <x:c r="A1176" s="2" t="str">
        <x:v>LiD3-Core</x:v>
      </x:c>
      <x:c r="B1176" s="4" t="str">
        <x:v>NaCl</x:v>
      </x:c>
      <x:c r="C1176" s="23" t="n">
        <x:v>2.456493</x:v>
      </x:c>
      <x:c r="D1176" s="23" t="n">
        <x:v>-23.8196</x:v>
      </x:c>
      <x:c r="E1176" s="23" t="n">
        <x:f>'Parameters'!$B$2*'Parameters'!$B$3*LN(4*PI()*C1176^2)</x:f>
        <x:v>10.730149867972981</x:v>
      </x:c>
      <x:c r="F1176" s="23" t="n">
        <x:f>D1176+E1176</x:f>
        <x:v>-13.08945013202702</x:v>
      </x:c>
      <x:c r="G1176" s="23" t="n">
        <x:f>AVERAGE($F$1142:$F$1166)</x:f>
        <x:v>-13.488143584366567</x:v>
      </x:c>
      <x:c r="H1176" s="24" t="n">
        <x:f>F1176-G1176</x:f>
        <x:v>0.3986934523395469</x:v>
      </x:c>
    </x:row>
    <x:row r="1177">
      <x:c r="A1177" s="2" t="str">
        <x:v>LiD3-Core</x:v>
      </x:c>
      <x:c r="B1177" s="4" t="str">
        <x:v>NaCl</x:v>
      </x:c>
      <x:c r="C1177" s="23" t="n">
        <x:v>2.468562</x:v>
      </x:c>
      <x:c r="D1177" s="23" t="n">
        <x:v>-23.88105</x:v>
      </x:c>
      <x:c r="E1177" s="23" t="n">
        <x:f>'Parameters'!$B$2*'Parameters'!$B$3*LN(4*PI()*C1177^2)</x:f>
        <x:v>10.754448960899609</x:v>
      </x:c>
      <x:c r="F1177" s="23" t="n">
        <x:f>D1177+E1177</x:f>
        <x:v>-13.12660103910039</x:v>
      </x:c>
      <x:c r="G1177" s="23" t="n">
        <x:f>AVERAGE($F$1142:$F$1166)</x:f>
        <x:v>-13.488143584366567</x:v>
      </x:c>
      <x:c r="H1177" s="24" t="n">
        <x:f>F1177-G1177</x:f>
        <x:v>0.36154254526617713</x:v>
      </x:c>
    </x:row>
    <x:row r="1178">
      <x:c r="A1178" s="2" t="str">
        <x:v>LiD3-Core</x:v>
      </x:c>
      <x:c r="B1178" s="4" t="str">
        <x:v>NaCl</x:v>
      </x:c>
      <x:c r="C1178" s="23" t="n">
        <x:v>2.480631</x:v>
      </x:c>
      <x:c r="D1178" s="23" t="n">
        <x:v>-23.85557</x:v>
      </x:c>
      <x:c r="E1178" s="23" t="n">
        <x:f>'Parameters'!$B$2*'Parameters'!$B$3*LN(4*PI()*C1178^2)</x:f>
        <x:v>10.7786295428213</x:v>
      </x:c>
      <x:c r="F1178" s="23" t="n">
        <x:f>D1178+E1178</x:f>
        <x:v>-13.0769404571787</x:v>
      </x:c>
      <x:c r="G1178" s="23" t="n">
        <x:f>AVERAGE($F$1142:$F$1166)</x:f>
        <x:v>-13.488143584366567</x:v>
      </x:c>
      <x:c r="H1178" s="24" t="n">
        <x:f>F1178-G1178</x:f>
        <x:v>0.411203127187866</x:v>
      </x:c>
    </x:row>
    <x:row r="1179">
      <x:c r="A1179" s="2" t="str">
        <x:v>LiD3-Core</x:v>
      </x:c>
      <x:c r="B1179" s="4" t="str">
        <x:v>NaCl</x:v>
      </x:c>
      <x:c r="C1179" s="23" t="n">
        <x:v>2.4927</x:v>
      </x:c>
      <x:c r="D1179" s="23" t="n">
        <x:v>-23.78264</x:v>
      </x:c>
      <x:c r="E1179" s="23" t="n">
        <x:f>'Parameters'!$B$2*'Parameters'!$B$3*LN(4*PI()*C1179^2)</x:f>
        <x:v>10.802692764128233</x:v>
      </x:c>
      <x:c r="F1179" s="23" t="n">
        <x:f>D1179+E1179</x:f>
        <x:v>-12.979947235871768</x:v>
      </x:c>
      <x:c r="G1179" s="23" t="n">
        <x:f>AVERAGE($F$1142:$F$1166)</x:f>
        <x:v>-13.488143584366567</x:v>
      </x:c>
      <x:c r="H1179" s="24" t="n">
        <x:f>F1179-G1179</x:f>
        <x:v>0.5081963484947991</x:v>
      </x:c>
    </x:row>
    <x:row r="1180">
      <x:c r="A1180" s="2" t="str">
        <x:v>LiD3-Core</x:v>
      </x:c>
      <x:c r="B1180" s="4" t="str">
        <x:v>NaCl</x:v>
      </x:c>
      <x:c r="C1180" s="23" t="n">
        <x:v>2.504769</x:v>
      </x:c>
      <x:c r="D1180" s="23" t="n">
        <x:v>-23.9162</x:v>
      </x:c>
      <x:c r="E1180" s="23" t="n">
        <x:f>'Parameters'!$B$2*'Parameters'!$B$3*LN(4*PI()*C1180^2)</x:f>
        <x:v>10.826639758541148</x:v>
      </x:c>
      <x:c r="F1180" s="23" t="n">
        <x:f>D1180+E1180</x:f>
        <x:v>-13.089560241458852</x:v>
      </x:c>
      <x:c r="G1180" s="23" t="n">
        <x:f>AVERAGE($F$1142:$F$1166)</x:f>
        <x:v>-13.488143584366567</x:v>
      </x:c>
      <x:c r="H1180" s="24" t="n">
        <x:f>F1180-G1180</x:f>
        <x:v>0.398583342907715</x:v>
      </x:c>
    </x:row>
    <x:row r="1181">
      <x:c r="A1181" s="2" t="str">
        <x:v>LiD3-Core</x:v>
      </x:c>
      <x:c r="B1181" s="4" t="str">
        <x:v>NaCl</x:v>
      </x:c>
      <x:c r="C1181" s="23" t="n">
        <x:v>2.516838</x:v>
      </x:c>
      <x:c r="D1181" s="23" t="n">
        <x:v>-23.94412</x:v>
      </x:c>
      <x:c r="E1181" s="23" t="n">
        <x:f>'Parameters'!$B$2*'Parameters'!$B$3*LN(4*PI()*C1181^2)</x:f>
        <x:v>10.850471643431854</x:v>
      </x:c>
      <x:c r="F1181" s="23" t="n">
        <x:f>D1181+E1181</x:f>
        <x:v>-13.093648356568147</x:v>
      </x:c>
      <x:c r="G1181" s="23" t="n">
        <x:f>AVERAGE($F$1142:$F$1166)</x:f>
        <x:v>-13.488143584366567</x:v>
      </x:c>
      <x:c r="H1181" s="24" t="n">
        <x:f>F1181-G1181</x:f>
        <x:v>0.3944952277984193</x:v>
      </x:c>
    </x:row>
    <x:row r="1182">
      <x:c r="A1182" s="2" t="str">
        <x:v>LiD3-Core</x:v>
      </x:c>
      <x:c r="B1182" s="4" t="str">
        <x:v>NaCl</x:v>
      </x:c>
      <x:c r="C1182" s="23" t="n">
        <x:v>2.528907</x:v>
      </x:c>
      <x:c r="D1182" s="23" t="n">
        <x:v>-23.94637</x:v>
      </x:c>
      <x:c r="E1182" s="23" t="n">
        <x:f>'Parameters'!$B$2*'Parameters'!$B$3*LN(4*PI()*C1182^2)</x:f>
        <x:v>10.874189520136078</x:v>
      </x:c>
      <x:c r="F1182" s="23" t="n">
        <x:f>D1182+E1182</x:f>
        <x:v>-13.072180479863924</x:v>
      </x:c>
      <x:c r="G1182" s="23" t="n">
        <x:f>AVERAGE($F$1142:$F$1166)</x:f>
        <x:v>-13.488143584366567</x:v>
      </x:c>
      <x:c r="H1182" s="24" t="n">
        <x:f>F1182-G1182</x:f>
        <x:v>0.4159631045026426</x:v>
      </x:c>
    </x:row>
    <x:row r="1183">
      <x:c r="A1183" s="2" t="str">
        <x:v>LiD3-Core</x:v>
      </x:c>
      <x:c r="B1183" s="4" t="str">
        <x:v>NaCl</x:v>
      </x:c>
      <x:c r="C1183" s="23" t="n">
        <x:v>2.540976</x:v>
      </x:c>
      <x:c r="D1183" s="23" t="n">
        <x:v>-23.94268</x:v>
      </x:c>
      <x:c r="E1183" s="23" t="n">
        <x:f>'Parameters'!$B$2*'Parameters'!$B$3*LN(4*PI()*C1183^2)</x:f>
        <x:v>10.897794474258864</x:v>
      </x:c>
      <x:c r="F1183" s="23" t="n">
        <x:f>D1183+E1183</x:f>
        <x:v>-13.044885525741135</x:v>
      </x:c>
      <x:c r="G1183" s="23" t="n">
        <x:f>AVERAGE($F$1142:$F$1166)</x:f>
        <x:v>-13.488143584366567</x:v>
      </x:c>
      <x:c r="H1183" s="24" t="n">
        <x:f>F1183-G1183</x:f>
        <x:v>0.4432580586254318</x:v>
      </x:c>
    </x:row>
    <x:row r="1184">
      <x:c r="A1184" s="2" t="str">
        <x:v>LiD3-Core</x:v>
      </x:c>
      <x:c r="B1184" s="4" t="str">
        <x:v>NaCl</x:v>
      </x:c>
      <x:c r="C1184" s="23" t="n">
        <x:v>2.553045</x:v>
      </x:c>
      <x:c r="D1184" s="23" t="n">
        <x:v>-23.90104</x:v>
      </x:c>
      <x:c r="E1184" s="23" t="n">
        <x:f>'Parameters'!$B$2*'Parameters'!$B$3*LN(4*PI()*C1184^2)</x:f>
        <x:v>10.921287575972732</x:v>
      </x:c>
      <x:c r="F1184" s="23" t="n">
        <x:f>D1184+E1184</x:f>
        <x:v>-12.979752424027266</x:v>
      </x:c>
      <x:c r="G1184" s="23" t="n">
        <x:f>AVERAGE($F$1142:$F$1166)</x:f>
        <x:v>-13.488143584366567</x:v>
      </x:c>
      <x:c r="H1184" s="24" t="n">
        <x:f>F1184-G1184</x:f>
        <x:v>0.5083911603393005</x:v>
      </x:c>
    </x:row>
    <x:row r="1185">
      <x:c r="A1185" s="2" t="str">
        <x:v>LiD3-Core</x:v>
      </x:c>
      <x:c r="B1185" s="4" t="str">
        <x:v>NaCl</x:v>
      </x:c>
      <x:c r="C1185" s="23" t="n">
        <x:v>2.565115</x:v>
      </x:c>
      <x:c r="D1185" s="23" t="n">
        <x:v>-23.93365</x:v>
      </x:c>
      <x:c r="E1185" s="23" t="n">
        <x:f>'Parameters'!$B$2*'Parameters'!$B$3*LN(4*PI()*C1185^2)</x:f>
        <x:v>10.944671813132492</x:v>
      </x:c>
      <x:c r="F1185" s="23" t="n">
        <x:f>D1185+E1185</x:f>
        <x:v>-12.988978186867508</x:v>
      </x:c>
      <x:c r="G1185" s="23" t="n">
        <x:f>AVERAGE($F$1142:$F$1166)</x:f>
        <x:v>-13.488143584366567</x:v>
      </x:c>
      <x:c r="H1185" s="24" t="n">
        <x:f>F1185-G1185</x:f>
        <x:v>0.4991653974990591</x:v>
      </x:c>
    </x:row>
    <x:row r="1186">
      <x:c r="A1186" s="2" t="str">
        <x:v>LiD3-Core</x:v>
      </x:c>
      <x:c r="B1186" s="4" t="str">
        <x:v>NaCl</x:v>
      </x:c>
      <x:c r="C1186" s="23" t="n">
        <x:v>2.577184</x:v>
      </x:c>
      <x:c r="D1186" s="23" t="n">
        <x:v>-23.91796</x:v>
      </x:c>
      <x:c r="E1186" s="23" t="n">
        <x:f>'Parameters'!$B$2*'Parameters'!$B$3*LN(4*PI()*C1186^2)</x:f>
        <x:v>10.967944351213362</x:v>
      </x:c>
      <x:c r="F1186" s="23" t="n">
        <x:f>D1186+E1186</x:f>
        <x:v>-12.95001564878664</x:v>
      </x:c>
      <x:c r="G1186" s="23" t="n">
        <x:f>AVERAGE($F$1142:$F$1166)</x:f>
        <x:v>-13.488143584366567</x:v>
      </x:c>
      <x:c r="H1186" s="24" t="n">
        <x:f>F1186-G1186</x:f>
        <x:v>0.5381279355799276</x:v>
      </x:c>
    </x:row>
    <x:row r="1187">
      <x:c r="A1187" s="2" t="str">
        <x:v>LiD3-Core</x:v>
      </x:c>
      <x:c r="B1187" s="4" t="str">
        <x:v>NaCl</x:v>
      </x:c>
      <x:c r="C1187" s="23" t="n">
        <x:v>2.589253</x:v>
      </x:c>
      <x:c r="D1187" s="23" t="n">
        <x:v>-24.02903</x:v>
      </x:c>
      <x:c r="E1187" s="23" t="n">
        <x:f>'Parameters'!$B$2*'Parameters'!$B$3*LN(4*PI()*C1187^2)</x:f>
        <x:v>10.99110815776945</x:v>
      </x:c>
      <x:c r="F1187" s="23" t="n">
        <x:f>D1187+E1187</x:f>
        <x:v>-13.03792184223055</x:v>
      </x:c>
      <x:c r="G1187" s="23" t="n">
        <x:f>AVERAGE($F$1142:$F$1166)</x:f>
        <x:v>-13.488143584366567</x:v>
      </x:c>
      <x:c r="H1187" s="24" t="n">
        <x:f>F1187-G1187</x:f>
        <x:v>0.4502217421360175</x:v>
      </x:c>
    </x:row>
    <x:row r="1188">
      <x:c r="A1188" s="2" t="str">
        <x:v>LiD3-Core</x:v>
      </x:c>
      <x:c r="B1188" s="4" t="str">
        <x:v>NaCl</x:v>
      </x:c>
      <x:c r="C1188" s="23" t="n">
        <x:v>2.601322</x:v>
      </x:c>
      <x:c r="D1188" s="23" t="n">
        <x:v>-24.10883</x:v>
      </x:c>
      <x:c r="E1188" s="23" t="n">
        <x:f>'Parameters'!$B$2*'Parameters'!$B$3*LN(4*PI()*C1188^2)</x:f>
        <x:v>11.014164244085945</x:v>
      </x:c>
      <x:c r="F1188" s="23" t="n">
        <x:f>D1188+E1188</x:f>
        <x:v>-13.094665755914056</x:v>
      </x:c>
      <x:c r="G1188" s="23" t="n">
        <x:f>AVERAGE($F$1142:$F$1166)</x:f>
        <x:v>-13.488143584366567</x:v>
      </x:c>
      <x:c r="H1188" s="24" t="n">
        <x:f>F1188-G1188</x:f>
        <x:v>0.3934778284525109</x:v>
      </x:c>
    </x:row>
    <x:row r="1189">
      <x:c r="A1189" s="2" t="str">
        <x:v>LiD3-Core</x:v>
      </x:c>
      <x:c r="B1189" s="4" t="str">
        <x:v>NaCl</x:v>
      </x:c>
      <x:c r="C1189" s="23" t="n">
        <x:v>2.613391</x:v>
      </x:c>
      <x:c r="D1189" s="23" t="n">
        <x:v>-23.96273</x:v>
      </x:c>
      <x:c r="E1189" s="23" t="n">
        <x:f>'Parameters'!$B$2*'Parameters'!$B$3*LN(4*PI()*C1189^2)</x:f>
        <x:v>11.03711360740474</x:v>
      </x:c>
      <x:c r="F1189" s="23" t="n">
        <x:f>D1189+E1189</x:f>
        <x:v>-12.925616392595261</x:v>
      </x:c>
      <x:c r="G1189" s="23" t="n">
        <x:f>AVERAGE($F$1142:$F$1166)</x:f>
        <x:v>-13.488143584366567</x:v>
      </x:c>
      <x:c r="H1189" s="24" t="n">
        <x:f>F1189-G1189</x:f>
        <x:v>0.5625271917713057</x:v>
      </x:c>
    </x:row>
    <x:row r="1190">
      <x:c r="A1190" s="2" t="str">
        <x:v>LiD3-Core</x:v>
      </x:c>
      <x:c r="B1190" s="4" t="str">
        <x:v>NaCl</x:v>
      </x:c>
      <x:c r="C1190" s="23" t="n">
        <x:v>2.62546</x:v>
      </x:c>
      <x:c r="D1190" s="23" t="n">
        <x:v>-24.05755</x:v>
      </x:c>
      <x:c r="E1190" s="23" t="n">
        <x:f>'Parameters'!$B$2*'Parameters'!$B$3*LN(4*PI()*C1190^2)</x:f>
        <x:v>11.05995723118326</x:v>
      </x:c>
      <x:c r="F1190" s="23" t="n">
        <x:f>D1190+E1190</x:f>
        <x:v>-12.99759276881674</x:v>
      </x:c>
      <x:c r="G1190" s="23" t="n">
        <x:f>AVERAGE($F$1142:$F$1166)</x:f>
        <x:v>-13.488143584366567</x:v>
      </x:c>
      <x:c r="H1190" s="24" t="n">
        <x:f>F1190-G1190</x:f>
        <x:v>0.4905508155498275</x:v>
      </x:c>
    </x:row>
    <x:row r="1191">
      <x:c r="A1191" s="2" t="str">
        <x:v>LiD3-Core</x:v>
      </x:c>
      <x:c r="B1191" s="4" t="str">
        <x:v>NaCl</x:v>
      </x:c>
      <x:c r="C1191" s="23" t="n">
        <x:v>2.637529</x:v>
      </x:c>
      <x:c r="D1191" s="23" t="n">
        <x:v>-23.98323</x:v>
      </x:c>
      <x:c r="E1191" s="23" t="n">
        <x:f>'Parameters'!$B$2*'Parameters'!$B$3*LN(4*PI()*C1191^2)</x:f>
        <x:v>11.082696085347342</x:v>
      </x:c>
      <x:c r="F1191" s="23" t="n">
        <x:f>D1191+E1191</x:f>
        <x:v>-12.900533914652657</x:v>
      </x:c>
      <x:c r="G1191" s="23" t="n">
        <x:f>AVERAGE($F$1142:$F$1166)</x:f>
        <x:v>-13.488143584366567</x:v>
      </x:c>
      <x:c r="H1191" s="24" t="n">
        <x:f>F1191-G1191</x:f>
        <x:v>0.5876096697139097</x:v>
      </x:c>
    </x:row>
    <x:row r="1192">
      <x:c r="A1192" s="2" t="str">
        <x:v>LiD3-Core</x:v>
      </x:c>
      <x:c r="B1192" s="4" t="str">
        <x:v>NaCl</x:v>
      </x:c>
      <x:c r="C1192" s="23" t="n">
        <x:v>2.649598</x:v>
      </x:c>
      <x:c r="D1192" s="23" t="n">
        <x:v>-24.00648</x:v>
      </x:c>
      <x:c r="E1192" s="23" t="n">
        <x:f>'Parameters'!$B$2*'Parameters'!$B$3*LN(4*PI()*C1192^2)</x:f>
        <x:v>11.10533112653835</x:v>
      </x:c>
      <x:c r="F1192" s="23" t="n">
        <x:f>D1192+E1192</x:f>
        <x:v>-12.90114887346165</x:v>
      </x:c>
      <x:c r="G1192" s="23" t="n">
        <x:f>AVERAGE($F$1142:$F$1166)</x:f>
        <x:v>-13.488143584366567</x:v>
      </x:c>
      <x:c r="H1192" s="24" t="n">
        <x:f>F1192-G1192</x:f>
        <x:v>0.5869947109049161</x:v>
      </x:c>
    </x:row>
    <x:row r="1193">
      <x:c r="A1193" s="2" t="str">
        <x:v>LiD3-Core</x:v>
      </x:c>
      <x:c r="B1193" s="4" t="str">
        <x:v>NaCl</x:v>
      </x:c>
      <x:c r="C1193" s="23" t="n">
        <x:v>2.661667</x:v>
      </x:c>
      <x:c r="D1193" s="23" t="n">
        <x:v>-24.07459</x:v>
      </x:c>
      <x:c r="E1193" s="23" t="n">
        <x:f>'Parameters'!$B$2*'Parameters'!$B$3*LN(4*PI()*C1193^2)</x:f>
        <x:v>11.127863298354672</x:v>
      </x:c>
      <x:c r="F1193" s="23" t="n">
        <x:f>D1193+E1193</x:f>
        <x:v>-12.946726701645328</x:v>
      </x:c>
      <x:c r="G1193" s="23" t="n">
        <x:f>AVERAGE($F$1142:$F$1166)</x:f>
        <x:v>-13.488143584366567</x:v>
      </x:c>
      <x:c r="H1193" s="24" t="n">
        <x:f>F1193-G1193</x:f>
        <x:v>0.5414168827212382</x:v>
      </x:c>
    </x:row>
    <x:row r="1194">
      <x:c r="A1194" s="2" t="str">
        <x:v>LiD3-Core</x:v>
      </x:c>
      <x:c r="B1194" s="4" t="str">
        <x:v>NaCl</x:v>
      </x:c>
      <x:c r="C1194" s="23" t="n">
        <x:v>2.673736</x:v>
      </x:c>
      <x:c r="D1194" s="23" t="n">
        <x:v>-24.22346</x:v>
      </x:c>
      <x:c r="E1194" s="23" t="n">
        <x:f>'Parameters'!$B$2*'Parameters'!$B$3*LN(4*PI()*C1194^2)</x:f>
        <x:v>11.150293531587748</x:v>
      </x:c>
      <x:c r="F1194" s="23" t="n">
        <x:f>D1194+E1194</x:f>
        <x:v>-13.073166468412252</x:v>
      </x:c>
      <x:c r="G1194" s="23" t="n">
        <x:f>AVERAGE($F$1142:$F$1166)</x:f>
        <x:v>-13.488143584366567</x:v>
      </x:c>
      <x:c r="H1194" s="24" t="n">
        <x:f>F1194-G1194</x:f>
        <x:v>0.41497711595431497</x:v>
      </x:c>
    </x:row>
    <x:row r="1195">
      <x:c r="A1195" s="2" t="str">
        <x:v>LiD3-Core</x:v>
      </x:c>
      <x:c r="B1195" s="4" t="str">
        <x:v>NaCl</x:v>
      </x:c>
      <x:c r="C1195" s="23" t="n">
        <x:v>2.685806</x:v>
      </x:c>
      <x:c r="D1195" s="23" t="n">
        <x:v>-23.84808</x:v>
      </x:c>
      <x:c r="E1195" s="23" t="n">
        <x:f>'Parameters'!$B$2*'Parameters'!$B$3*LN(4*PI()*C1195^2)</x:f>
        <x:v>11.172624590421934</x:v>
      </x:c>
      <x:c r="F1195" s="23" t="n">
        <x:f>D1195+E1195</x:f>
        <x:v>-12.675455409578065</x:v>
      </x:c>
      <x:c r="G1195" s="23" t="n">
        <x:f>AVERAGE($F$1142:$F$1166)</x:f>
        <x:v>-13.488143584366567</x:v>
      </x:c>
      <x:c r="H1195" s="24" t="n">
        <x:f>F1195-G1195</x:f>
        <x:v>0.8126881747885015</x:v>
      </x:c>
    </x:row>
    <x:row r="1196">
      <x:c r="A1196" s="2" t="str">
        <x:v>LiD3-Core</x:v>
      </x:c>
      <x:c r="B1196" s="4" t="str">
        <x:v>NaCl</x:v>
      </x:c>
      <x:c r="C1196" s="23" t="n">
        <x:v>2.697875</x:v>
      </x:c>
      <x:c r="D1196" s="23" t="n">
        <x:v>-23.88961</x:v>
      </x:c>
      <x:c r="E1196" s="23" t="n">
        <x:f>'Parameters'!$B$2*'Parameters'!$B$3*LN(4*PI()*C1196^2)</x:f>
        <x:v>11.194853680525517</x:v>
      </x:c>
      <x:c r="F1196" s="23" t="n">
        <x:f>D1196+E1196</x:f>
        <x:v>-12.694756319474484</x:v>
      </x:c>
      <x:c r="G1196" s="23" t="n">
        <x:f>AVERAGE($F$1142:$F$1166)</x:f>
        <x:v>-13.488143584366567</x:v>
      </x:c>
      <x:c r="H1196" s="24" t="n">
        <x:f>F1196-G1196</x:f>
        <x:v>0.7933872648920826</x:v>
      </x:c>
    </x:row>
    <x:row r="1197">
      <x:c r="A1197" s="2" t="str">
        <x:v>LiD3-Core</x:v>
      </x:c>
      <x:c r="B1197" s="4" t="str">
        <x:v>NaCl</x:v>
      </x:c>
      <x:c r="C1197" s="23" t="n">
        <x:v>2.709944</x:v>
      </x:c>
      <x:c r="D1197" s="23" t="n">
        <x:v>-23.71533</x:v>
      </x:c>
      <x:c r="E1197" s="23" t="n">
        <x:f>'Parameters'!$B$2*'Parameters'!$B$3*LN(4*PI()*C1197^2)</x:f>
        <x:v>11.21698354993355</x:v>
      </x:c>
      <x:c r="F1197" s="23" t="n">
        <x:f>D1197+E1197</x:f>
        <x:v>-12.498346450066451</x:v>
      </x:c>
      <x:c r="G1197" s="23" t="n">
        <x:f>AVERAGE($F$1142:$F$1166)</x:f>
        <x:v>-13.488143584366567</x:v>
      </x:c>
      <x:c r="H1197" s="24" t="n">
        <x:f>F1197-G1197</x:f>
        <x:v>0.9897971343001153</x:v>
      </x:c>
    </x:row>
    <x:row r="1198">
      <x:c r="A1198" s="2" t="str">
        <x:v>LiD3-Core</x:v>
      </x:c>
      <x:c r="B1198" s="4" t="str">
        <x:v>NaCl</x:v>
      </x:c>
      <x:c r="C1198" s="23" t="n">
        <x:v>2.722013</x:v>
      </x:c>
      <x:c r="D1198" s="23" t="n">
        <x:v>-23.48641</x:v>
      </x:c>
      <x:c r="E1198" s="23" t="n">
        <x:f>'Parameters'!$B$2*'Parameters'!$B$3*LN(4*PI()*C1198^2)</x:f>
        <x:v>11.239015080464874</x:v>
      </x:c>
      <x:c r="F1198" s="23" t="n">
        <x:f>D1198+E1198</x:f>
        <x:v>-12.247394919535125</x:v>
      </x:c>
      <x:c r="G1198" s="23" t="n">
        <x:f>AVERAGE($F$1142:$F$1166)</x:f>
        <x:v>-13.488143584366567</x:v>
      </x:c>
      <x:c r="H1198" s="24" t="n">
        <x:f>F1198-G1198</x:f>
        <x:v>1.2407486648314414</x:v>
      </x:c>
    </x:row>
    <x:row r="1199">
      <x:c r="A1199" s="2" t="str">
        <x:v>LiD3-Core</x:v>
      </x:c>
      <x:c r="B1199" s="4" t="str">
        <x:v>NaCl</x:v>
      </x:c>
      <x:c r="C1199" s="23" t="n">
        <x:v>2.734082</x:v>
      </x:c>
      <x:c r="D1199" s="23" t="n">
        <x:v>-23.22061</x:v>
      </x:c>
      <x:c r="E1199" s="23" t="n">
        <x:f>'Parameters'!$B$2*'Parameters'!$B$3*LN(4*PI()*C1199^2)</x:f>
        <x:v>11.260949142234645</x:v>
      </x:c>
      <x:c r="F1199" s="23" t="n">
        <x:f>D1199+E1199</x:f>
        <x:v>-11.959660857765355</x:v>
      </x:c>
      <x:c r="G1199" s="23" t="n">
        <x:f>AVERAGE($F$1142:$F$1166)</x:f>
        <x:v>-13.488143584366567</x:v>
      </x:c>
      <x:c r="H1199" s="24" t="n">
        <x:f>F1199-G1199</x:f>
        <x:v>1.5284827266012115</x:v>
      </x:c>
    </x:row>
    <x:row r="1200">
      <x:c r="A1200" s="2" t="str">
        <x:v>LiD3-Core</x:v>
      </x:c>
      <x:c r="B1200" s="4" t="str">
        <x:v>NaCl</x:v>
      </x:c>
      <x:c r="C1200" s="23" t="n">
        <x:v>2.746151</x:v>
      </x:c>
      <x:c r="D1200" s="23" t="n">
        <x:v>-23.33516</x:v>
      </x:c>
      <x:c r="E1200" s="23" t="n">
        <x:f>'Parameters'!$B$2*'Parameters'!$B$3*LN(4*PI()*C1200^2)</x:f>
        <x:v>11.282786593860529</x:v>
      </x:c>
      <x:c r="F1200" s="23" t="n">
        <x:f>D1200+E1200</x:f>
        <x:v>-12.05237340613947</x:v>
      </x:c>
      <x:c r="G1200" s="23" t="n">
        <x:f>AVERAGE($F$1142:$F$1166)</x:f>
        <x:v>-13.488143584366567</x:v>
      </x:c>
      <x:c r="H1200" s="24" t="n">
        <x:f>F1200-G1200</x:f>
        <x:v>1.4357701782270968</x:v>
      </x:c>
    </x:row>
    <x:row r="1201">
      <x:c r="A1201" s="2" t="str">
        <x:v>LiD3-Core</x:v>
      </x:c>
      <x:c r="B1201" s="4" t="str">
        <x:v>NaCl</x:v>
      </x:c>
      <x:c r="C1201" s="23" t="n">
        <x:v>2.75822</x:v>
      </x:c>
      <x:c r="D1201" s="23" t="n">
        <x:v>-17.44589</x:v>
      </x:c>
      <x:c r="E1201" s="23" t="n">
        <x:f>'Parameters'!$B$2*'Parameters'!$B$3*LN(4*PI()*C1201^2)</x:f>
        <x:v>11.304528282664373</x:v>
      </x:c>
      <x:c r="F1201" s="23" t="n">
        <x:f>D1201+E1201</x:f>
        <x:v>-6.141361717335625</x:v>
      </x:c>
      <x:c r="G1201" s="23" t="n">
        <x:f>AVERAGE($F$1142:$F$1166)</x:f>
        <x:v>-13.488143584366567</x:v>
      </x:c>
      <x:c r="H1201" s="24" t="n">
        <x:f>F1201-G1201</x:f>
        <x:v>7.346781867030941</x:v>
      </x:c>
    </x:row>
    <x:row r="1202">
      <x:c r="A1202" s="2" t="str">
        <x:v>LiD3-Flex</x:v>
      </x:c>
      <x:c r="B1202" s="4" t="str">
        <x:v>LiCl</x:v>
      </x:c>
      <x:c r="C1202" s="23" t="n">
        <x:v>0.2971357</x:v>
      </x:c>
      <x:c r="D1202" s="23" t="n">
        <x:v>0</x:v>
      </x:c>
      <x:c r="E1202" s="23" t="n">
        <x:f>'Parameters'!$B$2*'Parameters'!$B$3*LN(4*PI()*C1202^2)</x:f>
        <x:v>0.25754271949311613</x:v>
      </x:c>
      <x:c r="F1202" s="23" t="n">
        <x:f>D1202+E1202</x:f>
        <x:v>0.25754271949311613</x:v>
      </x:c>
      <x:c r="G1202" s="23" t="n">
        <x:f>AVERAGE($F$1343:$F$1368)</x:f>
        <x:v>-11.724667333805401</x:v>
      </x:c>
      <x:c r="H1202" s="24" t="n">
        <x:f>F1202-G1202</x:f>
        <x:v>11.982210053298518</x:v>
      </x:c>
    </x:row>
    <x:row r="1203">
      <x:c r="A1203" s="2" t="str">
        <x:v>LiD3-Flex</x:v>
      </x:c>
      <x:c r="B1203" s="4" t="str">
        <x:v>LiCl</x:v>
      </x:c>
      <x:c r="C1203" s="23" t="n">
        <x:v>0.3088824</x:v>
      </x:c>
      <x:c r="D1203" s="23" t="n">
        <x:v>-3.110584</x:v>
      </x:c>
      <x:c r="E1203" s="23" t="n">
        <x:f>'Parameters'!$B$2*'Parameters'!$B$3*LN(4*PI()*C1203^2)</x:f>
        <x:v>0.44976940225884315</x:v>
      </x:c>
      <x:c r="F1203" s="23" t="n">
        <x:f>D1203+E1203</x:f>
        <x:v>-2.660814597741157</x:v>
      </x:c>
      <x:c r="G1203" s="23" t="n">
        <x:f>AVERAGE($F$1343:$F$1368)</x:f>
        <x:v>-11.724667333805401</x:v>
      </x:c>
      <x:c r="H1203" s="24" t="n">
        <x:f>F1203-G1203</x:f>
        <x:v>9.063852736064245</x:v>
      </x:c>
    </x:row>
    <x:row r="1204">
      <x:c r="A1204" s="2" t="str">
        <x:v>LiD3-Flex</x:v>
      </x:c>
      <x:c r="B1204" s="4" t="str">
        <x:v>LiCl</x:v>
      </x:c>
      <x:c r="C1204" s="23" t="n">
        <x:v>0.3206291</x:v>
      </x:c>
      <x:c r="D1204" s="23" t="n">
        <x:v>-6.960827</x:v>
      </x:c>
      <x:c r="E1204" s="23" t="n">
        <x:f>'Parameters'!$B$2*'Parameters'!$B$3*LN(4*PI()*C1204^2)</x:f>
        <x:v>0.6348204777219714</x:v>
      </x:c>
      <x:c r="F1204" s="23" t="n">
        <x:f>D1204+E1204</x:f>
        <x:v>-6.326006522278028</x:v>
      </x:c>
      <x:c r="G1204" s="23" t="n">
        <x:f>AVERAGE($F$1343:$F$1368)</x:f>
        <x:v>-11.724667333805401</x:v>
      </x:c>
      <x:c r="H1204" s="24" t="n">
        <x:f>F1204-G1204</x:f>
        <x:v>5.398660811527373</x:v>
      </x:c>
    </x:row>
    <x:row r="1205">
      <x:c r="A1205" s="2" t="str">
        <x:v>LiD3-Flex</x:v>
      </x:c>
      <x:c r="B1205" s="4" t="str">
        <x:v>LiCl</x:v>
      </x:c>
      <x:c r="C1205" s="23" t="n">
        <x:v>0.3323758</x:v>
      </x:c>
      <x:c r="D1205" s="23" t="n">
        <x:v>-8.113935</x:v>
      </x:c>
      <x:c r="E1205" s="23" t="n">
        <x:f>'Parameters'!$B$2*'Parameters'!$B$3*LN(4*PI()*C1205^2)</x:f>
        <x:v>0.813212438396445</x:v>
      </x:c>
      <x:c r="F1205" s="23" t="n">
        <x:f>D1205+E1205</x:f>
        <x:v>-7.300722561603555</x:v>
      </x:c>
      <x:c r="G1205" s="23" t="n">
        <x:f>AVERAGE($F$1343:$F$1368)</x:f>
        <x:v>-11.724667333805401</x:v>
      </x:c>
      <x:c r="H1205" s="24" t="n">
        <x:f>F1205-G1205</x:f>
        <x:v>4.423944772201846</x:v>
      </x:c>
    </x:row>
    <x:row r="1206">
      <x:c r="A1206" s="2" t="str">
        <x:v>LiD3-Flex</x:v>
      </x:c>
      <x:c r="B1206" s="4" t="str">
        <x:v>LiCl</x:v>
      </x:c>
      <x:c r="C1206" s="23" t="n">
        <x:v>0.3441224</x:v>
      </x:c>
      <x:c r="D1206" s="23" t="n">
        <x:v>-8.840225</x:v>
      </x:c>
      <x:c r="E1206" s="23" t="n">
        <x:f>'Parameters'!$B$2*'Parameters'!$B$3*LN(4*PI()*C1206^2)</x:f>
        <x:v>0.9854065030078026</x:v>
      </x:c>
      <x:c r="F1206" s="23" t="n">
        <x:f>D1206+E1206</x:f>
        <x:v>-7.8548184969921975</x:v>
      </x:c>
      <x:c r="G1206" s="23" t="n">
        <x:f>AVERAGE($F$1343:$F$1368)</x:f>
        <x:v>-11.724667333805401</x:v>
      </x:c>
      <x:c r="H1206" s="24" t="n">
        <x:f>F1206-G1206</x:f>
        <x:v>3.869848836813204</x:v>
      </x:c>
    </x:row>
    <x:row r="1207">
      <x:c r="A1207" s="2" t="str">
        <x:v>LiD3-Flex</x:v>
      </x:c>
      <x:c r="B1207" s="4" t="str">
        <x:v>LiCl</x:v>
      </x:c>
      <x:c r="C1207" s="23" t="n">
        <x:v>0.3558691</x:v>
      </x:c>
      <x:c r="D1207" s="23" t="n">
        <x:v>-9.842494</x:v>
      </x:c>
      <x:c r="E1207" s="23" t="n">
        <x:f>'Parameters'!$B$2*'Parameters'!$B$3*LN(4*PI()*C1207^2)</x:f>
        <x:v>1.1518216577258578</x:v>
      </x:c>
      <x:c r="F1207" s="23" t="n">
        <x:f>D1207+E1207</x:f>
        <x:v>-8.690672342274143</x:v>
      </x:c>
      <x:c r="G1207" s="23" t="n">
        <x:f>AVERAGE($F$1343:$F$1368)</x:f>
        <x:v>-11.724667333805401</x:v>
      </x:c>
      <x:c r="H1207" s="24" t="n">
        <x:f>F1207-G1207</x:f>
        <x:v>3.0339949915312587</x:v>
      </x:c>
    </x:row>
    <x:row r="1208">
      <x:c r="A1208" s="2" t="str">
        <x:v>LiD3-Flex</x:v>
      </x:c>
      <x:c r="B1208" s="4" t="str">
        <x:v>LiCl</x:v>
      </x:c>
      <x:c r="C1208" s="23" t="n">
        <x:v>0.3676158</x:v>
      </x:c>
      <x:c r="D1208" s="23" t="n">
        <x:v>-12.02985</x:v>
      </x:c>
      <x:c r="E1208" s="23" t="n">
        <x:f>'Parameters'!$B$2*'Parameters'!$B$3*LN(4*PI()*C1208^2)</x:f>
        <x:v>1.3128319220449705</x:v>
      </x:c>
      <x:c r="F1208" s="23" t="n">
        <x:f>D1208+E1208</x:f>
        <x:v>-10.717018077955029</x:v>
      </x:c>
      <x:c r="G1208" s="23" t="n">
        <x:f>AVERAGE($F$1343:$F$1368)</x:f>
        <x:v>-11.724667333805401</x:v>
      </x:c>
      <x:c r="H1208" s="24" t="n">
        <x:f>F1208-G1208</x:f>
        <x:v>1.0076492558503727</x:v>
      </x:c>
    </x:row>
    <x:row r="1209">
      <x:c r="A1209" s="2" t="str">
        <x:v>LiD3-Flex</x:v>
      </x:c>
      <x:c r="B1209" s="4" t="str">
        <x:v>LiCl</x:v>
      </x:c>
      <x:c r="C1209" s="23" t="n">
        <x:v>0.3793625</x:v>
      </x:c>
      <x:c r="D1209" s="23" t="n">
        <x:v>-14.19073</x:v>
      </x:c>
      <x:c r="E1209" s="23" t="n">
        <x:f>'Parameters'!$B$2*'Parameters'!$B$3*LN(4*PI()*C1209^2)</x:f>
        <x:v>1.468777363954427</x:v>
      </x:c>
      <x:c r="F1209" s="23" t="n">
        <x:f>D1209+E1209</x:f>
        <x:v>-12.721952636045573</x:v>
      </x:c>
      <x:c r="G1209" s="23" t="n">
        <x:f>AVERAGE($F$1343:$F$1368)</x:f>
        <x:v>-11.724667333805401</x:v>
      </x:c>
      <x:c r="H1209" s="24" t="n">
        <x:f>F1209-G1209</x:f>
        <x:v>-0.9972853022401722</x:v>
      </x:c>
    </x:row>
    <x:row r="1210">
      <x:c r="A1210" s="2" t="str">
        <x:v>LiD3-Flex</x:v>
      </x:c>
      <x:c r="B1210" s="4" t="str">
        <x:v>LiCl</x:v>
      </x:c>
      <x:c r="C1210" s="23" t="n">
        <x:v>0.3911092</x:v>
      </x:c>
      <x:c r="D1210" s="23" t="n">
        <x:v>-16.48113</x:v>
      </x:c>
      <x:c r="E1210" s="23" t="n">
        <x:f>'Parameters'!$B$2*'Parameters'!$B$3*LN(4*PI()*C1210^2)</x:f>
        <x:v>1.6199669330311428</x:v>
      </x:c>
      <x:c r="F1210" s="23" t="n">
        <x:f>D1210+E1210</x:f>
        <x:v>-14.861163066968857</x:v>
      </x:c>
      <x:c r="G1210" s="23" t="n">
        <x:f>AVERAGE($F$1343:$F$1368)</x:f>
        <x:v>-11.724667333805401</x:v>
      </x:c>
      <x:c r="H1210" s="24" t="n">
        <x:f>F1210-G1210</x:f>
        <x:v>-3.1364957331634553</x:v>
      </x:c>
    </x:row>
    <x:row r="1211">
      <x:c r="A1211" s="2" t="str">
        <x:v>LiD3-Flex</x:v>
      </x:c>
      <x:c r="B1211" s="4" t="str">
        <x:v>LiCl</x:v>
      </x:c>
      <x:c r="C1211" s="23" t="n">
        <x:v>0.4028559</x:v>
      </x:c>
      <x:c r="D1211" s="23" t="n">
        <x:v>-18.1085</x:v>
      </x:c>
      <x:c r="E1211" s="23" t="n">
        <x:f>'Parameters'!$B$2*'Parameters'!$B$3*LN(4*PI()*C1211^2)</x:f>
        <x:v>1.7666821450419898</x:v>
      </x:c>
      <x:c r="F1211" s="23" t="n">
        <x:f>D1211+E1211</x:f>
        <x:v>-16.34181785495801</x:v>
      </x:c>
      <x:c r="G1211" s="23" t="n">
        <x:f>AVERAGE($F$1343:$F$1368)</x:f>
        <x:v>-11.724667333805401</x:v>
      </x:c>
      <x:c r="H1211" s="24" t="n">
        <x:f>F1211-G1211</x:f>
        <x:v>-4.617150521152608</x:v>
      </x:c>
    </x:row>
    <x:row r="1212">
      <x:c r="A1212" s="2" t="str">
        <x:v>LiD3-Flex</x:v>
      </x:c>
      <x:c r="B1212" s="4" t="str">
        <x:v>LiCl</x:v>
      </x:c>
      <x:c r="C1212" s="23" t="n">
        <x:v>0.4146026</x:v>
      </x:c>
      <x:c r="D1212" s="23" t="n">
        <x:v>-19.69049</x:v>
      </x:c>
      <x:c r="E1212" s="23" t="n">
        <x:f>'Parameters'!$B$2*'Parameters'!$B$3*LN(4*PI()*C1212^2)</x:f>
        <x:v>1.9091802368405468</x:v>
      </x:c>
      <x:c r="F1212" s="23" t="n">
        <x:f>D1212+E1212</x:f>
        <x:v>-17.781309763159452</x:v>
      </x:c>
      <x:c r="G1212" s="23" t="n">
        <x:f>AVERAGE($F$1343:$F$1368)</x:f>
        <x:v>-11.724667333805401</x:v>
      </x:c>
      <x:c r="H1212" s="24" t="n">
        <x:f>F1212-G1212</x:f>
        <x:v>-6.056642429354051</x:v>
      </x:c>
    </x:row>
    <x:row r="1213">
      <x:c r="A1213" s="2" t="str">
        <x:v>LiD3-Flex</x:v>
      </x:c>
      <x:c r="B1213" s="4" t="str">
        <x:v>LiCl</x:v>
      </x:c>
      <x:c r="C1213" s="23" t="n">
        <x:v>0.4263493</x:v>
      </x:c>
      <x:c r="D1213" s="23" t="n">
        <x:v>-21.23785</x:v>
      </x:c>
      <x:c r="E1213" s="23" t="n">
        <x:f>'Parameters'!$B$2*'Parameters'!$B$3*LN(4*PI()*C1213^2)</x:f>
        <x:v>2.047696880391833</x:v>
      </x:c>
      <x:c r="F1213" s="23" t="n">
        <x:f>D1213+E1213</x:f>
        <x:v>-19.19015311960817</x:v>
      </x:c>
      <x:c r="G1213" s="23" t="n">
        <x:f>AVERAGE($F$1343:$F$1368)</x:f>
        <x:v>-11.724667333805401</x:v>
      </x:c>
      <x:c r="H1213" s="24" t="n">
        <x:f>F1213-G1213</x:f>
        <x:v>-7.465485785802768</x:v>
      </x:c>
    </x:row>
    <x:row r="1214">
      <x:c r="A1214" s="2" t="str">
        <x:v>LiD3-Flex</x:v>
      </x:c>
      <x:c r="B1214" s="4" t="str">
        <x:v>LiCl</x:v>
      </x:c>
      <x:c r="C1214" s="23" t="n">
        <x:v>0.438096</x:v>
      </x:c>
      <x:c r="D1214" s="23" t="n">
        <x:v>-22.74608</x:v>
      </x:c>
      <x:c r="E1214" s="23" t="n">
        <x:f>'Parameters'!$B$2*'Parameters'!$B$3*LN(4*PI()*C1214^2)</x:f>
        <x:v>2.182448527849474</x:v>
      </x:c>
      <x:c r="F1214" s="23" t="n">
        <x:f>D1214+E1214</x:f>
        <x:v>-20.563631472150526</x:v>
      </x:c>
      <x:c r="G1214" s="23" t="n">
        <x:f>AVERAGE($F$1343:$F$1368)</x:f>
        <x:v>-11.724667333805401</x:v>
      </x:c>
      <x:c r="H1214" s="24" t="n">
        <x:f>F1214-G1214</x:f>
        <x:v>-8.838964138345125</x:v>
      </x:c>
    </x:row>
    <x:row r="1215">
      <x:c r="A1215" s="2" t="str">
        <x:v>LiD3-Flex</x:v>
      </x:c>
      <x:c r="B1215" s="4" t="str">
        <x:v>LiCl</x:v>
      </x:c>
      <x:c r="C1215" s="23" t="n">
        <x:v>0.4498427</x:v>
      </x:c>
      <x:c r="D1215" s="23" t="n">
        <x:v>-23.87939</x:v>
      </x:c>
      <x:c r="E1215" s="23" t="n">
        <x:f>'Parameters'!$B$2*'Parameters'!$B$3*LN(4*PI()*C1215^2)</x:f>
        <x:v>2.3136344462818452</x:v>
      </x:c>
      <x:c r="F1215" s="23" t="n">
        <x:f>D1215+E1215</x:f>
        <x:v>-21.565755553718155</x:v>
      </x:c>
      <x:c r="G1215" s="23" t="n">
        <x:f>AVERAGE($F$1343:$F$1368)</x:f>
        <x:v>-11.724667333805401</x:v>
      </x:c>
      <x:c r="H1215" s="24" t="n">
        <x:f>F1215-G1215</x:f>
        <x:v>-9.841088219912754</x:v>
      </x:c>
    </x:row>
    <x:row r="1216">
      <x:c r="A1216" s="2" t="str">
        <x:v>LiD3-Flex</x:v>
      </x:c>
      <x:c r="B1216" s="4" t="str">
        <x:v>LiCl</x:v>
      </x:c>
      <x:c r="C1216" s="23" t="n">
        <x:v>0.4615894</x:v>
      </x:c>
      <x:c r="D1216" s="23" t="n">
        <x:v>-23.93909</x:v>
      </x:c>
      <x:c r="E1216" s="23" t="n">
        <x:f>'Parameters'!$B$2*'Parameters'!$B$3*LN(4*PI()*C1216^2)</x:f>
        <x:v>2.441438490065739</x:v>
      </x:c>
      <x:c r="F1216" s="23" t="n">
        <x:f>D1216+E1216</x:f>
        <x:v>-21.49765150993426</x:v>
      </x:c>
      <x:c r="G1216" s="23" t="n">
        <x:f>AVERAGE($F$1343:$F$1368)</x:f>
        <x:v>-11.724667333805401</x:v>
      </x:c>
      <x:c r="H1216" s="24" t="n">
        <x:f>F1216-G1216</x:f>
        <x:v>-9.77298417612886</x:v>
      </x:c>
    </x:row>
    <x:row r="1217">
      <x:c r="A1217" s="2" t="str">
        <x:v>LiD3-Flex</x:v>
      </x:c>
      <x:c r="B1217" s="4" t="str">
        <x:v>LiCl</x:v>
      </x:c>
      <x:c r="C1217" s="23" t="n">
        <x:v>0.4733361</x:v>
      </x:c>
      <x:c r="D1217" s="23" t="n">
        <x:v>-23.3057</x:v>
      </x:c>
      <x:c r="E1217" s="23" t="n">
        <x:f>'Parameters'!$B$2*'Parameters'!$B$3*LN(4*PI()*C1217^2)</x:f>
        <x:v>2.5660306505156854</x:v>
      </x:c>
      <x:c r="F1217" s="23" t="n">
        <x:f>D1217+E1217</x:f>
        <x:v>-20.739669349484316</x:v>
      </x:c>
      <x:c r="G1217" s="23" t="n">
        <x:f>AVERAGE($F$1343:$F$1368)</x:f>
        <x:v>-11.724667333805401</x:v>
      </x:c>
      <x:c r="H1217" s="24" t="n">
        <x:f>F1217-G1217</x:f>
        <x:v>-9.015002015678915</x:v>
      </x:c>
    </x:row>
    <x:row r="1218">
      <x:c r="A1218" s="2" t="str">
        <x:v>LiD3-Flex</x:v>
      </x:c>
      <x:c r="B1218" s="4" t="str">
        <x:v>LiCl</x:v>
      </x:c>
      <x:c r="C1218" s="23" t="n">
        <x:v>0.4850828</x:v>
      </x:c>
      <x:c r="D1218" s="23" t="n">
        <x:v>-22.07608</x:v>
      </x:c>
      <x:c r="E1218" s="23" t="n">
        <x:f>'Parameters'!$B$2*'Parameters'!$B$3*LN(4*PI()*C1218^2)</x:f>
        <x:v>2.6875684155246624</x:v>
      </x:c>
      <x:c r="F1218" s="23" t="n">
        <x:f>D1218+E1218</x:f>
        <x:v>-19.38851158447534</x:v>
      </x:c>
      <x:c r="G1218" s="23" t="n">
        <x:f>AVERAGE($F$1343:$F$1368)</x:f>
        <x:v>-11.724667333805401</x:v>
      </x:c>
      <x:c r="H1218" s="24" t="n">
        <x:f>F1218-G1218</x:f>
        <x:v>-7.663844250669937</x:v>
      </x:c>
    </x:row>
    <x:row r="1219">
      <x:c r="A1219" s="2" t="str">
        <x:v>LiD3-Flex</x:v>
      </x:c>
      <x:c r="B1219" s="4" t="str">
        <x:v>LiCl</x:v>
      </x:c>
      <x:c r="C1219" s="23" t="n">
        <x:v>0.4968295</x:v>
      </x:c>
      <x:c r="D1219" s="23" t="n">
        <x:v>-20.99491</x:v>
      </x:c>
      <x:c r="E1219" s="23" t="n">
        <x:f>'Parameters'!$B$2*'Parameters'!$B$3*LN(4*PI()*C1219^2)</x:f>
        <x:v>2.8061979665002053</x:v>
      </x:c>
      <x:c r="F1219" s="23" t="n">
        <x:f>D1219+E1219</x:f>
        <x:v>-18.188712033499797</x:v>
      </x:c>
      <x:c r="G1219" s="23" t="n">
        <x:f>AVERAGE($F$1343:$F$1368)</x:f>
        <x:v>-11.724667333805401</x:v>
      </x:c>
      <x:c r="H1219" s="24" t="n">
        <x:f>F1219-G1219</x:f>
        <x:v>-6.464044699694396</x:v>
      </x:c>
    </x:row>
    <x:row r="1220">
      <x:c r="A1220" s="2" t="str">
        <x:v>LiD3-Flex</x:v>
      </x:c>
      <x:c r="B1220" s="4" t="str">
        <x:v>LiCl</x:v>
      </x:c>
      <x:c r="C1220" s="23" t="n">
        <x:v>0.5085761</x:v>
      </x:c>
      <x:c r="D1220" s="23" t="n">
        <x:v>-19.6417</x:v>
      </x:c>
      <x:c r="E1220" s="23" t="n">
        <x:f>'Parameters'!$B$2*'Parameters'!$B$3*LN(4*PI()*C1220^2)</x:f>
        <x:v>2.922054260553679</x:v>
      </x:c>
      <x:c r="F1220" s="23" t="n">
        <x:f>D1220+E1220</x:f>
        <x:v>-16.71964573944632</x:v>
      </x:c>
      <x:c r="G1220" s="23" t="n">
        <x:f>AVERAGE($F$1343:$F$1368)</x:f>
        <x:v>-11.724667333805401</x:v>
      </x:c>
      <x:c r="H1220" s="24" t="n">
        <x:f>F1220-G1220</x:f>
        <x:v>-4.99497840564092</x:v>
      </x:c>
    </x:row>
    <x:row r="1221">
      <x:c r="A1221" s="2" t="str">
        <x:v>LiD3-Flex</x:v>
      </x:c>
      <x:c r="B1221" s="4" t="str">
        <x:v>LiCl</x:v>
      </x:c>
      <x:c r="C1221" s="23" t="n">
        <x:v>0.5203228</x:v>
      </x:c>
      <x:c r="D1221" s="23" t="n">
        <x:v>-18.31748</x:v>
      </x:c>
      <x:c r="E1221" s="23" t="n">
        <x:f>'Parameters'!$B$2*'Parameters'!$B$3*LN(4*PI()*C1221^2)</x:f>
        <x:v>3.035265888291815</x:v>
      </x:c>
      <x:c r="F1221" s="23" t="n">
        <x:f>D1221+E1221</x:f>
        <x:v>-15.282214111708186</x:v>
      </x:c>
      <x:c r="G1221" s="23" t="n">
        <x:f>AVERAGE($F$1343:$F$1368)</x:f>
        <x:v>-11.724667333805401</x:v>
      </x:c>
      <x:c r="H1221" s="24" t="n">
        <x:f>F1221-G1221</x:f>
        <x:v>-3.5575467779027843</x:v>
      </x:c>
    </x:row>
    <x:row r="1222">
      <x:c r="A1222" s="2" t="str">
        <x:v>LiD3-Flex</x:v>
      </x:c>
      <x:c r="B1222" s="4" t="str">
        <x:v>LiCl</x:v>
      </x:c>
      <x:c r="C1222" s="23" t="n">
        <x:v>0.5320695</x:v>
      </x:c>
      <x:c r="D1222" s="23" t="n">
        <x:v>-17.17601</x:v>
      </x:c>
      <x:c r="E1222" s="23" t="n">
        <x:f>'Parameters'!$B$2*'Parameters'!$B$3*LN(4*PI()*C1222^2)</x:f>
        <x:v>3.145949989445898</x:v>
      </x:c>
      <x:c r="F1222" s="23" t="n">
        <x:f>D1222+E1222</x:f>
        <x:v>-14.030060010554104</x:v>
      </x:c>
      <x:c r="G1222" s="23" t="n">
        <x:f>AVERAGE($F$1343:$F$1368)</x:f>
        <x:v>-11.724667333805401</x:v>
      </x:c>
      <x:c r="H1222" s="24" t="n">
        <x:f>F1222-G1222</x:f>
        <x:v>-2.3053926767487027</x:v>
      </x:c>
    </x:row>
    <x:row r="1223">
      <x:c r="A1223" s="2" t="str">
        <x:v>LiD3-Flex</x:v>
      </x:c>
      <x:c r="B1223" s="4" t="str">
        <x:v>LiCl</x:v>
      </x:c>
      <x:c r="C1223" s="23" t="n">
        <x:v>0.5438162</x:v>
      </x:c>
      <x:c r="D1223" s="23" t="n">
        <x:v>-16.20532</x:v>
      </x:c>
      <x:c r="E1223" s="23" t="n">
        <x:f>'Parameters'!$B$2*'Parameters'!$B$3*LN(4*PI()*C1223^2)</x:f>
        <x:v>3.2542169613060032</x:v>
      </x:c>
      <x:c r="F1223" s="23" t="n">
        <x:f>D1223+E1223</x:f>
        <x:v>-12.951103038693997</x:v>
      </x:c>
      <x:c r="G1223" s="23" t="n">
        <x:f>AVERAGE($F$1343:$F$1368)</x:f>
        <x:v>-11.724667333805401</x:v>
      </x:c>
      <x:c r="H1223" s="24" t="n">
        <x:f>F1223-G1223</x:f>
        <x:v>-1.2264357048885959</x:v>
      </x:c>
    </x:row>
    <x:row r="1224">
      <x:c r="A1224" s="2" t="str">
        <x:v>LiD3-Flex</x:v>
      </x:c>
      <x:c r="B1224" s="4" t="str">
        <x:v>LiCl</x:v>
      </x:c>
      <x:c r="C1224" s="23" t="n">
        <x:v>0.5555629</x:v>
      </x:c>
      <x:c r="D1224" s="23" t="n">
        <x:v>-15.24777</x:v>
      </x:c>
      <x:c r="E1224" s="23" t="n">
        <x:f>'Parameters'!$B$2*'Parameters'!$B$3*LN(4*PI()*C1224^2)</x:f>
        <x:v>3.360170122577935</x:v>
      </x:c>
      <x:c r="F1224" s="23" t="n">
        <x:f>D1224+E1224</x:f>
        <x:v>-11.887599877422064</x:v>
      </x:c>
      <x:c r="G1224" s="23" t="n">
        <x:f>AVERAGE($F$1343:$F$1368)</x:f>
        <x:v>-11.724667333805401</x:v>
      </x:c>
      <x:c r="H1224" s="24" t="n">
        <x:f>F1224-G1224</x:f>
        <x:v>-0.16293254361666243</x:v>
      </x:c>
    </x:row>
    <x:row r="1225">
      <x:c r="A1225" s="2" t="str">
        <x:v>LiD3-Flex</x:v>
      </x:c>
      <x:c r="B1225" s="4" t="str">
        <x:v>LiCl</x:v>
      </x:c>
      <x:c r="C1225" s="23" t="n">
        <x:v>0.5673096</x:v>
      </x:c>
      <x:c r="D1225" s="23" t="n">
        <x:v>-15.50394</x:v>
      </x:c>
      <x:c r="E1225" s="23" t="n">
        <x:f>'Parameters'!$B$2*'Parameters'!$B$3*LN(4*PI()*C1225^2)</x:f>
        <x:v>3.463906305905362</x:v>
      </x:c>
      <x:c r="F1225" s="23" t="n">
        <x:f>D1225+E1225</x:f>
        <x:v>-12.040033694094639</x:v>
      </x:c>
      <x:c r="G1225" s="23" t="n">
        <x:f>AVERAGE($F$1343:$F$1368)</x:f>
        <x:v>-11.724667333805401</x:v>
      </x:c>
      <x:c r="H1225" s="24" t="n">
        <x:f>F1225-G1225</x:f>
        <x:v>-0.3153663602892376</x:v>
      </x:c>
    </x:row>
    <x:row r="1226">
      <x:c r="A1226" s="2" t="str">
        <x:v>LiD3-Flex</x:v>
      </x:c>
      <x:c r="B1226" s="4" t="str">
        <x:v>LiCl</x:v>
      </x:c>
      <x:c r="C1226" s="23" t="n">
        <x:v>0.5790563</x:v>
      </x:c>
      <x:c r="D1226" s="23" t="n">
        <x:v>-15.56659</x:v>
      </x:c>
      <x:c r="E1226" s="23" t="n">
        <x:f>'Parameters'!$B$2*'Parameters'!$B$3*LN(4*PI()*C1226^2)</x:f>
        <x:v>3.565516389663326</x:v>
      </x:c>
      <x:c r="F1226" s="23" t="n">
        <x:f>D1226+E1226</x:f>
        <x:v>-12.001073610336674</x:v>
      </x:c>
      <x:c r="G1226" s="23" t="n">
        <x:f>AVERAGE($F$1343:$F$1368)</x:f>
        <x:v>-11.724667333805401</x:v>
      </x:c>
      <x:c r="H1226" s="24" t="n">
        <x:f>F1226-G1226</x:f>
        <x:v>-0.27640627653127225</x:v>
      </x:c>
    </x:row>
    <x:row r="1227">
      <x:c r="A1227" s="2" t="str">
        <x:v>LiD3-Flex</x:v>
      </x:c>
      <x:c r="B1227" s="4" t="str">
        <x:v>LiCl</x:v>
      </x:c>
      <x:c r="C1227" s="23" t="n">
        <x:v>0.590803</x:v>
      </x:c>
      <x:c r="D1227" s="23" t="n">
        <x:v>-15.36821</x:v>
      </x:c>
      <x:c r="E1227" s="23" t="n">
        <x:f>'Parameters'!$B$2*'Parameters'!$B$3*LN(4*PI()*C1227^2)</x:f>
        <x:v>3.665085776342364</x:v>
      </x:c>
      <x:c r="F1227" s="23" t="n">
        <x:f>D1227+E1227</x:f>
        <x:v>-11.703124223657635</x:v>
      </x:c>
      <x:c r="G1227" s="23" t="n">
        <x:f>AVERAGE($F$1343:$F$1368)</x:f>
        <x:v>-11.724667333805401</x:v>
      </x:c>
      <x:c r="H1227" s="24" t="n">
        <x:f>F1227-G1227</x:f>
        <x:v>0.021543110147765887</x:v>
      </x:c>
    </x:row>
    <x:row r="1228">
      <x:c r="A1228" s="2" t="str">
        <x:v>LiD3-Flex</x:v>
      </x:c>
      <x:c r="B1228" s="4" t="str">
        <x:v>LiCl</x:v>
      </x:c>
      <x:c r="C1228" s="23" t="n">
        <x:v>0.6025497</x:v>
      </x:c>
      <x:c r="D1228" s="23" t="n">
        <x:v>-15.75903</x:v>
      </x:c>
      <x:c r="E1228" s="23" t="n">
        <x:f>'Parameters'!$B$2*'Parameters'!$B$3*LN(4*PI()*C1228^2)</x:f>
        <x:v>3.762694823833545</x:v>
      </x:c>
      <x:c r="F1228" s="23" t="n">
        <x:f>D1228+E1228</x:f>
        <x:v>-11.996335176166454</x:v>
      </x:c>
      <x:c r="G1228" s="23" t="n">
        <x:f>AVERAGE($F$1343:$F$1368)</x:f>
        <x:v>-11.724667333805401</x:v>
      </x:c>
      <x:c r="H1228" s="24" t="n">
        <x:f>F1228-G1228</x:f>
        <x:v>-0.2716678423610528</x:v>
      </x:c>
    </x:row>
    <x:row r="1229">
      <x:c r="A1229" s="2" t="str">
        <x:v>LiD3-Flex</x:v>
      </x:c>
      <x:c r="B1229" s="4" t="str">
        <x:v>LiCl</x:v>
      </x:c>
      <x:c r="C1229" s="23" t="n">
        <x:v>0.6142964</x:v>
      </x:c>
      <x:c r="D1229" s="23" t="n">
        <x:v>-16.19813</x:v>
      </x:c>
      <x:c r="E1229" s="23" t="n">
        <x:f>'Parameters'!$B$2*'Parameters'!$B$3*LN(4*PI()*C1229^2)</x:f>
        <x:v>3.858419235071688</x:v>
      </x:c>
      <x:c r="F1229" s="23" t="n">
        <x:f>D1229+E1229</x:f>
        <x:v>-12.339710764928311</x:v>
      </x:c>
      <x:c r="G1229" s="23" t="n">
        <x:f>AVERAGE($F$1343:$F$1368)</x:f>
        <x:v>-11.724667333805401</x:v>
      </x:c>
      <x:c r="H1229" s="24" t="n">
        <x:f>F1229-G1229</x:f>
        <x:v>-0.6150434311229098</x:v>
      </x:c>
    </x:row>
    <x:row r="1230">
      <x:c r="A1230" s="2" t="str">
        <x:v>LiD3-Flex</x:v>
      </x:c>
      <x:c r="B1230" s="4" t="str">
        <x:v>LiCl</x:v>
      </x:c>
      <x:c r="C1230" s="23" t="n">
        <x:v>0.6260431</x:v>
      </x:c>
      <x:c r="D1230" s="23" t="n">
        <x:v>-16.59071</x:v>
      </x:c>
      <x:c r="E1230" s="23" t="n">
        <x:f>'Parameters'!$B$2*'Parameters'!$B$3*LN(4*PI()*C1230^2)</x:f>
        <x:v>3.952330410770253</x:v>
      </x:c>
      <x:c r="F1230" s="23" t="n">
        <x:f>D1230+E1230</x:f>
        <x:v>-12.638379589229748</x:v>
      </x:c>
      <x:c r="G1230" s="23" t="n">
        <x:f>AVERAGE($F$1343:$F$1368)</x:f>
        <x:v>-11.724667333805401</x:v>
      </x:c>
      <x:c r="H1230" s="24" t="n">
        <x:f>F1230-G1230</x:f>
        <x:v>-0.9137122554243469</x:v>
      </x:c>
    </x:row>
    <x:row r="1231">
      <x:c r="A1231" s="2" t="str">
        <x:v>LiD3-Flex</x:v>
      </x:c>
      <x:c r="B1231" s="4" t="str">
        <x:v>LiCl</x:v>
      </x:c>
      <x:c r="C1231" s="23" t="n">
        <x:v>0.6377898</x:v>
      </x:c>
      <x:c r="D1231" s="23" t="n">
        <x:v>-16.89733</x:v>
      </x:c>
      <x:c r="E1231" s="23" t="n">
        <x:f>'Parameters'!$B$2*'Parameters'!$B$3*LN(4*PI()*C1231^2)</x:f>
        <x:v>4.044495769365326</x:v>
      </x:c>
      <x:c r="F1231" s="23" t="n">
        <x:f>D1231+E1231</x:f>
        <x:v>-12.852834230634674</x:v>
      </x:c>
      <x:c r="G1231" s="23" t="n">
        <x:f>AVERAGE($F$1343:$F$1368)</x:f>
        <x:v>-11.724667333805401</x:v>
      </x:c>
      <x:c r="H1231" s="24" t="n">
        <x:f>F1231-G1231</x:f>
        <x:v>-1.1281668968292724</x:v>
      </x:c>
    </x:row>
    <x:row r="1232">
      <x:c r="A1232" s="2" t="str">
        <x:v>LiD3-Flex</x:v>
      </x:c>
      <x:c r="B1232" s="4" t="str">
        <x:v>LiCl</x:v>
      </x:c>
      <x:c r="C1232" s="23" t="n">
        <x:v>0.6495365</x:v>
      </x:c>
      <x:c r="D1232" s="23" t="n">
        <x:v>-17.09177</x:v>
      </x:c>
      <x:c r="E1232" s="23" t="n">
        <x:f>'Parameters'!$B$2*'Parameters'!$B$3*LN(4*PI()*C1232^2)</x:f>
        <x:v>4.134979037760002</x:v>
      </x:c>
      <x:c r="F1232" s="23" t="n">
        <x:f>D1232+E1232</x:f>
        <x:v>-12.95679096224</x:v>
      </x:c>
      <x:c r="G1232" s="23" t="n">
        <x:f>AVERAGE($F$1343:$F$1368)</x:f>
        <x:v>-11.724667333805401</x:v>
      </x:c>
      <x:c r="H1232" s="24" t="n">
        <x:f>F1232-G1232</x:f>
        <x:v>-1.2321236284345982</x:v>
      </x:c>
    </x:row>
    <x:row r="1233">
      <x:c r="A1233" s="2" t="str">
        <x:v>LiD3-Flex</x:v>
      </x:c>
      <x:c r="B1233" s="4" t="str">
        <x:v>LiCl</x:v>
      </x:c>
      <x:c r="C1233" s="23" t="n">
        <x:v>0.6612831</x:v>
      </x:c>
      <x:c r="D1233" s="23" t="n">
        <x:v>-17.42681</x:v>
      </x:c>
      <x:c r="E1233" s="23" t="n">
        <x:f>'Parameters'!$B$2*'Parameters'!$B$3*LN(4*PI()*C1233^2)</x:f>
        <x:v>4.223839766268302</x:v>
      </x:c>
      <x:c r="F1233" s="23" t="n">
        <x:f>D1233+E1233</x:f>
        <x:v>-13.202970233731698</x:v>
      </x:c>
      <x:c r="G1233" s="23" t="n">
        <x:f>AVERAGE($F$1343:$F$1368)</x:f>
        <x:v>-11.724667333805401</x:v>
      </x:c>
      <x:c r="H1233" s="24" t="n">
        <x:f>F1233-G1233</x:f>
        <x:v>-1.4783028999262964</x:v>
      </x:c>
    </x:row>
    <x:row r="1234">
      <x:c r="A1234" s="2" t="str">
        <x:v>LiD3-Flex</x:v>
      </x:c>
      <x:c r="B1234" s="4" t="str">
        <x:v>LiCl</x:v>
      </x:c>
      <x:c r="C1234" s="23" t="n">
        <x:v>0.6730298</x:v>
      </x:c>
      <x:c r="D1234" s="23" t="n">
        <x:v>-17.49838</x:v>
      </x:c>
      <x:c r="E1234" s="23" t="n">
        <x:f>'Parameters'!$B$2*'Parameters'!$B$3*LN(4*PI()*C1234^2)</x:f>
        <x:v>4.311136582046564</x:v>
      </x:c>
      <x:c r="F1234" s="23" t="n">
        <x:f>D1234+E1234</x:f>
        <x:v>-13.187243417953436</x:v>
      </x:c>
      <x:c r="G1234" s="23" t="n">
        <x:f>AVERAGE($F$1343:$F$1368)</x:f>
        <x:v>-11.724667333805401</x:v>
      </x:c>
      <x:c r="H1234" s="24" t="n">
        <x:f>F1234-G1234</x:f>
        <x:v>-1.4625760841480346</x:v>
      </x:c>
    </x:row>
    <x:row r="1235">
      <x:c r="A1235" s="2" t="str">
        <x:v>LiD3-Flex</x:v>
      </x:c>
      <x:c r="B1235" s="4" t="str">
        <x:v>LiCl</x:v>
      </x:c>
      <x:c r="C1235" s="23" t="n">
        <x:v>0.6847765</x:v>
      </x:c>
      <x:c r="D1235" s="23" t="n">
        <x:v>-17.44918</x:v>
      </x:c>
      <x:c r="E1235" s="23" t="n">
        <x:f>'Parameters'!$B$2*'Parameters'!$B$3*LN(4*PI()*C1235^2)</x:f>
        <x:v>4.396922871433171</x:v>
      </x:c>
      <x:c r="F1235" s="23" t="n">
        <x:f>D1235+E1235</x:f>
        <x:v>-13.052257128566827</x:v>
      </x:c>
      <x:c r="G1235" s="23" t="n">
        <x:f>AVERAGE($F$1343:$F$1368)</x:f>
        <x:v>-11.724667333805401</x:v>
      </x:c>
      <x:c r="H1235" s="24" t="n">
        <x:f>F1235-G1235</x:f>
        <x:v>-1.3275897947614261</x:v>
      </x:c>
    </x:row>
    <x:row r="1236">
      <x:c r="A1236" s="2" t="str">
        <x:v>LiD3-Flex</x:v>
      </x:c>
      <x:c r="B1236" s="4" t="str">
        <x:v>LiCl</x:v>
      </x:c>
      <x:c r="C1236" s="23" t="n">
        <x:v>0.6965232</x:v>
      </x:c>
      <x:c r="D1236" s="23" t="n">
        <x:v>-17.49543</x:v>
      </x:c>
      <x:c r="E1236" s="23" t="n">
        <x:f>'Parameters'!$B$2*'Parameters'!$B$3*LN(4*PI()*C1236^2)</x:f>
        <x:v>4.481250020832221</x:v>
      </x:c>
      <x:c r="F1236" s="23" t="n">
        <x:f>D1236+E1236</x:f>
        <x:v>-13.014179979167778</x:v>
      </x:c>
      <x:c r="G1236" s="23" t="n">
        <x:f>AVERAGE($F$1343:$F$1368)</x:f>
        <x:v>-11.724667333805401</x:v>
      </x:c>
      <x:c r="H1236" s="24" t="n">
        <x:f>F1236-G1236</x:f>
        <x:v>-1.289512645362377</x:v>
      </x:c>
    </x:row>
    <x:row r="1237">
      <x:c r="A1237" s="2" t="str">
        <x:v>LiD3-Flex</x:v>
      </x:c>
      <x:c r="B1237" s="4" t="str">
        <x:v>LiCl</x:v>
      </x:c>
      <x:c r="C1237" s="23" t="n">
        <x:v>0.7082699</x:v>
      </x:c>
      <x:c r="D1237" s="23" t="n">
        <x:v>-17.56145</x:v>
      </x:c>
      <x:c r="E1237" s="23" t="n">
        <x:f>'Parameters'!$B$2*'Parameters'!$B$3*LN(4*PI()*C1237^2)</x:f>
        <x:v>4.5641668382819836</x:v>
      </x:c>
      <x:c r="F1237" s="23" t="n">
        <x:f>D1237+E1237</x:f>
        <x:v>-12.997283161718016</x:v>
      </x:c>
      <x:c r="G1237" s="23" t="n">
        <x:f>AVERAGE($F$1343:$F$1368)</x:f>
        <x:v>-11.724667333805401</x:v>
      </x:c>
      <x:c r="H1237" s="24" t="n">
        <x:f>F1237-G1237</x:f>
        <x:v>-1.272615827912615</x:v>
      </x:c>
    </x:row>
    <x:row r="1238">
      <x:c r="A1238" s="2" t="str">
        <x:v>LiD3-Flex</x:v>
      </x:c>
      <x:c r="B1238" s="4" t="str">
        <x:v>LiCl</x:v>
      </x:c>
      <x:c r="C1238" s="23" t="n">
        <x:v>0.7200166</x:v>
      </x:c>
      <x:c r="D1238" s="23" t="n">
        <x:v>-17.51575</x:v>
      </x:c>
      <x:c r="E1238" s="23" t="n">
        <x:f>'Parameters'!$B$2*'Parameters'!$B$3*LN(4*PI()*C1238^2)</x:f>
        <x:v>4.645719723117351</x:v>
      </x:c>
      <x:c r="F1238" s="23" t="n">
        <x:f>D1238+E1238</x:f>
        <x:v>-12.87003027688265</x:v>
      </x:c>
      <x:c r="G1238" s="23" t="n">
        <x:f>AVERAGE($F$1343:$F$1368)</x:f>
        <x:v>-11.724667333805401</x:v>
      </x:c>
      <x:c r="H1238" s="24" t="n">
        <x:f>F1238-G1238</x:f>
        <x:v>-1.1453629430772487</x:v>
      </x:c>
    </x:row>
    <x:row r="1239">
      <x:c r="A1239" s="2" t="str">
        <x:v>LiD3-Flex</x:v>
      </x:c>
      <x:c r="B1239" s="4" t="str">
        <x:v>LiCl</x:v>
      </x:c>
      <x:c r="C1239" s="23" t="n">
        <x:v>0.7317633</x:v>
      </x:c>
      <x:c r="D1239" s="23" t="n">
        <x:v>-17.3266</x:v>
      </x:c>
      <x:c r="E1239" s="23" t="n">
        <x:f>'Parameters'!$B$2*'Parameters'!$B$3*LN(4*PI()*C1239^2)</x:f>
        <x:v>4.725952821902604</x:v>
      </x:c>
      <x:c r="F1239" s="23" t="n">
        <x:f>D1239+E1239</x:f>
        <x:v>-12.600647178097395</x:v>
      </x:c>
      <x:c r="G1239" s="23" t="n">
        <x:f>AVERAGE($F$1343:$F$1368)</x:f>
        <x:v>-11.724667333805401</x:v>
      </x:c>
      <x:c r="H1239" s="24" t="n">
        <x:f>F1239-G1239</x:f>
        <x:v>-0.8759798442919937</x:v>
      </x:c>
    </x:row>
    <x:row r="1240">
      <x:c r="A1240" s="2" t="str">
        <x:v>LiD3-Flex</x:v>
      </x:c>
      <x:c r="B1240" s="4" t="str">
        <x:v>LiCl</x:v>
      </x:c>
      <x:c r="C1240" s="23" t="n">
        <x:v>0.74351</x:v>
      </x:c>
      <x:c r="D1240" s="23" t="n">
        <x:v>-17.22619</x:v>
      </x:c>
      <x:c r="E1240" s="23" t="n">
        <x:f>'Parameters'!$B$2*'Parameters'!$B$3*LN(4*PI()*C1240^2)</x:f>
        <x:v>4.804908171946579</x:v>
      </x:c>
      <x:c r="F1240" s="23" t="n">
        <x:f>D1240+E1240</x:f>
        <x:v>-12.42128182805342</x:v>
      </x:c>
      <x:c r="G1240" s="23" t="n">
        <x:f>AVERAGE($F$1343:$F$1368)</x:f>
        <x:v>-11.724667333805401</x:v>
      </x:c>
      <x:c r="H1240" s="24" t="n">
        <x:f>F1240-G1240</x:f>
        <x:v>-0.6966144942480188</x:v>
      </x:c>
    </x:row>
    <x:row r="1241">
      <x:c r="A1241" s="2" t="str">
        <x:v>LiD3-Flex</x:v>
      </x:c>
      <x:c r="B1241" s="4" t="str">
        <x:v>LiCl</x:v>
      </x:c>
      <x:c r="C1241" s="23" t="n">
        <x:v>0.7552567</x:v>
      </x:c>
      <x:c r="D1241" s="23" t="n">
        <x:v>-17.16004</x:v>
      </x:c>
      <x:c r="E1241" s="23" t="n">
        <x:f>'Parameters'!$B$2*'Parameters'!$B$3*LN(4*PI()*C1241^2)</x:f>
        <x:v>4.882625833568272</x:v>
      </x:c>
      <x:c r="F1241" s="23" t="n">
        <x:f>D1241+E1241</x:f>
        <x:v>-12.277414166431726</x:v>
      </x:c>
      <x:c r="G1241" s="23" t="n">
        <x:f>AVERAGE($F$1343:$F$1368)</x:f>
        <x:v>-11.724667333805401</x:v>
      </x:c>
      <x:c r="H1241" s="24" t="n">
        <x:f>F1241-G1241</x:f>
        <x:v>-0.5527468326263243</x:v>
      </x:c>
    </x:row>
    <x:row r="1242">
      <x:c r="A1242" s="2" t="str">
        <x:v>LiD3-Flex</x:v>
      </x:c>
      <x:c r="B1242" s="4" t="str">
        <x:v>LiCl</x:v>
      </x:c>
      <x:c r="C1242" s="23" t="n">
        <x:v>0.7670034</x:v>
      </x:c>
      <x:c r="D1242" s="23" t="n">
        <x:v>-17.25599</x:v>
      </x:c>
      <x:c r="E1242" s="23" t="n">
        <x:f>'Parameters'!$B$2*'Parameters'!$B$3*LN(4*PI()*C1242^2)</x:f>
        <x:v>4.959144012154754</x:v>
      </x:c>
      <x:c r="F1242" s="23" t="n">
        <x:f>D1242+E1242</x:f>
        <x:v>-12.296845987845247</x:v>
      </x:c>
      <x:c r="G1242" s="23" t="n">
        <x:f>AVERAGE($F$1343:$F$1368)</x:f>
        <x:v>-11.724667333805401</x:v>
      </x:c>
      <x:c r="H1242" s="24" t="n">
        <x:f>F1242-G1242</x:f>
        <x:v>-0.5721786540398455</x:v>
      </x:c>
    </x:row>
    <x:row r="1243">
      <x:c r="A1243" s="2" t="str">
        <x:v>LiD3-Flex</x:v>
      </x:c>
      <x:c r="B1243" s="4" t="str">
        <x:v>LiCl</x:v>
      </x:c>
      <x:c r="C1243" s="23" t="n">
        <x:v>0.7787501</x:v>
      </x:c>
      <x:c r="D1243" s="23" t="n">
        <x:v>-17.16953</x:v>
      </x:c>
      <x:c r="E1243" s="23" t="n">
        <x:f>'Parameters'!$B$2*'Parameters'!$B$3*LN(4*PI()*C1243^2)</x:f>
        <x:v>5.0344991709423725</x:v>
      </x:c>
      <x:c r="F1243" s="23" t="n">
        <x:f>D1243+E1243</x:f>
        <x:v>-12.13503082905763</x:v>
      </x:c>
      <x:c r="G1243" s="23" t="n">
        <x:f>AVERAGE($F$1343:$F$1368)</x:f>
        <x:v>-11.724667333805401</x:v>
      </x:c>
      <x:c r="H1243" s="24" t="n">
        <x:f>F1243-G1243</x:f>
        <x:v>-0.4103634952522288</x:v>
      </x:c>
    </x:row>
    <x:row r="1244">
      <x:c r="A1244" s="2" t="str">
        <x:v>LiD3-Flex</x:v>
      </x:c>
      <x:c r="B1244" s="4" t="str">
        <x:v>LiCl</x:v>
      </x:c>
      <x:c r="C1244" s="23" t="n">
        <x:v>0.7904968</x:v>
      </x:c>
      <x:c r="D1244" s="23" t="n">
        <x:v>-17.41434</x:v>
      </x:c>
      <x:c r="E1244" s="23" t="n">
        <x:f>'Parameters'!$B$2*'Parameters'!$B$3*LN(4*PI()*C1244^2)</x:f>
        <x:v>5.108726135354666</x:v>
      </x:c>
      <x:c r="F1244" s="23" t="n">
        <x:f>D1244+E1244</x:f>
        <x:v>-12.305613864645334</x:v>
      </x:c>
      <x:c r="G1244" s="23" t="n">
        <x:f>AVERAGE($F$1343:$F$1368)</x:f>
        <x:v>-11.724667333805401</x:v>
      </x:c>
      <x:c r="H1244" s="24" t="n">
        <x:f>F1244-G1244</x:f>
        <x:v>-0.5809465308399329</x:v>
      </x:c>
    </x:row>
    <x:row r="1245">
      <x:c r="A1245" s="2" t="str">
        <x:v>LiD3-Flex</x:v>
      </x:c>
      <x:c r="B1245" s="4" t="str">
        <x:v>LiCl</x:v>
      </x:c>
      <x:c r="C1245" s="23" t="n">
        <x:v>0.8022435</x:v>
      </x:c>
      <x:c r="D1245" s="23" t="n">
        <x:v>-17.56273</x:v>
      </x:c>
      <x:c r="E1245" s="23" t="n">
        <x:f>'Parameters'!$B$2*'Parameters'!$B$3*LN(4*PI()*C1245^2)</x:f>
        <x:v>5.181858189644327</x:v>
      </x:c>
      <x:c r="F1245" s="23" t="n">
        <x:f>D1245+E1245</x:f>
        <x:v>-12.380871810355671</x:v>
      </x:c>
      <x:c r="G1245" s="23" t="n">
        <x:f>AVERAGE($F$1343:$F$1368)</x:f>
        <x:v>-11.724667333805401</x:v>
      </x:c>
      <x:c r="H1245" s="24" t="n">
        <x:f>F1245-G1245</x:f>
        <x:v>-0.6562044765502701</x:v>
      </x:c>
    </x:row>
    <x:row r="1246">
      <x:c r="A1246" s="2" t="str">
        <x:v>LiD3-Flex</x:v>
      </x:c>
      <x:c r="B1246" s="4" t="str">
        <x:v>LiCl</x:v>
      </x:c>
      <x:c r="C1246" s="23" t="n">
        <x:v>0.8139902</x:v>
      </x:c>
      <x:c r="D1246" s="23" t="n">
        <x:v>-17.65017</x:v>
      </x:c>
      <x:c r="E1246" s="23" t="n">
        <x:f>'Parameters'!$B$2*'Parameters'!$B$3*LN(4*PI()*C1246^2)</x:f>
        <x:v>5.253927166510511</x:v>
      </x:c>
      <x:c r="F1246" s="23" t="n">
        <x:f>D1246+E1246</x:f>
        <x:v>-12.396242833489488</x:v>
      </x:c>
      <x:c r="G1246" s="23" t="n">
        <x:f>AVERAGE($F$1343:$F$1368)</x:f>
        <x:v>-11.724667333805401</x:v>
      </x:c>
      <x:c r="H1246" s="24" t="n">
        <x:f>F1246-G1246</x:f>
        <x:v>-0.6715754996840868</x:v>
      </x:c>
    </x:row>
    <x:row r="1247">
      <x:c r="A1247" s="2" t="str">
        <x:v>LiD3-Flex</x:v>
      </x:c>
      <x:c r="B1247" s="4" t="str">
        <x:v>LiCl</x:v>
      </x:c>
      <x:c r="C1247" s="23" t="n">
        <x:v>0.8257368</x:v>
      </x:c>
      <x:c r="D1247" s="23" t="n">
        <x:v>-17.84238</x:v>
      </x:c>
      <x:c r="E1247" s="23" t="n">
        <x:f>'Parameters'!$B$2*'Parameters'!$B$3*LN(4*PI()*C1247^2)</x:f>
        <x:v>5.3249629298724255</x:v>
      </x:c>
      <x:c r="F1247" s="23" t="n">
        <x:f>D1247+E1247</x:f>
        <x:v>-12.517417070127573</x:v>
      </x:c>
      <x:c r="G1247" s="23" t="n">
        <x:f>AVERAGE($F$1343:$F$1368)</x:f>
        <x:v>-11.724667333805401</x:v>
      </x:c>
      <x:c r="H1247" s="24" t="n">
        <x:f>F1247-G1247</x:f>
        <x:v>-0.7927497363221718</x:v>
      </x:c>
    </x:row>
    <x:row r="1248">
      <x:c r="A1248" s="2" t="str">
        <x:v>LiD3-Flex</x:v>
      </x:c>
      <x:c r="B1248" s="4" t="str">
        <x:v>LiCl</x:v>
      </x:c>
      <x:c r="C1248" s="23" t="n">
        <x:v>0.8374835</x:v>
      </x:c>
      <x:c r="D1248" s="23" t="n">
        <x:v>-17.95614</x:v>
      </x:c>
      <x:c r="E1248" s="23" t="n">
        <x:f>'Parameters'!$B$2*'Parameters'!$B$3*LN(4*PI()*C1248^2)</x:f>
        <x:v>5.394995862303158</x:v>
      </x:c>
      <x:c r="F1248" s="23" t="n">
        <x:f>D1248+E1248</x:f>
        <x:v>-12.561144137696843</x:v>
      </x:c>
      <x:c r="G1248" s="23" t="n">
        <x:f>AVERAGE($F$1343:$F$1368)</x:f>
        <x:v>-11.724667333805401</x:v>
      </x:c>
      <x:c r="H1248" s="24" t="n">
        <x:f>F1248-G1248</x:f>
        <x:v>-0.8364768038914416</x:v>
      </x:c>
    </x:row>
    <x:row r="1249">
      <x:c r="A1249" s="2" t="str">
        <x:v>LiD3-Flex</x:v>
      </x:c>
      <x:c r="B1249" s="4" t="str">
        <x:v>LiCl</x:v>
      </x:c>
      <x:c r="C1249" s="23" t="n">
        <x:v>0.8492302</x:v>
      </x:c>
      <x:c r="D1249" s="23" t="n">
        <x:v>-17.94145</x:v>
      </x:c>
      <x:c r="E1249" s="23" t="n">
        <x:f>'Parameters'!$B$2*'Parameters'!$B$3*LN(4*PI()*C1249^2)</x:f>
        <x:v>5.464053308928525</x:v>
      </x:c>
      <x:c r="F1249" s="23" t="n">
        <x:f>D1249+E1249</x:f>
        <x:v>-12.477396691071474</x:v>
      </x:c>
      <x:c r="G1249" s="23" t="n">
        <x:f>AVERAGE($F$1343:$F$1368)</x:f>
        <x:v>-11.724667333805401</x:v>
      </x:c>
      <x:c r="H1249" s="24" t="n">
        <x:f>F1249-G1249</x:f>
        <x:v>-0.7527293572660732</x:v>
      </x:c>
    </x:row>
    <x:row r="1250">
      <x:c r="A1250" s="2" t="str">
        <x:v>LiD3-Flex</x:v>
      </x:c>
      <x:c r="B1250" s="4" t="str">
        <x:v>LiCl</x:v>
      </x:c>
      <x:c r="C1250" s="23" t="n">
        <x:v>0.8609769</x:v>
      </x:c>
      <x:c r="D1250" s="23" t="n">
        <x:v>-17.88281</x:v>
      </x:c>
      <x:c r="E1250" s="23" t="n">
        <x:f>'Parameters'!$B$2*'Parameters'!$B$3*LN(4*PI()*C1250^2)</x:f>
        <x:v>5.532162071852973</x:v>
      </x:c>
      <x:c r="F1250" s="23" t="n">
        <x:f>D1250+E1250</x:f>
        <x:v>-12.350647928147026</x:v>
      </x:c>
      <x:c r="G1250" s="23" t="n">
        <x:f>AVERAGE($F$1343:$F$1368)</x:f>
        <x:v>-11.724667333805401</x:v>
      </x:c>
      <x:c r="H1250" s="24" t="n">
        <x:f>F1250-G1250</x:f>
        <x:v>-0.625980594341625</x:v>
      </x:c>
    </x:row>
    <x:row r="1251">
      <x:c r="A1251" s="2" t="str">
        <x:v>LiD3-Flex</x:v>
      </x:c>
      <x:c r="B1251" s="4" t="str">
        <x:v>LiCl</x:v>
      </x:c>
      <x:c r="C1251" s="23" t="n">
        <x:v>0.8727236</x:v>
      </x:c>
      <x:c r="D1251" s="23" t="n">
        <x:v>-17.83519</x:v>
      </x:c>
      <x:c r="E1251" s="23" t="n">
        <x:f>'Parameters'!$B$2*'Parameters'!$B$3*LN(4*PI()*C1251^2)</x:f>
        <x:v>5.599347863525763</x:v>
      </x:c>
      <x:c r="F1251" s="23" t="n">
        <x:f>D1251+E1251</x:f>
        <x:v>-12.235842136474238</x:v>
      </x:c>
      <x:c r="G1251" s="23" t="n">
        <x:f>AVERAGE($F$1343:$F$1368)</x:f>
        <x:v>-11.724667333805401</x:v>
      </x:c>
      <x:c r="H1251" s="24" t="n">
        <x:f>F1251-G1251</x:f>
        <x:v>-0.5111748026688367</x:v>
      </x:c>
    </x:row>
    <x:row r="1252">
      <x:c r="A1252" s="2" t="str">
        <x:v>LiD3-Flex</x:v>
      </x:c>
      <x:c r="B1252" s="4" t="str">
        <x:v>LiCl</x:v>
      </x:c>
      <x:c r="C1252" s="23" t="n">
        <x:v>0.8844703</x:v>
      </x:c>
      <x:c r="D1252" s="23" t="n">
        <x:v>-17.98607</x:v>
      </x:c>
      <x:c r="E1252" s="23" t="n">
        <x:f>'Parameters'!$B$2*'Parameters'!$B$3*LN(4*PI()*C1252^2)</x:f>
        <x:v>5.665635365019492</x:v>
      </x:c>
      <x:c r="F1252" s="23" t="n">
        <x:f>D1252+E1252</x:f>
        <x:v>-12.32043463498051</x:v>
      </x:c>
      <x:c r="G1252" s="23" t="n">
        <x:f>AVERAGE($F$1343:$F$1368)</x:f>
        <x:v>-11.724667333805401</x:v>
      </x:c>
      <x:c r="H1252" s="24" t="n">
        <x:f>F1252-G1252</x:f>
        <x:v>-0.5957673011751083</x:v>
      </x:c>
    </x:row>
    <x:row r="1253">
      <x:c r="A1253" s="2" t="str">
        <x:v>LiD3-Flex</x:v>
      </x:c>
      <x:c r="B1253" s="4" t="str">
        <x:v>LiCl</x:v>
      </x:c>
      <x:c r="C1253" s="23" t="n">
        <x:v>0.896217</x:v>
      </x:c>
      <x:c r="D1253" s="23" t="n">
        <x:v>-17.82294</x:v>
      </x:c>
      <x:c r="E1253" s="23" t="n">
        <x:f>'Parameters'!$B$2*'Parameters'!$B$3*LN(4*PI()*C1253^2)</x:f>
        <x:v>5.731048280463791</x:v>
      </x:c>
      <x:c r="F1253" s="23" t="n">
        <x:f>D1253+E1253</x:f>
        <x:v>-12.091891719536207</x:v>
      </x:c>
      <x:c r="G1253" s="23" t="n">
        <x:f>AVERAGE($F$1343:$F$1368)</x:f>
        <x:v>-11.724667333805401</x:v>
      </x:c>
      <x:c r="H1253" s="24" t="n">
        <x:f>F1253-G1253</x:f>
        <x:v>-0.36722438573080574</x:v>
      </x:c>
    </x:row>
    <x:row r="1254">
      <x:c r="A1254" s="2" t="str">
        <x:v>LiD3-Flex</x:v>
      </x:c>
      <x:c r="B1254" s="4" t="str">
        <x:v>LiCl</x:v>
      </x:c>
      <x:c r="C1254" s="23" t="n">
        <x:v>0.9079637</x:v>
      </x:c>
      <x:c r="D1254" s="23" t="n">
        <x:v>-17.80425</x:v>
      </x:c>
      <x:c r="E1254" s="23" t="n">
        <x:f>'Parameters'!$B$2*'Parameters'!$B$3*LN(4*PI()*C1254^2)</x:f>
        <x:v>5.795609387934635</x:v>
      </x:c>
      <x:c r="F1254" s="23" t="n">
        <x:f>D1254+E1254</x:f>
        <x:v>-12.008640612065363</x:v>
      </x:c>
      <x:c r="G1254" s="23" t="n">
        <x:f>AVERAGE($F$1343:$F$1368)</x:f>
        <x:v>-11.724667333805401</x:v>
      </x:c>
      <x:c r="H1254" s="24" t="n">
        <x:f>F1254-G1254</x:f>
        <x:v>-0.2839732782599622</x:v>
      </x:c>
    </x:row>
    <x:row r="1255">
      <x:c r="A1255" s="2" t="str">
        <x:v>LiD3-Flex</x:v>
      </x:c>
      <x:c r="B1255" s="4" t="str">
        <x:v>LiCl</x:v>
      </x:c>
      <x:c r="C1255" s="23" t="n">
        <x:v>0.9197104</x:v>
      </x:c>
      <x:c r="D1255" s="23" t="n">
        <x:v>-17.77485</x:v>
      </x:c>
      <x:c r="E1255" s="23" t="n">
        <x:f>'Parameters'!$B$2*'Parameters'!$B$3*LN(4*PI()*C1255^2)</x:f>
        <x:v>5.859340587072656</x:v>
      </x:c>
      <x:c r="F1255" s="23" t="n">
        <x:f>D1255+E1255</x:f>
        <x:v>-11.915509412927346</x:v>
      </x:c>
      <x:c r="G1255" s="23" t="n">
        <x:f>AVERAGE($F$1343:$F$1368)</x:f>
        <x:v>-11.724667333805401</x:v>
      </x:c>
      <x:c r="H1255" s="24" t="n">
        <x:f>F1255-G1255</x:f>
        <x:v>-0.1908420791219445</x:v>
      </x:c>
    </x:row>
    <x:row r="1256">
      <x:c r="A1256" s="2" t="str">
        <x:v>LiD3-Flex</x:v>
      </x:c>
      <x:c r="B1256" s="4" t="str">
        <x:v>LiCl</x:v>
      </x:c>
      <x:c r="C1256" s="23" t="n">
        <x:v>0.9314571</x:v>
      </x:c>
      <x:c r="D1256" s="23" t="n">
        <x:v>-17.71175</x:v>
      </x:c>
      <x:c r="E1256" s="23" t="n">
        <x:f>'Parameters'!$B$2*'Parameters'!$B$3*LN(4*PI()*C1256^2)</x:f>
        <x:v>5.922262943679535</x:v>
      </x:c>
      <x:c r="F1256" s="23" t="n">
        <x:f>D1256+E1256</x:f>
        <x:v>-11.789487056320464</x:v>
      </x:c>
      <x:c r="G1256" s="23" t="n">
        <x:f>AVERAGE($F$1343:$F$1368)</x:f>
        <x:v>-11.724667333805401</x:v>
      </x:c>
      <x:c r="H1256" s="24" t="n">
        <x:f>F1256-G1256</x:f>
        <x:v>-0.06481972251506285</x:v>
      </x:c>
    </x:row>
    <x:row r="1257">
      <x:c r="A1257" s="2" t="str">
        <x:v>LiD3-Flex</x:v>
      </x:c>
      <x:c r="B1257" s="4" t="str">
        <x:v>LiCl</x:v>
      </x:c>
      <x:c r="C1257" s="23" t="n">
        <x:v>0.9432038</x:v>
      </x:c>
      <x:c r="D1257" s="23" t="n">
        <x:v>-17.56776</x:v>
      </x:c>
      <x:c r="E1257" s="23" t="n">
        <x:f>'Parameters'!$B$2*'Parameters'!$B$3*LN(4*PI()*C1257^2)</x:f>
        <x:v>5.984396731519775</x:v>
      </x:c>
      <x:c r="F1257" s="23" t="n">
        <x:f>D1257+E1257</x:f>
        <x:v>-11.583363268480225</x:v>
      </x:c>
      <x:c r="G1257" s="23" t="n">
        <x:f>AVERAGE($F$1343:$F$1368)</x:f>
        <x:v>-11.724667333805401</x:v>
      </x:c>
      <x:c r="H1257" s="24" t="n">
        <x:f>F1257-G1257</x:f>
        <x:v>0.14130406532517625</x:v>
      </x:c>
    </x:row>
    <x:row r="1258">
      <x:c r="A1258" s="2" t="str">
        <x:v>LiD3-Flex</x:v>
      </x:c>
      <x:c r="B1258" s="4" t="str">
        <x:v>LiCl</x:v>
      </x:c>
      <x:c r="C1258" s="23" t="n">
        <x:v>0.9549505</x:v>
      </x:c>
      <x:c r="D1258" s="23" t="n">
        <x:v>-17.62598</x:v>
      </x:c>
      <x:c r="E1258" s="23" t="n">
        <x:f>'Parameters'!$B$2*'Parameters'!$B$3*LN(4*PI()*C1258^2)</x:f>
        <x:v>6.045761471535332</x:v>
      </x:c>
      <x:c r="F1258" s="23" t="n">
        <x:f>D1258+E1258</x:f>
        <x:v>-11.580218528464666</x:v>
      </x:c>
      <x:c r="G1258" s="23" t="n">
        <x:f>AVERAGE($F$1343:$F$1368)</x:f>
        <x:v>-11.724667333805401</x:v>
      </x:c>
      <x:c r="H1258" s="24" t="n">
        <x:f>F1258-G1258</x:f>
        <x:v>0.14444880534073512</x:v>
      </x:c>
    </x:row>
    <x:row r="1259">
      <x:c r="A1259" s="2" t="str">
        <x:v>LiD3-Flex</x:v>
      </x:c>
      <x:c r="B1259" s="4" t="str">
        <x:v>LiCl</x:v>
      </x:c>
      <x:c r="C1259" s="23" t="n">
        <x:v>0.9666972</x:v>
      </x:c>
      <x:c r="D1259" s="23" t="n">
        <x:v>-17.58074</x:v>
      </x:c>
      <x:c r="E1259" s="23" t="n">
        <x:f>'Parameters'!$B$2*'Parameters'!$B$3*LN(4*PI()*C1259^2)</x:f>
        <x:v>6.106375968662972</x:v>
      </x:c>
      <x:c r="F1259" s="23" t="n">
        <x:f>D1259+E1259</x:f>
        <x:v>-11.474364031337027</x:v>
      </x:c>
      <x:c r="G1259" s="23" t="n">
        <x:f>AVERAGE($F$1343:$F$1368)</x:f>
        <x:v>-11.724667333805401</x:v>
      </x:c>
      <x:c r="H1259" s="24" t="n">
        <x:f>F1259-G1259</x:f>
        <x:v>0.2503033024683745</x:v>
      </x:c>
    </x:row>
    <x:row r="1260">
      <x:c r="A1260" s="2" t="str">
        <x:v>LiD3-Flex</x:v>
      </x:c>
      <x:c r="B1260" s="4" t="str">
        <x:v>LiCl</x:v>
      </x:c>
      <x:c r="C1260" s="23" t="n">
        <x:v>0.9784438</x:v>
      </x:c>
      <x:c r="D1260" s="23" t="n">
        <x:v>-17.73184</x:v>
      </x:c>
      <x:c r="E1260" s="23" t="n">
        <x:f>'Parameters'!$B$2*'Parameters'!$B$3*LN(4*PI()*C1260^2)</x:f>
        <x:v>6.166257839713824</x:v>
      </x:c>
      <x:c r="F1260" s="23" t="n">
        <x:f>D1260+E1260</x:f>
        <x:v>-11.565582160286175</x:v>
      </x:c>
      <x:c r="G1260" s="23" t="n">
        <x:f>AVERAGE($F$1343:$F$1368)</x:f>
        <x:v>-11.724667333805401</x:v>
      </x:c>
      <x:c r="H1260" s="24" t="n">
        <x:f>F1260-G1260</x:f>
        <x:v>0.15908517351922669</x:v>
      </x:c>
    </x:row>
    <x:row r="1261">
      <x:c r="A1261" s="2" t="str">
        <x:v>LiD3-Flex</x:v>
      </x:c>
      <x:c r="B1261" s="4" t="str">
        <x:v>LiCl</x:v>
      </x:c>
      <x:c r="C1261" s="23" t="n">
        <x:v>0.9901905</x:v>
      </x:c>
      <x:c r="D1261" s="23" t="n">
        <x:v>-17.57376</x:v>
      </x:c>
      <x:c r="E1261" s="23" t="n">
        <x:f>'Parameters'!$B$2*'Parameters'!$B$3*LN(4*PI()*C1261^2)</x:f>
        <x:v>6.225425578770868</x:v>
      </x:c>
      <x:c r="F1261" s="23" t="n">
        <x:f>D1261+E1261</x:f>
        <x:v>-11.348334421229133</x:v>
      </x:c>
      <x:c r="G1261" s="23" t="n">
        <x:f>AVERAGE($F$1343:$F$1368)</x:f>
        <x:v>-11.724667333805401</x:v>
      </x:c>
      <x:c r="H1261" s="24" t="n">
        <x:f>F1261-G1261</x:f>
        <x:v>0.37633291257626844</x:v>
      </x:c>
    </x:row>
    <x:row r="1262">
      <x:c r="A1262" s="2" t="str">
        <x:v>LiD3-Flex</x:v>
      </x:c>
      <x:c r="B1262" s="4" t="str">
        <x:v>LiCl</x:v>
      </x:c>
      <x:c r="C1262" s="23" t="n">
        <x:v>1.001937</x:v>
      </x:c>
      <x:c r="D1262" s="23" t="n">
        <x:v>-17.69422</x:v>
      </x:c>
      <x:c r="E1262" s="23" t="n">
        <x:f>'Parameters'!$B$2*'Parameters'!$B$3*LN(4*PI()*C1262^2)</x:f>
        <x:v>6.283894539674598</x:v>
      </x:c>
      <x:c r="F1262" s="23" t="n">
        <x:f>D1262+E1262</x:f>
        <x:v>-11.410325460325403</x:v>
      </x:c>
      <x:c r="G1262" s="23" t="n">
        <x:f>AVERAGE($F$1343:$F$1368)</x:f>
        <x:v>-11.724667333805401</x:v>
      </x:c>
      <x:c r="H1262" s="24" t="n">
        <x:f>F1262-G1262</x:f>
        <x:v>0.3143418734799983</x:v>
      </x:c>
    </x:row>
    <x:row r="1263">
      <x:c r="A1263" s="2" t="str">
        <x:v>LiD3-Flex</x:v>
      </x:c>
      <x:c r="B1263" s="4" t="str">
        <x:v>LiCl</x:v>
      </x:c>
      <x:c r="C1263" s="23" t="n">
        <x:v>1.013684</x:v>
      </x:c>
      <x:c r="D1263" s="23" t="n">
        <x:v>-17.70078</x:v>
      </x:c>
      <x:c r="E1263" s="23" t="n">
        <x:f>'Parameters'!$B$2*'Parameters'!$B$3*LN(4*PI()*C1263^2)</x:f>
        <x:v>6.3416844474545835</x:v>
      </x:c>
      <x:c r="F1263" s="23" t="n">
        <x:f>D1263+E1263</x:f>
        <x:v>-11.35909555254542</x:v>
      </x:c>
      <x:c r="G1263" s="23" t="n">
        <x:f>AVERAGE($F$1343:$F$1368)</x:f>
        <x:v>-11.724667333805401</x:v>
      </x:c>
      <x:c r="H1263" s="24" t="n">
        <x:f>F1263-G1263</x:f>
        <x:v>0.36557178125998213</x:v>
      </x:c>
    </x:row>
    <x:row r="1264">
      <x:c r="A1264" s="2" t="str">
        <x:v>LiD3-Flex</x:v>
      </x:c>
      <x:c r="B1264" s="4" t="str">
        <x:v>LiCl</x:v>
      </x:c>
      <x:c r="C1264" s="23" t="n">
        <x:v>1.025431</x:v>
      </x:c>
      <x:c r="D1264" s="23" t="n">
        <x:v>-17.81255</x:v>
      </x:c>
      <x:c r="E1264" s="23" t="n">
        <x:f>'Parameters'!$B$2*'Parameters'!$B$3*LN(4*PI()*C1264^2)</x:f>
        <x:v>6.398808504456896</x:v>
      </x:c>
      <x:c r="F1264" s="23" t="n">
        <x:f>D1264+E1264</x:f>
        <x:v>-11.413741495543107</x:v>
      </x:c>
      <x:c r="G1264" s="23" t="n">
        <x:f>AVERAGE($F$1343:$F$1368)</x:f>
        <x:v>-11.724667333805401</x:v>
      </x:c>
      <x:c r="H1264" s="24" t="n">
        <x:f>F1264-G1264</x:f>
        <x:v>0.31092583826229436</x:v>
      </x:c>
    </x:row>
    <x:row r="1265">
      <x:c r="A1265" s="2" t="str">
        <x:v>LiD3-Flex</x:v>
      </x:c>
      <x:c r="B1265" s="4" t="str">
        <x:v>LiCl</x:v>
      </x:c>
      <x:c r="C1265" s="23" t="n">
        <x:v>1.037177</x:v>
      </x:c>
      <x:c r="D1265" s="23" t="n">
        <x:v>-17.94586</x:v>
      </x:c>
      <x:c r="E1265" s="23" t="n">
        <x:f>'Parameters'!$B$2*'Parameters'!$B$3*LN(4*PI()*C1265^2)</x:f>
        <x:v>6.4552770996321565</x:v>
      </x:c>
      <x:c r="F1265" s="23" t="n">
        <x:f>D1265+E1265</x:f>
        <x:v>-11.490582900367844</x:v>
      </x:c>
      <x:c r="G1265" s="23" t="n">
        <x:f>AVERAGE($F$1343:$F$1368)</x:f>
        <x:v>-11.724667333805401</x:v>
      </x:c>
      <x:c r="H1265" s="24" t="n">
        <x:f>F1265-G1265</x:f>
        <x:v>0.23408443343755714</x:v>
      </x:c>
    </x:row>
    <x:row r="1266">
      <x:c r="A1266" s="2" t="str">
        <x:v>LiD3-Flex</x:v>
      </x:c>
      <x:c r="B1266" s="4" t="str">
        <x:v>LiCl</x:v>
      </x:c>
      <x:c r="C1266" s="23" t="n">
        <x:v>1.048924</x:v>
      </x:c>
      <x:c r="D1266" s="23" t="n">
        <x:v>-18.05536</x:v>
      </x:c>
      <x:c r="E1266" s="23" t="n">
        <x:f>'Parameters'!$B$2*'Parameters'!$B$3*LN(4*PI()*C1266^2)</x:f>
        <x:v>6.511114503525953</x:v>
      </x:c>
      <x:c r="F1266" s="23" t="n">
        <x:f>D1266+E1266</x:f>
        <x:v>-11.544245496474048</x:v>
      </x:c>
      <x:c r="G1266" s="23" t="n">
        <x:f>AVERAGE($F$1343:$F$1368)</x:f>
        <x:v>-11.724667333805401</x:v>
      </x:c>
      <x:c r="H1266" s="24" t="n">
        <x:f>F1266-G1266</x:f>
        <x:v>0.18042183733135353</x:v>
      </x:c>
    </x:row>
    <x:row r="1267">
      <x:c r="A1267" s="2" t="str">
        <x:v>LiD3-Flex</x:v>
      </x:c>
      <x:c r="B1267" s="4" t="str">
        <x:v>LiCl</x:v>
      </x:c>
      <x:c r="C1267" s="23" t="n">
        <x:v>1.060671</x:v>
      </x:c>
      <x:c r="D1267" s="23" t="n">
        <x:v>-18.16077</x:v>
      </x:c>
      <x:c r="E1267" s="23" t="n">
        <x:f>'Parameters'!$B$2*'Parameters'!$B$3*LN(4*PI()*C1267^2)</x:f>
        <x:v>6.566330048134989</x:v>
      </x:c>
      <x:c r="F1267" s="23" t="n">
        <x:f>D1267+E1267</x:f>
        <x:v>-11.59443995186501</x:v>
      </x:c>
      <x:c r="G1267" s="23" t="n">
        <x:f>AVERAGE($F$1343:$F$1368)</x:f>
        <x:v>-11.724667333805401</x:v>
      </x:c>
      <x:c r="H1267" s="24" t="n">
        <x:f>F1267-G1267</x:f>
        <x:v>0.13022738194039185</x:v>
      </x:c>
    </x:row>
    <x:row r="1268">
      <x:c r="A1268" s="2" t="str">
        <x:v>LiD3-Flex</x:v>
      </x:c>
      <x:c r="B1268" s="4" t="str">
        <x:v>LiCl</x:v>
      </x:c>
      <x:c r="C1268" s="23" t="n">
        <x:v>1.072417</x:v>
      </x:c>
      <x:c r="D1268" s="23" t="n">
        <x:v>-18.19602</x:v>
      </x:c>
      <x:c r="E1268" s="23" t="n">
        <x:f>'Parameters'!$B$2*'Parameters'!$B$3*LN(4*PI()*C1268^2)</x:f>
        <x:v>6.620932809168366</x:v>
      </x:c>
      <x:c r="F1268" s="23" t="n">
        <x:f>D1268+E1268</x:f>
        <x:v>-11.575087190831635</x:v>
      </x:c>
      <x:c r="G1268" s="23" t="n">
        <x:f>AVERAGE($F$1343:$F$1368)</x:f>
        <x:v>-11.724667333805401</x:v>
      </x:c>
      <x:c r="H1268" s="24" t="n">
        <x:f>F1268-G1268</x:f>
        <x:v>0.14958014297376643</x:v>
      </x:c>
    </x:row>
    <x:row r="1269">
      <x:c r="A1269" s="2" t="str">
        <x:v>LiD3-Flex</x:v>
      </x:c>
      <x:c r="B1269" s="4" t="str">
        <x:v>LiCl</x:v>
      </x:c>
      <x:c r="C1269" s="23" t="n">
        <x:v>1.084164</x:v>
      </x:c>
      <x:c r="D1269" s="23" t="n">
        <x:v>-18.48408</x:v>
      </x:c>
      <x:c r="E1269" s="23" t="n">
        <x:f>'Parameters'!$B$2*'Parameters'!$B$3*LN(4*PI()*C1269^2)</x:f>
        <x:v>6.674945334058321</x:v>
      </x:c>
      <x:c r="F1269" s="23" t="n">
        <x:f>D1269+E1269</x:f>
        <x:v>-11.809134665941677</x:v>
      </x:c>
      <x:c r="G1269" s="23" t="n">
        <x:f>AVERAGE($F$1343:$F$1368)</x:f>
        <x:v>-11.724667333805401</x:v>
      </x:c>
      <x:c r="H1269" s="24" t="n">
        <x:f>F1269-G1269</x:f>
        <x:v>-0.08446733213627589</x:v>
      </x:c>
    </x:row>
    <x:row r="1270">
      <x:c r="A1270" s="2" t="str">
        <x:v>LiD3-Flex</x:v>
      </x:c>
      <x:c r="B1270" s="4" t="str">
        <x:v>LiCl</x:v>
      </x:c>
      <x:c r="C1270" s="23" t="n">
        <x:v>1.095911</x:v>
      </x:c>
      <x:c r="D1270" s="23" t="n">
        <x:v>-18.44094</x:v>
      </x:c>
      <x:c r="E1270" s="23" t="n">
        <x:f>'Parameters'!$B$2*'Parameters'!$B$3*LN(4*PI()*C1270^2)</x:f>
        <x:v>6.72837577119597</x:v>
      </x:c>
      <x:c r="F1270" s="23" t="n">
        <x:f>D1270+E1270</x:f>
        <x:v>-11.71256422880403</x:v>
      </x:c>
      <x:c r="G1270" s="23" t="n">
        <x:f>AVERAGE($F$1343:$F$1368)</x:f>
        <x:v>-11.724667333805401</x:v>
      </x:c>
      <x:c r="H1270" s="24" t="n">
        <x:f>F1270-G1270</x:f>
        <x:v>0.012103105001370906</x:v>
      </x:c>
    </x:row>
    <x:row r="1271">
      <x:c r="A1271" s="2" t="str">
        <x:v>LiD3-Flex</x:v>
      </x:c>
      <x:c r="B1271" s="4" t="str">
        <x:v>LiCl</x:v>
      </x:c>
      <x:c r="C1271" s="23" t="n">
        <x:v>1.107657</x:v>
      </x:c>
      <x:c r="D1271" s="23" t="n">
        <x:v>-18.54773</x:v>
      </x:c>
      <x:c r="E1271" s="23" t="n">
        <x:f>'Parameters'!$B$2*'Parameters'!$B$3*LN(4*PI()*C1271^2)</x:f>
        <x:v>6.781232057102669</x:v>
      </x:c>
      <x:c r="F1271" s="23" t="n">
        <x:f>D1271+E1271</x:f>
        <x:v>-11.766497942897331</x:v>
      </x:c>
      <x:c r="G1271" s="23" t="n">
        <x:f>AVERAGE($F$1343:$F$1368)</x:f>
        <x:v>-11.724667333805401</x:v>
      </x:c>
      <x:c r="H1271" s="24" t="n">
        <x:f>F1271-G1271</x:f>
        <x:v>-0.041830609091929816</x:v>
      </x:c>
    </x:row>
    <x:row r="1272">
      <x:c r="A1272" s="2" t="str">
        <x:v>LiD3-Flex</x:v>
      </x:c>
      <x:c r="B1272" s="4" t="str">
        <x:v>LiCl</x:v>
      </x:c>
      <x:c r="C1272" s="23" t="n">
        <x:v>1.119404</x:v>
      </x:c>
      <x:c r="D1272" s="23" t="n">
        <x:v>-18.67998</x:v>
      </x:c>
      <x:c r="E1272" s="23" t="n">
        <x:f>'Parameters'!$B$2*'Parameters'!$B$3*LN(4*PI()*C1272^2)</x:f>
        <x:v>6.833535210530144</x:v>
      </x:c>
      <x:c r="F1272" s="23" t="n">
        <x:f>D1272+E1272</x:f>
        <x:v>-11.846444789469857</x:v>
      </x:c>
      <x:c r="G1272" s="23" t="n">
        <x:f>AVERAGE($F$1343:$F$1368)</x:f>
        <x:v>-11.724667333805401</x:v>
      </x:c>
      <x:c r="H1272" s="24" t="n">
        <x:f>F1272-G1272</x:f>
        <x:v>-0.1217774556644553</x:v>
      </x:c>
    </x:row>
    <x:row r="1273">
      <x:c r="A1273" s="2" t="str">
        <x:v>LiD3-Flex</x:v>
      </x:c>
      <x:c r="B1273" s="4" t="str">
        <x:v>LiCl</x:v>
      </x:c>
      <x:c r="C1273" s="23" t="n">
        <x:v>1.131151</x:v>
      </x:c>
      <x:c r="D1273" s="23" t="n">
        <x:v>-18.57053</x:v>
      </x:c>
      <x:c r="E1273" s="23" t="n">
        <x:f>'Parameters'!$B$2*'Parameters'!$B$3*LN(4*PI()*C1273^2)</x:f>
        <x:v>6.885292350763738</x:v>
      </x:c>
      <x:c r="F1273" s="23" t="n">
        <x:f>D1273+E1273</x:f>
        <x:v>-11.685237649236264</x:v>
      </x:c>
      <x:c r="G1273" s="23" t="n">
        <x:f>AVERAGE($F$1343:$F$1368)</x:f>
        <x:v>-11.724667333805401</x:v>
      </x:c>
      <x:c r="H1273" s="24" t="n">
        <x:f>F1273-G1273</x:f>
        <x:v>0.039429684569137535</x:v>
      </x:c>
    </x:row>
    <x:row r="1274">
      <x:c r="A1274" s="2" t="str">
        <x:v>LiD3-Flex</x:v>
      </x:c>
      <x:c r="B1274" s="4" t="str">
        <x:v>LiCl</x:v>
      </x:c>
      <x:c r="C1274" s="23" t="n">
        <x:v>1.142898</x:v>
      </x:c>
      <x:c r="D1274" s="23" t="n">
        <x:v>-18.59711</x:v>
      </x:c>
      <x:c r="E1274" s="23" t="n">
        <x:f>'Parameters'!$B$2*'Parameters'!$B$3*LN(4*PI()*C1274^2)</x:f>
        <x:v>6.936514760216358</x:v>
      </x:c>
      <x:c r="F1274" s="23" t="n">
        <x:f>D1274+E1274</x:f>
        <x:v>-11.660595239783643</x:v>
      </x:c>
      <x:c r="G1274" s="23" t="n">
        <x:f>AVERAGE($F$1343:$F$1368)</x:f>
        <x:v>-11.724667333805401</x:v>
      </x:c>
      <x:c r="H1274" s="24" t="n">
        <x:f>F1274-G1274</x:f>
        <x:v>0.06407209402175873</x:v>
      </x:c>
    </x:row>
    <x:row r="1275">
      <x:c r="A1275" s="2" t="str">
        <x:v>LiD3-Flex</x:v>
      </x:c>
      <x:c r="B1275" s="4" t="str">
        <x:v>LiCl</x:v>
      </x:c>
      <x:c r="C1275" s="23" t="n">
        <x:v>1.154644</x:v>
      </x:c>
      <x:c r="D1275" s="23" t="n">
        <x:v>-18.58965</x:v>
      </x:c>
      <x:c r="E1275" s="23" t="n">
        <x:f>'Parameters'!$B$2*'Parameters'!$B$3*LN(4*PI()*C1275^2)</x:f>
        <x:v>6.987209081288821</x:v>
      </x:c>
      <x:c r="F1275" s="23" t="n">
        <x:f>D1275+E1275</x:f>
        <x:v>-11.602440918711178</x:v>
      </x:c>
      <x:c r="G1275" s="23" t="n">
        <x:f>AVERAGE($F$1343:$F$1368)</x:f>
        <x:v>-11.724667333805401</x:v>
      </x:c>
      <x:c r="H1275" s="24" t="n">
        <x:f>F1275-G1275</x:f>
        <x:v>0.12222641509422338</x:v>
      </x:c>
    </x:row>
    <x:row r="1276">
      <x:c r="A1276" s="2" t="str">
        <x:v>LiD3-Flex</x:v>
      </x:c>
      <x:c r="B1276" s="4" t="str">
        <x:v>LiCl</x:v>
      </x:c>
      <x:c r="C1276" s="23" t="n">
        <x:v>1.166391</x:v>
      </x:c>
      <x:c r="D1276" s="23" t="n">
        <x:v>-18.49879</x:v>
      </x:c>
      <x:c r="E1276" s="23" t="n">
        <x:f>'Parameters'!$B$2*'Parameters'!$B$3*LN(4*PI()*C1276^2)</x:f>
        <x:v>7.037394549181003</x:v>
      </x:c>
      <x:c r="F1276" s="23" t="n">
        <x:f>D1276+E1276</x:f>
        <x:v>-11.461395450818998</x:v>
      </x:c>
      <x:c r="G1276" s="23" t="n">
        <x:f>AVERAGE($F$1343:$F$1368)</x:f>
        <x:v>-11.724667333805401</x:v>
      </x:c>
      <x:c r="H1276" s="24" t="n">
        <x:f>F1276-G1276</x:f>
        <x:v>0.2632718829864036</x:v>
      </x:c>
    </x:row>
    <x:row r="1277">
      <x:c r="A1277" s="2" t="str">
        <x:v>LiD3-Flex</x:v>
      </x:c>
      <x:c r="B1277" s="4" t="str">
        <x:v>LiCl</x:v>
      </x:c>
      <x:c r="C1277" s="23" t="n">
        <x:v>1.178138</x:v>
      </x:c>
      <x:c r="D1277" s="23" t="n">
        <x:v>-18.53766</x:v>
      </x:c>
      <x:c r="E1277" s="23" t="n">
        <x:f>'Parameters'!$B$2*'Parameters'!$B$3*LN(4*PI()*C1277^2)</x:f>
        <x:v>7.087077111280312</x:v>
      </x:c>
      <x:c r="F1277" s="23" t="n">
        <x:f>D1277+E1277</x:f>
        <x:v>-11.450582888719687</x:v>
      </x:c>
      <x:c r="G1277" s="23" t="n">
        <x:f>AVERAGE($F$1343:$F$1368)</x:f>
        <x:v>-11.724667333805401</x:v>
      </x:c>
      <x:c r="H1277" s="24" t="n">
        <x:f>F1277-G1277</x:f>
        <x:v>0.2740844450857143</x:v>
      </x:c>
    </x:row>
    <x:row r="1278">
      <x:c r="A1278" s="2" t="str">
        <x:v>LiD3-Flex</x:v>
      </x:c>
      <x:c r="B1278" s="4" t="str">
        <x:v>LiCl</x:v>
      </x:c>
      <x:c r="C1278" s="23" t="n">
        <x:v>1.189884</x:v>
      </x:c>
      <x:c r="D1278" s="23" t="n">
        <x:v>-18.43169</x:v>
      </x:c>
      <x:c r="E1278" s="23" t="n">
        <x:f>'Parameters'!$B$2*'Parameters'!$B$3*LN(4*PI()*C1278^2)</x:f>
        <x:v>7.1362625801311985</x:v>
      </x:c>
      <x:c r="F1278" s="23" t="n">
        <x:f>D1278+E1278</x:f>
        <x:v>-11.295427419868801</x:v>
      </x:c>
      <x:c r="G1278" s="23" t="n">
        <x:f>AVERAGE($F$1343:$F$1368)</x:f>
        <x:v>-11.724667333805401</x:v>
      </x:c>
      <x:c r="H1278" s="24" t="n">
        <x:f>F1278-G1278</x:f>
        <x:v>0.4292399139366001</x:v>
      </x:c>
    </x:row>
    <x:row r="1279">
      <x:c r="A1279" s="2" t="str">
        <x:v>LiD3-Flex</x:v>
      </x:c>
      <x:c r="B1279" s="4" t="str">
        <x:v>LiCl</x:v>
      </x:c>
      <x:c r="C1279" s="23" t="n">
        <x:v>1.201631</x:v>
      </x:c>
      <x:c r="D1279" s="23" t="n">
        <x:v>-18.37969</x:v>
      </x:c>
      <x:c r="E1279" s="23" t="n">
        <x:f>'Parameters'!$B$2*'Parameters'!$B$3*LN(4*PI()*C1279^2)</x:f>
        <x:v>7.184969015052535</x:v>
      </x:c>
      <x:c r="F1279" s="23" t="n">
        <x:f>D1279+E1279</x:f>
        <x:v>-11.194720984947466</x:v>
      </x:c>
      <x:c r="G1279" s="23" t="n">
        <x:f>AVERAGE($F$1343:$F$1368)</x:f>
        <x:v>-11.724667333805401</x:v>
      </x:c>
      <x:c r="H1279" s="24" t="n">
        <x:f>F1279-G1279</x:f>
        <x:v>0.5299463488579352</x:v>
      </x:c>
    </x:row>
    <x:row r="1280">
      <x:c r="A1280" s="2" t="str">
        <x:v>LiD3-Flex</x:v>
      </x:c>
      <x:c r="B1280" s="4" t="str">
        <x:v>LiCl</x:v>
      </x:c>
      <x:c r="C1280" s="23" t="n">
        <x:v>1.213378</x:v>
      </x:c>
      <x:c r="D1280" s="23" t="n">
        <x:v>-18.43402</x:v>
      </x:c>
      <x:c r="E1280" s="23" t="n">
        <x:f>'Parameters'!$B$2*'Parameters'!$B$3*LN(4*PI()*C1280^2)</x:f>
        <x:v>7.233201610281883</x:v>
      </x:c>
      <x:c r="F1280" s="23" t="n">
        <x:f>D1280+E1280</x:f>
        <x:v>-11.200818389718117</x:v>
      </x:c>
      <x:c r="G1280" s="23" t="n">
        <x:f>AVERAGE($F$1343:$F$1368)</x:f>
        <x:v>-11.724667333805401</x:v>
      </x:c>
      <x:c r="H1280" s="24" t="n">
        <x:f>F1280-G1280</x:f>
        <x:v>0.523848944087284</x:v>
      </x:c>
    </x:row>
    <x:row r="1281">
      <x:c r="A1281" s="2" t="str">
        <x:v>LiD3-Flex</x:v>
      </x:c>
      <x:c r="B1281" s="4" t="str">
        <x:v>LiCl</x:v>
      </x:c>
      <x:c r="C1281" s="23" t="n">
        <x:v>1.225124</x:v>
      </x:c>
      <x:c r="D1281" s="23" t="n">
        <x:v>-18.30273</x:v>
      </x:c>
      <x:c r="E1281" s="23" t="n">
        <x:f>'Parameters'!$B$2*'Parameters'!$B$3*LN(4*PI()*C1281^2)</x:f>
        <x:v>7.28096544967912</x:v>
      </x:c>
      <x:c r="F1281" s="23" t="n">
        <x:f>D1281+E1281</x:f>
        <x:v>-11.021764550320881</x:v>
      </x:c>
      <x:c r="G1281" s="23" t="n">
        <x:f>AVERAGE($F$1343:$F$1368)</x:f>
        <x:v>-11.724667333805401</x:v>
      </x:c>
      <x:c r="H1281" s="24" t="n">
        <x:f>F1281-G1281</x:f>
        <x:v>0.7029027834845198</x:v>
      </x:c>
    </x:row>
    <x:row r="1282">
      <x:c r="A1282" s="2" t="str">
        <x:v>LiD3-Flex</x:v>
      </x:c>
      <x:c r="B1282" s="4" t="str">
        <x:v>LiCl</x:v>
      </x:c>
      <x:c r="C1282" s="23" t="n">
        <x:v>1.236871</x:v>
      </x:c>
      <x:c r="D1282" s="23" t="n">
        <x:v>-18.38354</x:v>
      </x:c>
      <x:c r="E1282" s="23" t="n">
        <x:f>'Parameters'!$B$2*'Parameters'!$B$3*LN(4*PI()*C1282^2)</x:f>
        <x:v>7.328277534732816</x:v>
      </x:c>
      <x:c r="F1282" s="23" t="n">
        <x:f>D1282+E1282</x:f>
        <x:v>-11.055262465267184</x:v>
      </x:c>
      <x:c r="G1282" s="23" t="n">
        <x:f>AVERAGE($F$1343:$F$1368)</x:f>
        <x:v>-11.724667333805401</x:v>
      </x:c>
      <x:c r="H1282" s="24" t="n">
        <x:f>F1282-G1282</x:f>
        <x:v>0.6694048685382175</x:v>
      </x:c>
    </x:row>
    <x:row r="1283">
      <x:c r="A1283" s="2" t="str">
        <x:v>LiD3-Flex</x:v>
      </x:c>
      <x:c r="B1283" s="4" t="str">
        <x:v>LiCl</x:v>
      </x:c>
      <x:c r="C1283" s="23" t="n">
        <x:v>1.248618</x:v>
      </x:c>
      <x:c r="D1283" s="23" t="n">
        <x:v>-18.47765</x:v>
      </x:c>
      <x:c r="E1283" s="23" t="n">
        <x:f>'Parameters'!$B$2*'Parameters'!$B$3*LN(4*PI()*C1283^2)</x:f>
        <x:v>7.375142397224584</x:v>
      </x:c>
      <x:c r="F1283" s="23" t="n">
        <x:f>D1283+E1283</x:f>
        <x:v>-11.102507602775416</x:v>
      </x:c>
      <x:c r="G1283" s="23" t="n">
        <x:f>AVERAGE($F$1343:$F$1368)</x:f>
        <x:v>-11.724667333805401</x:v>
      </x:c>
      <x:c r="H1283" s="24" t="n">
        <x:f>F1283-G1283</x:f>
        <x:v>0.6221597310299849</x:v>
      </x:c>
    </x:row>
    <x:row r="1284">
      <x:c r="A1284" s="2" t="str">
        <x:v>LiD3-Flex</x:v>
      </x:c>
      <x:c r="B1284" s="4" t="str">
        <x:v>LiCl</x:v>
      </x:c>
      <x:c r="C1284" s="23" t="n">
        <x:v>1.260364</x:v>
      </x:c>
      <x:c r="D1284" s="23" t="n">
        <x:v>-18.4667</x:v>
      </x:c>
      <x:c r="E1284" s="23" t="n">
        <x:f>'Parameters'!$B$2*'Parameters'!$B$3*LN(4*PI()*C1284^2)</x:f>
        <x:v>7.42156447916781</x:v>
      </x:c>
      <x:c r="F1284" s="23" t="n">
        <x:f>D1284+E1284</x:f>
        <x:v>-11.04513552083219</x:v>
      </x:c>
      <x:c r="G1284" s="23" t="n">
        <x:f>AVERAGE($F$1343:$F$1368)</x:f>
        <x:v>-11.724667333805401</x:v>
      </x:c>
      <x:c r="H1284" s="24" t="n">
        <x:f>F1284-G1284</x:f>
        <x:v>0.6795318129732113</x:v>
      </x:c>
    </x:row>
    <x:row r="1285">
      <x:c r="A1285" s="2" t="str">
        <x:v>LiD3-Flex</x:v>
      </x:c>
      <x:c r="B1285" s="4" t="str">
        <x:v>LiCl</x:v>
      </x:c>
      <x:c r="C1285" s="23" t="n">
        <x:v>1.272111</x:v>
      </x:c>
      <x:c r="D1285" s="23" t="n">
        <x:v>-18.5291</x:v>
      </x:c>
      <x:c r="E1285" s="23" t="n">
        <x:f>'Parameters'!$B$2*'Parameters'!$B$3*LN(4*PI()*C1285^2)</x:f>
        <x:v>7.467559826930423</x:v>
      </x:c>
      <x:c r="F1285" s="23" t="n">
        <x:f>D1285+E1285</x:f>
        <x:v>-11.061540173069577</x:v>
      </x:c>
      <x:c r="G1285" s="23" t="n">
        <x:f>AVERAGE($F$1343:$F$1368)</x:f>
        <x:v>-11.724667333805401</x:v>
      </x:c>
      <x:c r="H1285" s="24" t="n">
        <x:f>F1285-G1285</x:f>
        <x:v>0.663127160735824</x:v>
      </x:c>
    </x:row>
    <x:row r="1286">
      <x:c r="A1286" s="2" t="str">
        <x:v>LiD3-Flex</x:v>
      </x:c>
      <x:c r="B1286" s="4" t="str">
        <x:v>LiCl</x:v>
      </x:c>
      <x:c r="C1286" s="23" t="n">
        <x:v>1.283858</x:v>
      </x:c>
      <x:c r="D1286" s="23" t="n">
        <x:v>-18.62322</x:v>
      </x:c>
      <x:c r="E1286" s="23" t="n">
        <x:f>'Parameters'!$B$2*'Parameters'!$B$3*LN(4*PI()*C1286^2)</x:f>
        <x:v>7.5131323878799074</x:v>
      </x:c>
      <x:c r="F1286" s="23" t="n">
        <x:f>D1286+E1286</x:f>
        <x:v>-11.110087612120093</x:v>
      </x:c>
      <x:c r="G1286" s="23" t="n">
        <x:f>AVERAGE($F$1343:$F$1368)</x:f>
        <x:v>-11.724667333805401</x:v>
      </x:c>
      <x:c r="H1286" s="24" t="n">
        <x:f>F1286-G1286</x:f>
        <x:v>0.614579721685308</x:v>
      </x:c>
    </x:row>
    <x:row r="1287">
      <x:c r="A1287" s="2" t="str">
        <x:v>LiD3-Flex</x:v>
      </x:c>
      <x:c r="B1287" s="4" t="str">
        <x:v>LiCl</x:v>
      </x:c>
      <x:c r="C1287" s="23" t="n">
        <x:v>1.295605</x:v>
      </x:c>
      <x:c r="D1287" s="23" t="n">
        <x:v>-18.75179</x:v>
      </x:c>
      <x:c r="E1287" s="23" t="n">
        <x:f>'Parameters'!$B$2*'Parameters'!$B$3*LN(4*PI()*C1287^2)</x:f>
        <x:v>7.558289863744335</x:v>
      </x:c>
      <x:c r="F1287" s="23" t="n">
        <x:f>D1287+E1287</x:f>
        <x:v>-11.193500136255665</x:v>
      </x:c>
      <x:c r="G1287" s="23" t="n">
        <x:f>AVERAGE($F$1343:$F$1368)</x:f>
        <x:v>-11.724667333805401</x:v>
      </x:c>
      <x:c r="H1287" s="24" t="n">
        <x:f>F1287-G1287</x:f>
        <x:v>0.5311671975497365</x:v>
      </x:c>
    </x:row>
    <x:row r="1288">
      <x:c r="A1288" s="2" t="str">
        <x:v>LiD3-Flex</x:v>
      </x:c>
      <x:c r="B1288" s="4" t="str">
        <x:v>LiCl</x:v>
      </x:c>
      <x:c r="C1288" s="23" t="n">
        <x:v>1.307351</x:v>
      </x:c>
      <x:c r="D1288" s="23" t="n">
        <x:v>-18.7727</x:v>
      </x:c>
      <x:c r="E1288" s="23" t="n">
        <x:f>'Parameters'!$B$2*'Parameters'!$B$3*LN(4*PI()*C1288^2)</x:f>
        <x:v>7.603035955366823</x:v>
      </x:c>
      <x:c r="F1288" s="23" t="n">
        <x:f>D1288+E1288</x:f>
        <x:v>-11.169664044633176</x:v>
      </x:c>
      <x:c r="G1288" s="23" t="n">
        <x:f>AVERAGE($F$1343:$F$1368)</x:f>
        <x:v>-11.724667333805401</x:v>
      </x:c>
      <x:c r="H1288" s="24" t="n">
        <x:f>F1288-G1288</x:f>
        <x:v>0.555003289172225</x:v>
      </x:c>
    </x:row>
    <x:row r="1289">
      <x:c r="A1289" s="2" t="str">
        <x:v>LiD3-Flex</x:v>
      </x:c>
      <x:c r="B1289" s="4" t="str">
        <x:v>LiCl</x:v>
      </x:c>
      <x:c r="C1289" s="23" t="n">
        <x:v>1.319098</x:v>
      </x:c>
      <x:c r="D1289" s="23" t="n">
        <x:v>-18.93295</x:v>
      </x:c>
      <x:c r="E1289" s="23" t="n">
        <x:f>'Parameters'!$B$2*'Parameters'!$B$3*LN(4*PI()*C1289^2)</x:f>
        <x:v>7.6473855732774005</x:v>
      </x:c>
      <x:c r="F1289" s="23" t="n">
        <x:f>D1289+E1289</x:f>
        <x:v>-11.285564426722601</x:v>
      </x:c>
      <x:c r="G1289" s="23" t="n">
        <x:f>AVERAGE($F$1343:$F$1368)</x:f>
        <x:v>-11.724667333805401</x:v>
      </x:c>
      <x:c r="H1289" s="24" t="n">
        <x:f>F1289-G1289</x:f>
        <x:v>0.4391029070828001</x:v>
      </x:c>
    </x:row>
    <x:row r="1290">
      <x:c r="A1290" s="2" t="str">
        <x:v>LiD3-Flex</x:v>
      </x:c>
      <x:c r="B1290" s="4" t="str">
        <x:v>LiCl</x:v>
      </x:c>
      <x:c r="C1290" s="23" t="n">
        <x:v>1.330845</x:v>
      </x:c>
      <x:c r="D1290" s="23" t="n">
        <x:v>-18.97206</x:v>
      </x:c>
      <x:c r="E1290" s="23" t="n">
        <x:f>'Parameters'!$B$2*'Parameters'!$B$3*LN(4*PI()*C1290^2)</x:f>
        <x:v>7.691341988906043</x:v>
      </x:c>
      <x:c r="F1290" s="23" t="n">
        <x:f>D1290+E1290</x:f>
        <x:v>-11.280718011093956</x:v>
      </x:c>
      <x:c r="G1290" s="23" t="n">
        <x:f>AVERAGE($F$1343:$F$1368)</x:f>
        <x:v>-11.724667333805401</x:v>
      </x:c>
      <x:c r="H1290" s="24" t="n">
        <x:f>F1290-G1290</x:f>
        <x:v>0.44394932271144505</x:v>
      </x:c>
    </x:row>
    <x:row r="1291">
      <x:c r="A1291" s="2" t="str">
        <x:v>LiD3-Flex</x:v>
      </x:c>
      <x:c r="B1291" s="4" t="str">
        <x:v>LiCl</x:v>
      </x:c>
      <x:c r="C1291" s="23" t="n">
        <x:v>1.342591</x:v>
      </x:c>
      <x:c r="D1291" s="23" t="n">
        <x:v>-18.97663</x:v>
      </x:c>
      <x:c r="E1291" s="23" t="n">
        <x:f>'Parameters'!$B$2*'Parameters'!$B$3*LN(4*PI()*C1291^2)</x:f>
        <x:v>7.734908420468164</x:v>
      </x:c>
      <x:c r="F1291" s="23" t="n">
        <x:f>D1291+E1291</x:f>
        <x:v>-11.241721579531836</x:v>
      </x:c>
      <x:c r="G1291" s="23" t="n">
        <x:f>AVERAGE($F$1343:$F$1368)</x:f>
        <x:v>-11.724667333805401</x:v>
      </x:c>
      <x:c r="H1291" s="24" t="n">
        <x:f>F1291-G1291</x:f>
        <x:v>0.48294575427356534</x:v>
      </x:c>
    </x:row>
    <x:row r="1292">
      <x:c r="A1292" s="2" t="str">
        <x:v>LiD3-Flex</x:v>
      </x:c>
      <x:c r="B1292" s="4" t="str">
        <x:v>LiCl</x:v>
      </x:c>
      <x:c r="C1292" s="23" t="n">
        <x:v>1.354338</x:v>
      </x:c>
      <x:c r="D1292" s="23" t="n">
        <x:v>-18.95634</x:v>
      </x:c>
      <x:c r="E1292" s="23" t="n">
        <x:f>'Parameters'!$B$2*'Parameters'!$B$3*LN(4*PI()*C1292^2)</x:f>
        <x:v>7.778099015973535</x:v>
      </x:c>
      <x:c r="F1292" s="23" t="n">
        <x:f>D1292+E1292</x:f>
        <x:v>-11.178240984026466</x:v>
      </x:c>
      <x:c r="G1292" s="23" t="n">
        <x:f>AVERAGE($F$1343:$F$1368)</x:f>
        <x:v>-11.724667333805401</x:v>
      </x:c>
      <x:c r="H1292" s="24" t="n">
        <x:f>F1292-G1292</x:f>
        <x:v>0.546426349778935</x:v>
      </x:c>
    </x:row>
    <x:row r="1293">
      <x:c r="A1293" s="2" t="str">
        <x:v>LiD3-Flex</x:v>
      </x:c>
      <x:c r="B1293" s="4" t="str">
        <x:v>LiCl</x:v>
      </x:c>
      <x:c r="C1293" s="23" t="n">
        <x:v>1.366085</x:v>
      </x:c>
      <x:c r="D1293" s="23" t="n">
        <x:v>-19.07915</x:v>
      </x:c>
      <x:c r="E1293" s="23" t="n">
        <x:f>'Parameters'!$B$2*'Parameters'!$B$3*LN(4*PI()*C1293^2)</x:f>
        <x:v>7.820916606060462</x:v>
      </x:c>
      <x:c r="F1293" s="23" t="n">
        <x:f>D1293+E1293</x:f>
        <x:v>-11.258233393939538</x:v>
      </x:c>
      <x:c r="G1293" s="23" t="n">
        <x:f>AVERAGE($F$1343:$F$1368)</x:f>
        <x:v>-11.724667333805401</x:v>
      </x:c>
      <x:c r="H1293" s="24" t="n">
        <x:f>F1293-G1293</x:f>
        <x:v>0.4664339398658637</x:v>
      </x:c>
    </x:row>
    <x:row r="1294">
      <x:c r="A1294" s="2" t="str">
        <x:v>LiD3-Flex</x:v>
      </x:c>
      <x:c r="B1294" s="4" t="str">
        <x:v>LiCl</x:v>
      </x:c>
      <x:c r="C1294" s="23" t="n">
        <x:v>1.377831</x:v>
      </x:c>
      <x:c r="D1294" s="23" t="n">
        <x:v>-19.04976</x:v>
      </x:c>
      <x:c r="E1294" s="23" t="n">
        <x:f>'Parameters'!$B$2*'Parameters'!$B$3*LN(4*PI()*C1294^2)</x:f>
        <x:v>7.8633639800045225</x:v>
      </x:c>
      <x:c r="F1294" s="23" t="n">
        <x:f>D1294+E1294</x:f>
        <x:v>-11.186396019995478</x:v>
      </x:c>
      <x:c r="G1294" s="23" t="n">
        <x:f>AVERAGE($F$1343:$F$1368)</x:f>
        <x:v>-11.724667333805401</x:v>
      </x:c>
      <x:c r="H1294" s="24" t="n">
        <x:f>F1294-G1294</x:f>
        <x:v>0.5382713138099238</x:v>
      </x:c>
    </x:row>
    <x:row r="1295">
      <x:c r="A1295" s="2" t="str">
        <x:v>LiD3-Flex</x:v>
      </x:c>
      <x:c r="B1295" s="4" t="str">
        <x:v>LiCl</x:v>
      </x:c>
      <x:c r="C1295" s="23" t="n">
        <x:v>1.389578</x:v>
      </x:c>
      <x:c r="D1295" s="23" t="n">
        <x:v>-19.03693</x:v>
      </x:c>
      <x:c r="E1295" s="23" t="n">
        <x:f>'Parameters'!$B$2*'Parameters'!$B$3*LN(4*PI()*C1295^2)</x:f>
        <x:v>7.90545458985</x:v>
      </x:c>
      <x:c r="F1295" s="23" t="n">
        <x:f>D1295+E1295</x:f>
        <x:v>-11.131475410150003</x:v>
      </x:c>
      <x:c r="G1295" s="23" t="n">
        <x:f>AVERAGE($F$1343:$F$1368)</x:f>
        <x:v>-11.724667333805401</x:v>
      </x:c>
      <x:c r="H1295" s="24" t="n">
        <x:f>F1295-G1295</x:f>
        <x:v>0.5931919236553984</x:v>
      </x:c>
    </x:row>
    <x:row r="1296">
      <x:c r="A1296" s="2" t="str">
        <x:v>LiD3-Flex</x:v>
      </x:c>
      <x:c r="B1296" s="4" t="str">
        <x:v>LiCl</x:v>
      </x:c>
      <x:c r="C1296" s="23" t="n">
        <x:v>1.401325</x:v>
      </x:c>
      <x:c r="D1296" s="23" t="n">
        <x:v>-19.18725</x:v>
      </x:c>
      <x:c r="E1296" s="23" t="n">
        <x:f>'Parameters'!$B$2*'Parameters'!$B$3*LN(4*PI()*C1296^2)</x:f>
        <x:v>7.947190874046494</x:v>
      </x:c>
      <x:c r="F1296" s="23" t="n">
        <x:f>D1296+E1296</x:f>
        <x:v>-11.240059125953504</x:v>
      </x:c>
      <x:c r="G1296" s="23" t="n">
        <x:f>AVERAGE($F$1343:$F$1368)</x:f>
        <x:v>-11.724667333805401</x:v>
      </x:c>
      <x:c r="H1296" s="24" t="n">
        <x:f>F1296-G1296</x:f>
        <x:v>0.4846082078518972</x:v>
      </x:c>
    </x:row>
    <x:row r="1297">
      <x:c r="A1297" s="2" t="str">
        <x:v>LiD3-Flex</x:v>
      </x:c>
      <x:c r="B1297" s="4" t="str">
        <x:v>LiCl</x:v>
      </x:c>
      <x:c r="C1297" s="23" t="n">
        <x:v>1.413071</x:v>
      </x:c>
      <x:c r="D1297" s="23" t="n">
        <x:v>-19.17855</x:v>
      </x:c>
      <x:c r="E1297" s="23" t="n">
        <x:f>'Parameters'!$B$2*'Parameters'!$B$3*LN(4*PI()*C1297^2)</x:f>
        <x:v>7.988575239763317</x:v>
      </x:c>
      <x:c r="F1297" s="23" t="n">
        <x:f>D1297+E1297</x:f>
        <x:v>-11.189974760236684</x:v>
      </x:c>
      <x:c r="G1297" s="23" t="n">
        <x:f>AVERAGE($F$1343:$F$1368)</x:f>
        <x:v>-11.724667333805401</x:v>
      </x:c>
      <x:c r="H1297" s="24" t="n">
        <x:f>F1297-G1297</x:f>
        <x:v>0.5346925735687176</x:v>
      </x:c>
    </x:row>
    <x:row r="1298">
      <x:c r="A1298" s="2" t="str">
        <x:v>LiD3-Flex</x:v>
      </x:c>
      <x:c r="B1298" s="4" t="str">
        <x:v>LiCl</x:v>
      </x:c>
      <x:c r="C1298" s="23" t="n">
        <x:v>1.424818</x:v>
      </x:c>
      <x:c r="D1298" s="23" t="n">
        <x:v>-19.20185</x:v>
      </x:c>
      <x:c r="E1298" s="23" t="n">
        <x:f>'Parameters'!$B$2*'Parameters'!$B$3*LN(4*PI()*C1298^2)</x:f>
        <x:v>8.029620501992964</x:v>
      </x:c>
      <x:c r="F1298" s="23" t="n">
        <x:f>D1298+E1298</x:f>
        <x:v>-11.172229498007036</x:v>
      </x:c>
      <x:c r="G1298" s="23" t="n">
        <x:f>AVERAGE($F$1343:$F$1368)</x:f>
        <x:v>-11.724667333805401</x:v>
      </x:c>
      <x:c r="H1298" s="24" t="n">
        <x:f>F1298-G1298</x:f>
        <x:v>0.552437835798365</x:v>
      </x:c>
    </x:row>
    <x:row r="1299">
      <x:c r="A1299" s="2" t="str">
        <x:v>LiD3-Flex</x:v>
      </x:c>
      <x:c r="B1299" s="4" t="str">
        <x:v>LiCl</x:v>
      </x:c>
      <x:c r="C1299" s="23" t="n">
        <x:v>1.436565</x:v>
      </x:c>
      <x:c r="D1299" s="23" t="n">
        <x:v>-19.39921</x:v>
      </x:c>
      <x:c r="E1299" s="23" t="n">
        <x:f>'Parameters'!$B$2*'Parameters'!$B$3*LN(4*PI()*C1299^2)</x:f>
        <x:v>8.070328749474543</x:v>
      </x:c>
      <x:c r="F1299" s="23" t="n">
        <x:f>D1299+E1299</x:f>
        <x:v>-11.328881250525457</x:v>
      </x:c>
      <x:c r="G1299" s="23" t="n">
        <x:f>AVERAGE($F$1343:$F$1368)</x:f>
        <x:v>-11.724667333805401</x:v>
      </x:c>
      <x:c r="H1299" s="24" t="n">
        <x:f>F1299-G1299</x:f>
        <x:v>0.395786083279944</x:v>
      </x:c>
    </x:row>
    <x:row r="1300">
      <x:c r="A1300" s="2" t="str">
        <x:v>LiD3-Flex</x:v>
      </x:c>
      <x:c r="B1300" s="4" t="str">
        <x:v>LiCl</x:v>
      </x:c>
      <x:c r="C1300" s="23" t="n">
        <x:v>1.448312</x:v>
      </x:c>
      <x:c r="D1300" s="23" t="n">
        <x:v>-19.37608</x:v>
      </x:c>
      <x:c r="E1300" s="23" t="n">
        <x:f>'Parameters'!$B$2*'Parameters'!$B$3*LN(4*PI()*C1300^2)</x:f>
        <x:v>8.11070547149363</x:v>
      </x:c>
      <x:c r="F1300" s="23" t="n">
        <x:f>D1300+E1300</x:f>
        <x:v>-11.265374528506372</x:v>
      </x:c>
      <x:c r="G1300" s="23" t="n">
        <x:f>AVERAGE($F$1343:$F$1368)</x:f>
        <x:v>-11.724667333805401</x:v>
      </x:c>
      <x:c r="H1300" s="24" t="n">
        <x:f>F1300-G1300</x:f>
        <x:v>0.45929280529902883</x:v>
      </x:c>
    </x:row>
    <x:row r="1301">
      <x:c r="A1301" s="2" t="str">
        <x:v>LiD3-Flex</x:v>
      </x:c>
      <x:c r="B1301" s="4" t="str">
        <x:v>LiCl</x:v>
      </x:c>
      <x:c r="C1301" s="23" t="n">
        <x:v>1.460058</x:v>
      </x:c>
      <x:c r="D1301" s="23" t="n">
        <x:v>-19.32292</x:v>
      </x:c>
      <x:c r="E1301" s="23" t="n">
        <x:f>'Parameters'!$B$2*'Parameters'!$B$3*LN(4*PI()*C1301^2)</x:f>
        <x:v>8.150752628609032</x:v>
      </x:c>
      <x:c r="F1301" s="23" t="n">
        <x:f>D1301+E1301</x:f>
        <x:v>-11.172167371390968</x:v>
      </x:c>
      <x:c r="G1301" s="23" t="n">
        <x:f>AVERAGE($F$1343:$F$1368)</x:f>
        <x:v>-11.724667333805401</x:v>
      </x:c>
      <x:c r="H1301" s="24" t="n">
        <x:f>F1301-G1301</x:f>
        <x:v>0.5524999624144336</x:v>
      </x:c>
    </x:row>
    <x:row r="1302">
      <x:c r="A1302" s="2" t="str">
        <x:v>LiD3-Flex</x:v>
      </x:c>
      <x:c r="B1302" s="4" t="str">
        <x:v>LiCl</x:v>
      </x:c>
      <x:c r="C1302" s="23" t="n">
        <x:v>1.471805</x:v>
      </x:c>
      <x:c r="D1302" s="23" t="n">
        <x:v>-19.39494</x:v>
      </x:c>
      <x:c r="E1302" s="23" t="n">
        <x:f>'Parameters'!$B$2*'Parameters'!$B$3*LN(4*PI()*C1302^2)</x:f>
        <x:v>8.19048226680118</x:v>
      </x:c>
      <x:c r="F1302" s="23" t="n">
        <x:f>D1302+E1302</x:f>
        <x:v>-11.204457733198819</x:v>
      </x:c>
      <x:c r="G1302" s="23" t="n">
        <x:f>AVERAGE($F$1343:$F$1368)</x:f>
        <x:v>-11.724667333805401</x:v>
      </x:c>
      <x:c r="H1302" s="24" t="n">
        <x:f>F1302-G1302</x:f>
        <x:v>0.5202096006065826</x:v>
      </x:c>
    </x:row>
    <x:row r="1303">
      <x:c r="A1303" s="2" t="str">
        <x:v>LiD3-Flex</x:v>
      </x:c>
      <x:c r="B1303" s="4" t="str">
        <x:v>LiCl</x:v>
      </x:c>
      <x:c r="C1303" s="23" t="n">
        <x:v>1.483552</x:v>
      </x:c>
      <x:c r="D1303" s="23" t="n">
        <x:v>-19.3918</x:v>
      </x:c>
      <x:c r="E1303" s="23" t="n">
        <x:f>'Parameters'!$B$2*'Parameters'!$B$3*LN(4*PI()*C1303^2)</x:f>
        <x:v>8.22989606565798</x:v>
      </x:c>
      <x:c r="F1303" s="23" t="n">
        <x:f>D1303+E1303</x:f>
        <x:v>-11.16190393434202</x:v>
      </x:c>
      <x:c r="G1303" s="23" t="n">
        <x:f>AVERAGE($F$1343:$F$1368)</x:f>
        <x:v>-11.724667333805401</x:v>
      </x:c>
      <x:c r="H1303" s="24" t="n">
        <x:f>F1303-G1303</x:f>
        <x:v>0.5627633994633818</x:v>
      </x:c>
    </x:row>
    <x:row r="1304">
      <x:c r="A1304" s="2" t="str">
        <x:v>LiD3-Flex</x:v>
      </x:c>
      <x:c r="B1304" s="4" t="str">
        <x:v>LiCl</x:v>
      </x:c>
      <x:c r="C1304" s="23" t="n">
        <x:v>1.495298</x:v>
      </x:c>
      <x:c r="D1304" s="23" t="n">
        <x:v>-19.36438</x:v>
      </x:c>
      <x:c r="E1304" s="23" t="n">
        <x:f>'Parameters'!$B$2*'Parameters'!$B$3*LN(4*PI()*C1304^2)</x:f>
        <x:v>8.268995691596805</x:v>
      </x:c>
      <x:c r="F1304" s="23" t="n">
        <x:f>D1304+E1304</x:f>
        <x:v>-11.095384308403196</x:v>
      </x:c>
      <x:c r="G1304" s="23" t="n">
        <x:f>AVERAGE($F$1343:$F$1368)</x:f>
        <x:v>-11.724667333805401</x:v>
      </x:c>
      <x:c r="H1304" s="24" t="n">
        <x:f>F1304-G1304</x:f>
        <x:v>0.6292830254022057</x:v>
      </x:c>
    </x:row>
    <x:row r="1305">
      <x:c r="A1305" s="2" t="str">
        <x:v>LiD3-Flex</x:v>
      </x:c>
      <x:c r="B1305" s="4" t="str">
        <x:v>LiCl</x:v>
      </x:c>
      <x:c r="C1305" s="23" t="n">
        <x:v>1.507045</x:v>
      </x:c>
      <x:c r="D1305" s="23" t="n">
        <x:v>-19.62535</x:v>
      </x:c>
      <x:c r="E1305" s="23" t="n">
        <x:f>'Parameters'!$B$2*'Parameters'!$B$3*LN(4*PI()*C1305^2)</x:f>
        <x:v>8.307792666924966</x:v>
      </x:c>
      <x:c r="F1305" s="23" t="n">
        <x:f>D1305+E1305</x:f>
        <x:v>-11.317557333075035</x:v>
      </x:c>
      <x:c r="G1305" s="23" t="n">
        <x:f>AVERAGE($F$1343:$F$1368)</x:f>
        <x:v>-11.724667333805401</x:v>
      </x:c>
      <x:c r="H1305" s="24" t="n">
        <x:f>F1305-G1305</x:f>
        <x:v>0.4071100007303663</x:v>
      </x:c>
    </x:row>
    <x:row r="1306">
      <x:c r="A1306" s="2" t="str">
        <x:v>LiD3-Flex</x:v>
      </x:c>
      <x:c r="B1306" s="4" t="str">
        <x:v>LiCl</x:v>
      </x:c>
      <x:c r="C1306" s="23" t="n">
        <x:v>1.518792</x:v>
      </x:c>
      <x:c r="D1306" s="23" t="n">
        <x:v>-19.60703</x:v>
      </x:c>
      <x:c r="E1306" s="23" t="n">
        <x:f>'Parameters'!$B$2*'Parameters'!$B$3*LN(4*PI()*C1306^2)</x:f>
        <x:v>8.346288401527714</x:v>
      </x:c>
      <x:c r="F1306" s="23" t="n">
        <x:f>D1306+E1306</x:f>
        <x:v>-11.260741598472288</x:v>
      </x:c>
      <x:c r="G1306" s="23" t="n">
        <x:f>AVERAGE($F$1343:$F$1368)</x:f>
        <x:v>-11.724667333805401</x:v>
      </x:c>
      <x:c r="H1306" s="24" t="n">
        <x:f>F1306-G1306</x:f>
        <x:v>0.4639257353331132</x:v>
      </x:c>
    </x:row>
    <x:row r="1307">
      <x:c r="A1307" s="2" t="str">
        <x:v>LiD3-Flex</x:v>
      </x:c>
      <x:c r="B1307" s="4" t="str">
        <x:v>LiCl</x:v>
      </x:c>
      <x:c r="C1307" s="23" t="n">
        <x:v>1.530538</x:v>
      </x:c>
      <x:c r="D1307" s="23" t="n">
        <x:v>-19.65206</x:v>
      </x:c>
      <x:c r="E1307" s="23" t="n">
        <x:f>'Parameters'!$B$2*'Parameters'!$B$3*LN(4*PI()*C1307^2)</x:f>
        <x:v>8.384484298051046</x:v>
      </x:c>
      <x:c r="F1307" s="23" t="n">
        <x:f>D1307+E1307</x:f>
        <x:v>-11.267575701948953</x:v>
      </x:c>
      <x:c r="G1307" s="23" t="n">
        <x:f>AVERAGE($F$1343:$F$1368)</x:f>
        <x:v>-11.724667333805401</x:v>
      </x:c>
      <x:c r="H1307" s="24" t="n">
        <x:f>F1307-G1307</x:f>
        <x:v>0.4570916318564482</x:v>
      </x:c>
    </x:row>
    <x:row r="1308">
      <x:c r="A1308" s="2" t="str">
        <x:v>LiD3-Flex</x:v>
      </x:c>
      <x:c r="B1308" s="4" t="str">
        <x:v>LiCl</x:v>
      </x:c>
      <x:c r="C1308" s="23" t="n">
        <x:v>1.542285</x:v>
      </x:c>
      <x:c r="D1308" s="23" t="n">
        <x:v>-19.8158</x:v>
      </x:c>
      <x:c r="E1308" s="23" t="n">
        <x:f>'Parameters'!$B$2*'Parameters'!$B$3*LN(4*PI()*C1308^2)</x:f>
        <x:v>8.422391395317494</x:v>
      </x:c>
      <x:c r="F1308" s="23" t="n">
        <x:f>D1308+E1308</x:f>
        <x:v>-11.393408604682506</x:v>
      </x:c>
      <x:c r="G1308" s="23" t="n">
        <x:f>AVERAGE($F$1343:$F$1368)</x:f>
        <x:v>-11.724667333805401</x:v>
      </x:c>
      <x:c r="H1308" s="24" t="n">
        <x:f>F1308-G1308</x:f>
        <x:v>0.33125872912289545</x:v>
      </x:c>
    </x:row>
    <x:row r="1309">
      <x:c r="A1309" s="2" t="str">
        <x:v>LiD3-Flex</x:v>
      </x:c>
      <x:c r="B1309" s="4" t="str">
        <x:v>LiCl</x:v>
      </x:c>
      <x:c r="C1309" s="23" t="n">
        <x:v>1.554032</x:v>
      </x:c>
      <x:c r="D1309" s="23" t="n">
        <x:v>-19.89567</x:v>
      </x:c>
      <x:c r="E1309" s="23" t="n">
        <x:f>'Parameters'!$B$2*'Parameters'!$B$3*LN(4*PI()*C1309^2)</x:f>
        <x:v>8.460010861207152</x:v>
      </x:c>
      <x:c r="F1309" s="23" t="n">
        <x:f>D1309+E1309</x:f>
        <x:v>-11.435659138792847</x:v>
      </x:c>
      <x:c r="G1309" s="23" t="n">
        <x:f>AVERAGE($F$1343:$F$1368)</x:f>
        <x:v>-11.724667333805401</x:v>
      </x:c>
      <x:c r="H1309" s="24" t="n">
        <x:f>F1309-G1309</x:f>
        <x:v>0.2890081950125545</x:v>
      </x:c>
    </x:row>
    <x:row r="1310">
      <x:c r="A1310" s="2" t="str">
        <x:v>LiD3-Flex</x:v>
      </x:c>
      <x:c r="B1310" s="4" t="str">
        <x:v>LiCl</x:v>
      </x:c>
      <x:c r="C1310" s="23" t="n">
        <x:v>1.565778</x:v>
      </x:c>
      <x:c r="D1310" s="23" t="n">
        <x:v>-19.9762</x:v>
      </x:c>
      <x:c r="E1310" s="23" t="n">
        <x:f>'Parameters'!$B$2*'Parameters'!$B$3*LN(4*PI()*C1310^2)</x:f>
        <x:v>8.497343861425529</x:v>
      </x:c>
      <x:c r="F1310" s="23" t="n">
        <x:f>D1310+E1310</x:f>
        <x:v>-11.47885613857447</x:v>
      </x:c>
      <x:c r="G1310" s="23" t="n">
        <x:f>AVERAGE($F$1343:$F$1368)</x:f>
        <x:v>-11.724667333805401</x:v>
      </x:c>
      <x:c r="H1310" s="24" t="n">
        <x:f>F1310-G1310</x:f>
        <x:v>0.24581119523093165</x:v>
      </x:c>
    </x:row>
    <x:row r="1311">
      <x:c r="A1311" s="2" t="str">
        <x:v>LiD3-Flex</x:v>
      </x:c>
      <x:c r="B1311" s="4" t="str">
        <x:v>LiCl</x:v>
      </x:c>
      <x:c r="C1311" s="23" t="n">
        <x:v>1.577525</x:v>
      </x:c>
      <x:c r="D1311" s="23" t="n">
        <x:v>-19.8678</x:v>
      </x:c>
      <x:c r="E1311" s="23" t="n">
        <x:f>'Parameters'!$B$2*'Parameters'!$B$3*LN(4*PI()*C1311^2)</x:f>
        <x:v>8.53440098737941</x:v>
      </x:c>
      <x:c r="F1311" s="23" t="n">
        <x:f>D1311+E1311</x:f>
        <x:v>-11.333399012620589</x:v>
      </x:c>
      <x:c r="G1311" s="23" t="n">
        <x:f>AVERAGE($F$1343:$F$1368)</x:f>
        <x:v>-11.724667333805401</x:v>
      </x:c>
      <x:c r="H1311" s="24" t="n">
        <x:f>F1311-G1311</x:f>
        <x:v>0.39126832118481225</x:v>
      </x:c>
    </x:row>
    <x:row r="1312">
      <x:c r="A1312" s="2" t="str">
        <x:v>LiD3-Flex</x:v>
      </x:c>
      <x:c r="B1312" s="4" t="str">
        <x:v>LiCl</x:v>
      </x:c>
      <x:c r="C1312" s="23" t="n">
        <x:v>1.589272</x:v>
      </x:c>
      <x:c r="D1312" s="23" t="n">
        <x:v>-19.90525</x:v>
      </x:c>
      <x:c r="E1312" s="23" t="n">
        <x:f>'Parameters'!$B$2*'Parameters'!$B$3*LN(4*PI()*C1312^2)</x:f>
        <x:v>8.571183189448526</x:v>
      </x:c>
      <x:c r="F1312" s="23" t="n">
        <x:f>D1312+E1312</x:f>
        <x:v>-11.334066810551473</x:v>
      </x:c>
      <x:c r="G1312" s="23" t="n">
        <x:f>AVERAGE($F$1343:$F$1368)</x:f>
        <x:v>-11.724667333805401</x:v>
      </x:c>
      <x:c r="H1312" s="24" t="n">
        <x:f>F1312-G1312</x:f>
        <x:v>0.39060052325392824</x:v>
      </x:c>
    </x:row>
    <x:row r="1313">
      <x:c r="A1313" s="2" t="str">
        <x:v>LiD3-Flex</x:v>
      </x:c>
      <x:c r="B1313" s="4" t="str">
        <x:v>LiCl</x:v>
      </x:c>
      <x:c r="C1313" s="23" t="n">
        <x:v>1.601019</x:v>
      </x:c>
      <x:c r="D1313" s="23" t="n">
        <x:v>-19.909</x:v>
      </x:c>
      <x:c r="E1313" s="23" t="n">
        <x:f>'Parameters'!$B$2*'Parameters'!$B$3*LN(4*PI()*C1313^2)</x:f>
        <x:v>8.607694516887303</x:v>
      </x:c>
      <x:c r="F1313" s="23" t="n">
        <x:f>D1313+E1313</x:f>
        <x:v>-11.301305483112696</x:v>
      </x:c>
      <x:c r="G1313" s="23" t="n">
        <x:f>AVERAGE($F$1343:$F$1368)</x:f>
        <x:v>-11.724667333805401</x:v>
      </x:c>
      <x:c r="H1313" s="24" t="n">
        <x:f>F1313-G1313</x:f>
        <x:v>0.4233618506927055</x:v>
      </x:c>
    </x:row>
    <x:row r="1314">
      <x:c r="A1314" s="2" t="str">
        <x:v>LiD3-Flex</x:v>
      </x:c>
      <x:c r="B1314" s="4" t="str">
        <x:v>LiCl</x:v>
      </x:c>
      <x:c r="C1314" s="23" t="n">
        <x:v>1.612765</x:v>
      </x:c>
      <x:c r="D1314" s="23" t="n">
        <x:v>-19.91255</x:v>
      </x:c>
      <x:c r="E1314" s="23" t="n">
        <x:f>'Parameters'!$B$2*'Parameters'!$B$3*LN(4*PI()*C1314^2)</x:f>
        <x:v>8.64393585597454</x:v>
      </x:c>
      <x:c r="F1314" s="23" t="n">
        <x:f>D1314+E1314</x:f>
        <x:v>-11.26861414402546</x:v>
      </x:c>
      <x:c r="G1314" s="23" t="n">
        <x:f>AVERAGE($F$1343:$F$1368)</x:f>
        <x:v>-11.724667333805401</x:v>
      </x:c>
      <x:c r="H1314" s="24" t="n">
        <x:f>F1314-G1314</x:f>
        <x:v>0.4560531897799418</x:v>
      </x:c>
    </x:row>
    <x:row r="1315">
      <x:c r="A1315" s="2" t="str">
        <x:v>LiD3-Flex</x:v>
      </x:c>
      <x:c r="B1315" s="4" t="str">
        <x:v>LiCl</x:v>
      </x:c>
      <x:c r="C1315" s="23" t="n">
        <x:v>1.624512</x:v>
      </x:c>
      <x:c r="D1315" s="23" t="n">
        <x:v>-19.95218</x:v>
      </x:c>
      <x:c r="E1315" s="23" t="n">
        <x:f>'Parameters'!$B$2*'Parameters'!$B$3*LN(4*PI()*C1315^2)</x:f>
        <x:v>8.679917251497942</x:v>
      </x:c>
      <x:c r="F1315" s="23" t="n">
        <x:f>D1315+E1315</x:f>
        <x:v>-11.272262748502056</x:v>
      </x:c>
      <x:c r="G1315" s="23" t="n">
        <x:f>AVERAGE($F$1343:$F$1368)</x:f>
        <x:v>-11.724667333805401</x:v>
      </x:c>
      <x:c r="H1315" s="24" t="n">
        <x:f>F1315-G1315</x:f>
        <x:v>0.45240458530334493</x:v>
      </x:c>
    </x:row>
    <x:row r="1316">
      <x:c r="A1316" s="2" t="str">
        <x:v>LiD3-Flex</x:v>
      </x:c>
      <x:c r="B1316" s="4" t="str">
        <x:v>LiCl</x:v>
      </x:c>
      <x:c r="C1316" s="23" t="n">
        <x:v>1.636259</x:v>
      </x:c>
      <x:c r="D1316" s="23" t="n">
        <x:v>-20.08596</x:v>
      </x:c>
      <x:c r="E1316" s="23" t="n">
        <x:f>'Parameters'!$B$2*'Parameters'!$B$3*LN(4*PI()*C1316^2)</x:f>
        <x:v>8.71563939721598</x:v>
      </x:c>
      <x:c r="F1316" s="23" t="n">
        <x:f>D1316+E1316</x:f>
        <x:v>-11.37032060278402</x:v>
      </x:c>
      <x:c r="G1316" s="23" t="n">
        <x:f>AVERAGE($F$1343:$F$1368)</x:f>
        <x:v>-11.724667333805401</x:v>
      </x:c>
      <x:c r="H1316" s="24" t="n">
        <x:f>F1316-G1316</x:f>
        <x:v>0.3543467310213817</x:v>
      </x:c>
    </x:row>
    <x:row r="1317">
      <x:c r="A1317" s="2" t="str">
        <x:v>LiD3-Flex</x:v>
      </x:c>
      <x:c r="B1317" s="4" t="str">
        <x:v>LiCl</x:v>
      </x:c>
      <x:c r="C1317" s="23" t="n">
        <x:v>1.648005</x:v>
      </x:c>
      <x:c r="D1317" s="23" t="n">
        <x:v>-20.03218</x:v>
      </x:c>
      <x:c r="E1317" s="23" t="n">
        <x:f>'Parameters'!$B$2*'Parameters'!$B$3*LN(4*PI()*C1317^2)</x:f>
        <x:v>8.75110299383209</x:v>
      </x:c>
      <x:c r="F1317" s="23" t="n">
        <x:f>D1317+E1317</x:f>
        <x:v>-11.28107700616791</x:v>
      </x:c>
      <x:c r="G1317" s="23" t="n">
        <x:f>AVERAGE($F$1343:$F$1368)</x:f>
        <x:v>-11.724667333805401</x:v>
      </x:c>
      <x:c r="H1317" s="24" t="n">
        <x:f>F1317-G1317</x:f>
        <x:v>0.44359032763749084</x:v>
      </x:c>
    </x:row>
    <x:row r="1318">
      <x:c r="A1318" s="2" t="str">
        <x:v>LiD3-Flex</x:v>
      </x:c>
      <x:c r="B1318" s="4" t="str">
        <x:v>LiCl</x:v>
      </x:c>
      <x:c r="C1318" s="23" t="n">
        <x:v>1.659752</x:v>
      </x:c>
      <x:c r="D1318" s="23" t="n">
        <x:v>-20.2197</x:v>
      </x:c>
      <x:c r="E1318" s="23" t="n">
        <x:f>'Parameters'!$B$2*'Parameters'!$B$3*LN(4*PI()*C1318^2)</x:f>
        <x:v>8.786317709605013</x:v>
      </x:c>
      <x:c r="F1318" s="23" t="n">
        <x:f>D1318+E1318</x:f>
        <x:v>-11.433382290394986</x:v>
      </x:c>
      <x:c r="G1318" s="23" t="n">
        <x:f>AVERAGE($F$1343:$F$1368)</x:f>
        <x:v>-11.724667333805401</x:v>
      </x:c>
      <x:c r="H1318" s="24" t="n">
        <x:f>F1318-G1318</x:f>
        <x:v>0.29128504341041506</x:v>
      </x:c>
    </x:row>
    <x:row r="1319">
      <x:c r="A1319" s="2" t="str">
        <x:v>LiD3-Flex</x:v>
      </x:c>
      <x:c r="B1319" s="4" t="str">
        <x:v>LiCl</x:v>
      </x:c>
      <x:c r="C1319" s="23" t="n">
        <x:v>1.671499</x:v>
      </x:c>
      <x:c r="D1319" s="23" t="n">
        <x:v>-20.27871</x:v>
      </x:c>
      <x:c r="E1319" s="23" t="n">
        <x:f>'Parameters'!$B$2*'Parameters'!$B$3*LN(4*PI()*C1319^2)</x:f>
        <x:v>8.821284067804372</x:v>
      </x:c>
      <x:c r="F1319" s="23" t="n">
        <x:f>D1319+E1319</x:f>
        <x:v>-11.457425932195628</x:v>
      </x:c>
      <x:c r="G1319" s="23" t="n">
        <x:f>AVERAGE($F$1343:$F$1368)</x:f>
        <x:v>-11.724667333805401</x:v>
      </x:c>
      <x:c r="H1319" s="24" t="n">
        <x:f>F1319-G1319</x:f>
        <x:v>0.2672414016097733</x:v>
      </x:c>
    </x:row>
    <x:row r="1320">
      <x:c r="A1320" s="2" t="str">
        <x:v>LiD3-Flex</x:v>
      </x:c>
      <x:c r="B1320" s="4" t="str">
        <x:v>LiCl</x:v>
      </x:c>
      <x:c r="C1320" s="23" t="n">
        <x:v>1.683245</x:v>
      </x:c>
      <x:c r="D1320" s="23" t="n">
        <x:v>-20.24261</x:v>
      </x:c>
      <x:c r="E1320" s="23" t="n">
        <x:f>'Parameters'!$B$2*'Parameters'!$B$3*LN(4*PI()*C1320^2)</x:f>
        <x:v>8.856002601626844</x:v>
      </x:c>
      <x:c r="F1320" s="23" t="n">
        <x:f>D1320+E1320</x:f>
        <x:v>-11.386607398373155</x:v>
      </x:c>
      <x:c r="G1320" s="23" t="n">
        <x:f>AVERAGE($F$1343:$F$1368)</x:f>
        <x:v>-11.724667333805401</x:v>
      </x:c>
      <x:c r="H1320" s="24" t="n">
        <x:f>F1320-G1320</x:f>
        <x:v>0.33805993543224666</x:v>
      </x:c>
    </x:row>
    <x:row r="1321">
      <x:c r="A1321" s="2" t="str">
        <x:v>LiD3-Flex</x:v>
      </x:c>
      <x:c r="B1321" s="4" t="str">
        <x:v>LiCl</x:v>
      </x:c>
      <x:c r="C1321" s="23" t="n">
        <x:v>1.694992</x:v>
      </x:c>
      <x:c r="D1321" s="23" t="n">
        <x:v>-20.4715</x:v>
      </x:c>
      <x:c r="E1321" s="23" t="n">
        <x:f>'Parameters'!$B$2*'Parameters'!$B$3*LN(4*PI()*C1321^2)</x:f>
        <x:v>8.890482628451778</x:v>
      </x:c>
      <x:c r="F1321" s="23" t="n">
        <x:f>D1321+E1321</x:f>
        <x:v>-11.58101737154822</x:v>
      </x:c>
      <x:c r="G1321" s="23" t="n">
        <x:f>AVERAGE($F$1343:$F$1368)</x:f>
        <x:v>-11.724667333805401</x:v>
      </x:c>
      <x:c r="H1321" s="24" t="n">
        <x:f>F1321-G1321</x:f>
        <x:v>0.14364996225718052</x:v>
      </x:c>
    </x:row>
    <x:row r="1322">
      <x:c r="A1322" s="2" t="str">
        <x:v>LiD3-Flex</x:v>
      </x:c>
      <x:c r="B1322" s="4" t="str">
        <x:v>LiCl</x:v>
      </x:c>
      <x:c r="C1322" s="23" t="n">
        <x:v>1.706739</x:v>
      </x:c>
      <x:c r="D1322" s="23" t="n">
        <x:v>-20.50629</x:v>
      </x:c>
      <x:c r="E1322" s="23" t="n">
        <x:f>'Parameters'!$B$2*'Parameters'!$B$3*LN(4*PI()*C1322^2)</x:f>
        <x:v>8.924724517630697</x:v>
      </x:c>
      <x:c r="F1322" s="23" t="n">
        <x:f>D1322+E1322</x:f>
        <x:v>-11.581565482369303</x:v>
      </x:c>
      <x:c r="G1322" s="23" t="n">
        <x:f>AVERAGE($F$1343:$F$1368)</x:f>
        <x:v>-11.724667333805401</x:v>
      </x:c>
      <x:c r="H1322" s="24" t="n">
        <x:f>F1322-G1322</x:f>
        <x:v>0.14310185143609822</x:v>
      </x:c>
    </x:row>
    <x:row r="1323">
      <x:c r="A1323" s="2" t="str">
        <x:v>LiD3-Flex</x:v>
      </x:c>
      <x:c r="B1323" s="4" t="str">
        <x:v>LiCl</x:v>
      </x:c>
      <x:c r="C1323" s="23" t="n">
        <x:v>1.718485</x:v>
      </x:c>
      <x:c r="D1323" s="23" t="n">
        <x:v>-20.50765</x:v>
      </x:c>
      <x:c r="E1323" s="23" t="n">
        <x:f>'Parameters'!$B$2*'Parameters'!$B$3*LN(4*PI()*C1323^2)</x:f>
        <x:v>8.958728650979074</x:v>
      </x:c>
      <x:c r="F1323" s="23" t="n">
        <x:f>D1323+E1323</x:f>
        <x:v>-11.548921349020928</x:v>
      </x:c>
      <x:c r="G1323" s="23" t="n">
        <x:f>AVERAGE($F$1343:$F$1368)</x:f>
        <x:v>-11.724667333805401</x:v>
      </x:c>
      <x:c r="H1323" s="24" t="n">
        <x:f>F1323-G1323</x:f>
        <x:v>0.17574598478447356</x:v>
      </x:c>
    </x:row>
    <x:row r="1324">
      <x:c r="A1324" s="2" t="str">
        <x:v>LiD3-Flex</x:v>
      </x:c>
      <x:c r="B1324" s="4" t="str">
        <x:v>LiCl</x:v>
      </x:c>
      <x:c r="C1324" s="23" t="n">
        <x:v>1.730232</x:v>
      </x:c>
      <x:c r="D1324" s="23" t="n">
        <x:v>-20.76003</x:v>
      </x:c>
      <x:c r="E1324" s="23" t="n">
        <x:f>'Parameters'!$B$2*'Parameters'!$B$3*LN(4*PI()*C1324^2)</x:f>
        <x:v>8.992504018278865</x:v>
      </x:c>
      <x:c r="F1324" s="23" t="n">
        <x:f>D1324+E1324</x:f>
        <x:v>-11.767525981721136</x:v>
      </x:c>
      <x:c r="G1324" s="23" t="n">
        <x:f>AVERAGE($F$1343:$F$1368)</x:f>
        <x:v>-11.724667333805401</x:v>
      </x:c>
      <x:c r="H1324" s="24" t="n">
        <x:f>F1324-G1324</x:f>
        <x:v>-0.04285864791573424</x:v>
      </x:c>
    </x:row>
    <x:row r="1325">
      <x:c r="A1325" s="2" t="str">
        <x:v>LiD3-Flex</x:v>
      </x:c>
      <x:c r="B1325" s="4" t="str">
        <x:v>LiCl</x:v>
      </x:c>
      <x:c r="C1325" s="23" t="n">
        <x:v>1.741979</x:v>
      </x:c>
      <x:c r="D1325" s="23" t="n">
        <x:v>-20.70776</x:v>
      </x:c>
      <x:c r="E1325" s="23" t="n">
        <x:f>'Parameters'!$B$2*'Parameters'!$B$3*LN(4*PI()*C1325^2)</x:f>
        <x:v>9.026050849768206</x:v>
      </x:c>
      <x:c r="F1325" s="23" t="n">
        <x:f>D1325+E1325</x:f>
        <x:v>-11.681709150231795</x:v>
      </x:c>
      <x:c r="G1325" s="23" t="n">
        <x:f>AVERAGE($F$1343:$F$1368)</x:f>
        <x:v>-11.724667333805401</x:v>
      </x:c>
      <x:c r="H1325" s="24" t="n">
        <x:f>F1325-G1325</x:f>
        <x:v>0.04295818357360659</x:v>
      </x:c>
    </x:row>
    <x:row r="1326">
      <x:c r="A1326" s="2" t="str">
        <x:v>LiD3-Flex</x:v>
      </x:c>
      <x:c r="B1326" s="4" t="str">
        <x:v>LiCl</x:v>
      </x:c>
      <x:c r="C1326" s="23" t="n">
        <x:v>1.753726</x:v>
      </x:c>
      <x:c r="D1326" s="23" t="n">
        <x:v>-20.7636</x:v>
      </x:c>
      <x:c r="E1326" s="23" t="n">
        <x:f>'Parameters'!$B$2*'Parameters'!$B$3*LN(4*PI()*C1326^2)</x:f>
        <x:v>9.059372217377582</x:v>
      </x:c>
      <x:c r="F1326" s="23" t="n">
        <x:f>D1326+E1326</x:f>
        <x:v>-11.704227782622418</x:v>
      </x:c>
      <x:c r="G1326" s="23" t="n">
        <x:f>AVERAGE($F$1343:$F$1368)</x:f>
        <x:v>-11.724667333805401</x:v>
      </x:c>
      <x:c r="H1326" s="24" t="n">
        <x:f>F1326-G1326</x:f>
        <x:v>0.02043955118298335</x:v>
      </x:c>
    </x:row>
    <x:row r="1327">
      <x:c r="A1327" s="2" t="str">
        <x:v>LiD3-Flex</x:v>
      </x:c>
      <x:c r="B1327" s="4" t="str">
        <x:v>LiCl</x:v>
      </x:c>
      <x:c r="C1327" s="23" t="n">
        <x:v>1.765472</x:v>
      </x:c>
      <x:c r="D1327" s="23" t="n">
        <x:v>-20.83521</x:v>
      </x:c>
      <x:c r="E1327" s="23" t="n">
        <x:f>'Parameters'!$B$2*'Parameters'!$B$3*LN(4*PI()*C1327^2)</x:f>
        <x:v>9.092468323247704</x:v>
      </x:c>
      <x:c r="F1327" s="23" t="n">
        <x:f>D1327+E1327</x:f>
        <x:v>-11.742741676752296</x:v>
      </x:c>
      <x:c r="G1327" s="23" t="n">
        <x:f>AVERAGE($F$1343:$F$1368)</x:f>
        <x:v>-11.724667333805401</x:v>
      </x:c>
      <x:c r="H1327" s="24" t="n">
        <x:f>F1327-G1327</x:f>
        <x:v>-0.01807434294689436</x:v>
      </x:c>
    </x:row>
    <x:row r="1328">
      <x:c r="A1328" s="2" t="str">
        <x:v>LiD3-Flex</x:v>
      </x:c>
      <x:c r="B1328" s="4" t="str">
        <x:v>LiCl</x:v>
      </x:c>
      <x:c r="C1328" s="23" t="n">
        <x:v>1.777219</x:v>
      </x:c>
      <x:c r="D1328" s="23" t="n">
        <x:v>-20.74252</x:v>
      </x:c>
      <x:c r="E1328" s="23" t="n">
        <x:f>'Parameters'!$B$2*'Parameters'!$B$3*LN(4*PI()*C1328^2)</x:f>
        <x:v>9.125347752982272</x:v>
      </x:c>
      <x:c r="F1328" s="23" t="n">
        <x:f>D1328+E1328</x:f>
        <x:v>-11.617172247017727</x:v>
      </x:c>
      <x:c r="G1328" s="23" t="n">
        <x:f>AVERAGE($F$1343:$F$1368)</x:f>
        <x:v>-11.724667333805401</x:v>
      </x:c>
      <x:c r="H1328" s="24" t="n">
        <x:f>F1328-G1328</x:f>
        <x:v>0.10749508678767405</x:v>
      </x:c>
    </x:row>
    <x:row r="1329">
      <x:c r="A1329" s="2" t="str">
        <x:v>LiD3-Flex</x:v>
      </x:c>
      <x:c r="B1329" s="4" t="str">
        <x:v>LiCl</x:v>
      </x:c>
      <x:c r="C1329" s="23" t="n">
        <x:v>1.788966</x:v>
      </x:c>
      <x:c r="D1329" s="23" t="n">
        <x:v>-20.82104</x:v>
      </x:c>
      <x:c r="E1329" s="23" t="n">
        <x:f>'Parameters'!$B$2*'Parameters'!$B$3*LN(4*PI()*C1329^2)</x:f>
        <x:v>9.158010571708575</x:v>
      </x:c>
      <x:c r="F1329" s="23" t="n">
        <x:f>D1329+E1329</x:f>
        <x:v>-11.663029428291425</x:v>
      </x:c>
      <x:c r="G1329" s="23" t="n">
        <x:f>AVERAGE($F$1343:$F$1368)</x:f>
        <x:v>-11.724667333805401</x:v>
      </x:c>
      <x:c r="H1329" s="24" t="n">
        <x:f>F1329-G1329</x:f>
        <x:v>0.061637905513975966</x:v>
      </x:c>
    </x:row>
    <x:row r="1330">
      <x:c r="A1330" s="2" t="str">
        <x:v>LiD3-Flex</x:v>
      </x:c>
      <x:c r="B1330" s="4" t="str">
        <x:v>LiCl</x:v>
      </x:c>
      <x:c r="C1330" s="23" t="n">
        <x:v>1.800712</x:v>
      </x:c>
      <x:c r="D1330" s="23" t="n">
        <x:v>-20.73764</x:v>
      </x:c>
      <x:c r="E1330" s="23" t="n">
        <x:f>'Parameters'!$B$2*'Parameters'!$B$3*LN(4*PI()*C1330^2)</x:f>
        <x:v>9.190456861534233</x:v>
      </x:c>
      <x:c r="F1330" s="23" t="n">
        <x:f>D1330+E1330</x:f>
        <x:v>-11.547183138465765</x:v>
      </x:c>
      <x:c r="G1330" s="23" t="n">
        <x:f>AVERAGE($F$1343:$F$1368)</x:f>
        <x:v>-11.724667333805401</x:v>
      </x:c>
      <x:c r="H1330" s="24" t="n">
        <x:f>F1330-G1330</x:f>
        <x:v>0.17748419533963578</x:v>
      </x:c>
    </x:row>
    <x:row r="1331">
      <x:c r="A1331" s="2" t="str">
        <x:v>LiD3-Flex</x:v>
      </x:c>
      <x:c r="B1331" s="4" t="str">
        <x:v>LiCl</x:v>
      </x:c>
      <x:c r="C1331" s="23" t="n">
        <x:v>1.812459</x:v>
      </x:c>
      <x:c r="D1331" s="23" t="n">
        <x:v>-20.83956</x:v>
      </x:c>
      <x:c r="E1331" s="23" t="n">
        <x:f>'Parameters'!$B$2*'Parameters'!$B$3*LN(4*PI()*C1331^2)</x:f>
        <x:v>9.222694927021193</x:v>
      </x:c>
      <x:c r="F1331" s="23" t="n">
        <x:f>D1331+E1331</x:f>
        <x:v>-11.616865072978806</x:v>
      </x:c>
      <x:c r="G1331" s="23" t="n">
        <x:f>AVERAGE($F$1343:$F$1368)</x:f>
        <x:v>-11.724667333805401</x:v>
      </x:c>
      <x:c r="H1331" s="24" t="n">
        <x:f>F1331-G1331</x:f>
        <x:v>0.10780226082659539</x:v>
      </x:c>
    </x:row>
    <x:row r="1332">
      <x:c r="A1332" s="2" t="str">
        <x:v>LiD3-Flex</x:v>
      </x:c>
      <x:c r="B1332" s="4" t="str">
        <x:v>LiCl</x:v>
      </x:c>
      <x:c r="C1332" s="23" t="n">
        <x:v>1.824206</x:v>
      </x:c>
      <x:c r="D1332" s="23" t="n">
        <x:v>-20.73777</x:v>
      </x:c>
      <x:c r="E1332" s="23" t="n">
        <x:f>'Parameters'!$B$2*'Parameters'!$B$3*LN(4*PI()*C1332^2)</x:f>
        <x:v>9.254724723009542</x:v>
      </x:c>
      <x:c r="F1332" s="23" t="n">
        <x:f>D1332+E1332</x:f>
        <x:v>-11.48304527699046</x:v>
      </x:c>
      <x:c r="G1332" s="23" t="n">
        <x:f>AVERAGE($F$1343:$F$1368)</x:f>
        <x:v>-11.724667333805401</x:v>
      </x:c>
      <x:c r="H1332" s="24" t="n">
        <x:f>F1332-G1332</x:f>
        <x:v>0.24162205681494164</x:v>
      </x:c>
    </x:row>
    <x:row r="1333">
      <x:c r="A1333" s="2" t="str">
        <x:v>LiD3-Flex</x:v>
      </x:c>
      <x:c r="B1333" s="4" t="str">
        <x:v>LiCl</x:v>
      </x:c>
      <x:c r="C1333" s="23" t="n">
        <x:v>1.835952</x:v>
      </x:c>
      <x:c r="D1333" s="23" t="n">
        <x:v>-20.8495</x:v>
      </x:c>
      <x:c r="E1333" s="23" t="n">
        <x:f>'Parameters'!$B$2*'Parameters'!$B$3*LN(4*PI()*C1333^2)</x:f>
        <x:v>9.286546222768234</x:v>
      </x:c>
      <x:c r="F1333" s="23" t="n">
        <x:f>D1333+E1333</x:f>
        <x:v>-11.562953777231765</x:v>
      </x:c>
      <x:c r="G1333" s="23" t="n">
        <x:f>AVERAGE($F$1343:$F$1368)</x:f>
        <x:v>-11.724667333805401</x:v>
      </x:c>
      <x:c r="H1333" s="24" t="n">
        <x:f>F1333-G1333</x:f>
        <x:v>0.16171355657363584</x:v>
      </x:c>
    </x:row>
    <x:row r="1334">
      <x:c r="A1334" s="2" t="str">
        <x:v>LiD3-Flex</x:v>
      </x:c>
      <x:c r="B1334" s="4" t="str">
        <x:v>LiCl</x:v>
      </x:c>
      <x:c r="C1334" s="23" t="n">
        <x:v>1.847699</x:v>
      </x:c>
      <x:c r="D1334" s="23" t="n">
        <x:v>-20.72197</x:v>
      </x:c>
      <x:c r="E1334" s="23" t="n">
        <x:f>'Parameters'!$B$2*'Parameters'!$B$3*LN(4*PI()*C1334^2)</x:f>
        <x:v>9.318167466952048</x:v>
      </x:c>
      <x:c r="F1334" s="23" t="n">
        <x:f>D1334+E1334</x:f>
        <x:v>-11.403802533047951</x:v>
      </x:c>
      <x:c r="G1334" s="23" t="n">
        <x:f>AVERAGE($F$1343:$F$1368)</x:f>
        <x:v>-11.724667333805401</x:v>
      </x:c>
      <x:c r="H1334" s="24" t="n">
        <x:f>F1334-G1334</x:f>
        <x:v>0.32086480075744994</x:v>
      </x:c>
    </x:row>
    <x:row r="1335">
      <x:c r="A1335" s="2" t="str">
        <x:v>LiD3-Flex</x:v>
      </x:c>
      <x:c r="B1335" s="4" t="str">
        <x:v>LiCl</x:v>
      </x:c>
      <x:c r="C1335" s="23" t="n">
        <x:v>1.859446</x:v>
      </x:c>
      <x:c r="D1335" s="23" t="n">
        <x:v>-20.86717</x:v>
      </x:c>
      <x:c r="E1335" s="23" t="n">
        <x:f>'Parameters'!$B$2*'Parameters'!$B$3*LN(4*PI()*C1335^2)</x:f>
        <x:v>9.349588310423247</x:v>
      </x:c>
      <x:c r="F1335" s="23" t="n">
        <x:f>D1335+E1335</x:f>
        <x:v>-11.517581689576755</x:v>
      </x:c>
      <x:c r="G1335" s="23" t="n">
        <x:f>AVERAGE($F$1343:$F$1368)</x:f>
        <x:v>-11.724667333805401</x:v>
      </x:c>
      <x:c r="H1335" s="24" t="n">
        <x:f>F1335-G1335</x:f>
        <x:v>0.20708564422864661</x:v>
      </x:c>
    </x:row>
    <x:row r="1336">
      <x:c r="A1336" s="2" t="str">
        <x:v>LiD3-Flex</x:v>
      </x:c>
      <x:c r="B1336" s="4" t="str">
        <x:v>LiCl</x:v>
      </x:c>
      <x:c r="C1336" s="23" t="n">
        <x:v>1.871192</x:v>
      </x:c>
      <x:c r="D1336" s="23" t="n">
        <x:v>-20.9637</x:v>
      </x:c>
      <x:c r="E1336" s="23" t="n">
        <x:f>'Parameters'!$B$2*'Parameters'!$B$3*LN(4*PI()*C1336^2)</x:f>
        <x:v>9.380808627685031</x:v>
      </x:c>
      <x:c r="F1336" s="23" t="n">
        <x:f>D1336+E1336</x:f>
        <x:v>-11.582891372314968</x:v>
      </x:c>
      <x:c r="G1336" s="23" t="n">
        <x:f>AVERAGE($F$1343:$F$1368)</x:f>
        <x:v>-11.724667333805401</x:v>
      </x:c>
      <x:c r="H1336" s="24" t="n">
        <x:f>F1336-G1336</x:f>
        <x:v>0.14177596149043303</x:v>
      </x:c>
    </x:row>
    <x:row r="1337">
      <x:c r="A1337" s="2" t="str">
        <x:v>LiD3-Flex</x:v>
      </x:c>
      <x:c r="B1337" s="4" t="str">
        <x:v>LiCl</x:v>
      </x:c>
      <x:c r="C1337" s="23" t="n">
        <x:v>1.882939</x:v>
      </x:c>
      <x:c r="D1337" s="23" t="n">
        <x:v>-20.81916</x:v>
      </x:c>
      <x:c r="E1337" s="23" t="n">
        <x:f>'Parameters'!$B$2*'Parameters'!$B$3*LN(4*PI()*C1337^2)</x:f>
        <x:v>9.411836211184951</x:v>
      </x:c>
      <x:c r="F1337" s="23" t="n">
        <x:f>D1337+E1337</x:f>
        <x:v>-11.407323788815049</x:v>
      </x:c>
      <x:c r="G1337" s="23" t="n">
        <x:f>AVERAGE($F$1343:$F$1368)</x:f>
        <x:v>-11.724667333805401</x:v>
      </x:c>
      <x:c r="H1337" s="24" t="n">
        <x:f>F1337-G1337</x:f>
        <x:v>0.31734354499035256</x:v>
      </x:c>
    </x:row>
    <x:row r="1338">
      <x:c r="A1338" s="2" t="str">
        <x:v>LiD3-Flex</x:v>
      </x:c>
      <x:c r="B1338" s="4" t="str">
        <x:v>LiCl</x:v>
      </x:c>
      <x:c r="C1338" s="23" t="n">
        <x:v>1.894686</x:v>
      </x:c>
      <x:c r="D1338" s="23" t="n">
        <x:v>-20.94657</x:v>
      </x:c>
      <x:c r="E1338" s="23" t="n">
        <x:f>'Parameters'!$B$2*'Parameters'!$B$3*LN(4*PI()*C1338^2)</x:f>
        <x:v>9.442670825091346</x:v>
      </x:c>
      <x:c r="F1338" s="23" t="n">
        <x:f>D1338+E1338</x:f>
        <x:v>-11.503899174908655</x:v>
      </x:c>
      <x:c r="G1338" s="23" t="n">
        <x:f>AVERAGE($F$1343:$F$1368)</x:f>
        <x:v>-11.724667333805401</x:v>
      </x:c>
      <x:c r="H1338" s="24" t="n">
        <x:f>F1338-G1338</x:f>
        <x:v>0.22076815889674606</x:v>
      </x:c>
    </x:row>
    <x:row r="1339">
      <x:c r="A1339" s="2" t="str">
        <x:v>LiD3-Flex</x:v>
      </x:c>
      <x:c r="B1339" s="4" t="str">
        <x:v>LiCl</x:v>
      </x:c>
      <x:c r="C1339" s="23" t="n">
        <x:v>1.906433</x:v>
      </x:c>
      <x:c r="D1339" s="23" t="n">
        <x:v>-21.08216</x:v>
      </x:c>
      <x:c r="E1339" s="23" t="n">
        <x:f>'Parameters'!$B$2*'Parameters'!$B$3*LN(4*PI()*C1339^2)</x:f>
        <x:v>9.473314854844496</x:v>
      </x:c>
      <x:c r="F1339" s="23" t="n">
        <x:f>D1339+E1339</x:f>
        <x:v>-11.608845145155502</x:v>
      </x:c>
      <x:c r="G1339" s="23" t="n">
        <x:f>AVERAGE($F$1343:$F$1368)</x:f>
        <x:v>-11.724667333805401</x:v>
      </x:c>
      <x:c r="H1339" s="24" t="n">
        <x:f>F1339-G1339</x:f>
        <x:v>0.1158221886498989</x:v>
      </x:c>
    </x:row>
    <x:row r="1340">
      <x:c r="A1340" s="2" t="str">
        <x:v>LiD3-Flex</x:v>
      </x:c>
      <x:c r="B1340" s="4" t="str">
        <x:v>LiCl</x:v>
      </x:c>
      <x:c r="C1340" s="23" t="n">
        <x:v>1.918179</x:v>
      </x:c>
      <x:c r="D1340" s="23" t="n">
        <x:v>-21.04316</x:v>
      </x:c>
      <x:c r="E1340" s="23" t="n">
        <x:f>'Parameters'!$B$2*'Parameters'!$B$3*LN(4*PI()*C1340^2)</x:f>
        <x:v>9.503768057226317</x:v>
      </x:c>
      <x:c r="F1340" s="23" t="n">
        <x:f>D1340+E1340</x:f>
        <x:v>-11.539391942773683</x:v>
      </x:c>
      <x:c r="G1340" s="23" t="n">
        <x:f>AVERAGE($F$1343:$F$1368)</x:f>
        <x:v>-11.724667333805401</x:v>
      </x:c>
      <x:c r="H1340" s="24" t="n">
        <x:f>F1340-G1340</x:f>
        <x:v>0.18527539103171797</x:v>
      </x:c>
    </x:row>
    <x:row r="1341">
      <x:c r="A1341" s="2" t="str">
        <x:v>LiD3-Flex</x:v>
      </x:c>
      <x:c r="B1341" s="4" t="str">
        <x:v>LiCl</x:v>
      </x:c>
      <x:c r="C1341" s="23" t="n">
        <x:v>1.929926</x:v>
      </x:c>
      <x:c r="D1341" s="23" t="n">
        <x:v>-20.99586</x:v>
      </x:c>
      <x:c r="E1341" s="23" t="n">
        <x:f>'Parameters'!$B$2*'Parameters'!$B$3*LN(4*PI()*C1341^2)</x:f>
        <x:v>9.534037915957004</x:v>
      </x:c>
      <x:c r="F1341" s="23" t="n">
        <x:f>D1341+E1341</x:f>
        <x:v>-11.461822084042996</x:v>
      </x:c>
      <x:c r="G1341" s="23" t="n">
        <x:f>AVERAGE($F$1343:$F$1368)</x:f>
        <x:v>-11.724667333805401</x:v>
      </x:c>
      <x:c r="H1341" s="24" t="n">
        <x:f>F1341-G1341</x:f>
        <x:v>0.262845249762405</x:v>
      </x:c>
    </x:row>
    <x:row r="1342">
      <x:c r="A1342" s="2" t="str">
        <x:v>LiD3-Flex</x:v>
      </x:c>
      <x:c r="B1342" s="4" t="str">
        <x:v>LiCl</x:v>
      </x:c>
      <x:c r="C1342" s="23" t="n">
        <x:v>1.941673</x:v>
      </x:c>
      <x:c r="D1342" s="23" t="n">
        <x:v>-21.06713</x:v>
      </x:c>
      <x:c r="E1342" s="23" t="n">
        <x:f>'Parameters'!$B$2*'Parameters'!$B$3*LN(4*PI()*C1342^2)</x:f>
        <x:v>9.564124087162453</x:v>
      </x:c>
      <x:c r="F1342" s="23" t="n">
        <x:f>D1342+E1342</x:f>
        <x:v>-11.503005912837546</x:v>
      </x:c>
      <x:c r="G1342" s="23" t="n">
        <x:f>AVERAGE($F$1343:$F$1368)</x:f>
        <x:v>-11.724667333805401</x:v>
      </x:c>
      <x:c r="H1342" s="24" t="n">
        <x:f>F1342-G1342</x:f>
        <x:v>0.22166142096785535</x:v>
      </x:c>
    </x:row>
    <x:row r="1343">
      <x:c r="A1343" s="2" t="str">
        <x:v>LiD3-Flex</x:v>
      </x:c>
      <x:c r="B1343" s="4" t="str">
        <x:v>LiCl</x:v>
      </x:c>
      <x:c r="C1343" s="23" t="n">
        <x:v>1.953419</x:v>
      </x:c>
      <x:c r="D1343" s="23" t="n">
        <x:v>-21.04565</x:v>
      </x:c>
      <x:c r="E1343" s="23" t="n">
        <x:f>'Parameters'!$B$2*'Parameters'!$B$3*LN(4*PI()*C1343^2)</x:f>
        <x:v>9.594026248686673</x:v>
      </x:c>
      <x:c r="F1343" s="23" t="n">
        <x:f>D1343+E1343</x:f>
        <x:v>-11.451623751313326</x:v>
      </x:c>
      <x:c r="G1343" s="23" t="n">
        <x:f>AVERAGE($F$1343:$F$1368)</x:f>
        <x:v>-11.724667333805401</x:v>
      </x:c>
      <x:c r="H1343" s="24" t="n">
        <x:f>F1343-G1343</x:f>
        <x:v>0.2730435824920754</x:v>
      </x:c>
    </x:row>
    <x:row r="1344">
      <x:c r="A1344" s="2" t="str">
        <x:v>LiD3-Flex</x:v>
      </x:c>
      <x:c r="B1344" s="4" t="str">
        <x:v>LiCl</x:v>
      </x:c>
      <x:c r="C1344" s="23" t="n">
        <x:v>1.965166</x:v>
      </x:c>
      <x:c r="D1344" s="23" t="n">
        <x:v>-21.14375</x:v>
      </x:c>
      <x:c r="E1344" s="23" t="n">
        <x:f>'Parameters'!$B$2*'Parameters'!$B$3*LN(4*PI()*C1344^2)</x:f>
        <x:v>9.623751667895965</x:v>
      </x:c>
      <x:c r="F1344" s="23" t="n">
        <x:f>D1344+E1344</x:f>
        <x:v>-11.519998332104036</x:v>
      </x:c>
      <x:c r="G1344" s="23" t="n">
        <x:f>AVERAGE($F$1343:$F$1368)</x:f>
        <x:v>-11.724667333805401</x:v>
      </x:c>
      <x:c r="H1344" s="24" t="n">
        <x:f>F1344-G1344</x:f>
        <x:v>0.20466900170136526</x:v>
      </x:c>
    </x:row>
    <x:row r="1345">
      <x:c r="A1345" s="2" t="str">
        <x:v>LiD3-Flex</x:v>
      </x:c>
      <x:c r="B1345" s="4" t="str">
        <x:v>LiCl</x:v>
      </x:c>
      <x:c r="C1345" s="23" t="n">
        <x:v>1.976913</x:v>
      </x:c>
      <x:c r="D1345" s="23" t="n">
        <x:v>-21.18222</x:v>
      </x:c>
      <x:c r="E1345" s="23" t="n">
        <x:f>'Parameters'!$B$2*'Parameters'!$B$3*LN(4*PI()*C1345^2)</x:f>
        <x:v>9.65329992851823</x:v>
      </x:c>
      <x:c r="F1345" s="23" t="n">
        <x:f>D1345+E1345</x:f>
        <x:v>-11.528920071481771</x:v>
      </x:c>
      <x:c r="G1345" s="23" t="n">
        <x:f>AVERAGE($F$1343:$F$1368)</x:f>
        <x:v>-11.724667333805401</x:v>
      </x:c>
      <x:c r="H1345" s="24" t="n">
        <x:f>F1345-G1345</x:f>
        <x:v>0.19574726232363027</x:v>
      </x:c>
    </x:row>
    <x:row r="1346">
      <x:c r="A1346" s="2" t="str">
        <x:v>LiD3-Flex</x:v>
      </x:c>
      <x:c r="B1346" s="4" t="str">
        <x:v>LiCl</x:v>
      </x:c>
      <x:c r="C1346" s="23" t="n">
        <x:v>1.988659</x:v>
      </x:c>
      <x:c r="D1346" s="23" t="n">
        <x:v>-21.25402</x:v>
      </x:c>
      <x:c r="E1346" s="23" t="n">
        <x:f>'Parameters'!$B$2*'Parameters'!$B$3*LN(4*PI()*C1346^2)</x:f>
        <x:v>9.68267063662728</x:v>
      </x:c>
      <x:c r="F1346" s="23" t="n">
        <x:f>D1346+E1346</x:f>
        <x:v>-11.57134936337272</x:v>
      </x:c>
      <x:c r="G1346" s="23" t="n">
        <x:f>AVERAGE($F$1343:$F$1368)</x:f>
        <x:v>-11.724667333805401</x:v>
      </x:c>
      <x:c r="H1346" s="24" t="n">
        <x:f>F1346-G1346</x:f>
        <x:v>0.15331797043268125</x:v>
      </x:c>
    </x:row>
    <x:row r="1347">
      <x:c r="A1347" s="2" t="str">
        <x:v>LiD3-Flex</x:v>
      </x:c>
      <x:c r="B1347" s="4" t="str">
        <x:v>LiCl</x:v>
      </x:c>
      <x:c r="C1347" s="23" t="n">
        <x:v>2.000406</x:v>
      </x:c>
      <x:c r="D1347" s="23" t="n">
        <x:v>-21.14428</x:v>
      </x:c>
      <x:c r="E1347" s="23" t="n">
        <x:f>'Parameters'!$B$2*'Parameters'!$B$3*LN(4*PI()*C1347^2)</x:f>
        <x:v>9.71187085512742</x:v>
      </x:c>
      <x:c r="F1347" s="23" t="n">
        <x:f>D1347+E1347</x:f>
        <x:v>-11.432409144872578</x:v>
      </x:c>
      <x:c r="G1347" s="23" t="n">
        <x:f>AVERAGE($F$1343:$F$1368)</x:f>
        <x:v>-11.724667333805401</x:v>
      </x:c>
      <x:c r="H1347" s="24" t="n">
        <x:f>F1347-G1347</x:f>
        <x:v>0.2922581889328235</x:v>
      </x:c>
    </x:row>
    <x:row r="1348">
      <x:c r="A1348" s="2" t="str">
        <x:v>LiD3-Flex</x:v>
      </x:c>
      <x:c r="B1348" s="4" t="str">
        <x:v>LiCl</x:v>
      </x:c>
      <x:c r="C1348" s="23" t="n">
        <x:v>2.012153</x:v>
      </x:c>
      <x:c r="D1348" s="23" t="n">
        <x:v>-21.26284</x:v>
      </x:c>
      <x:c r="E1348" s="23" t="n">
        <x:f>'Parameters'!$B$2*'Parameters'!$B$3*LN(4*PI()*C1348^2)</x:f>
        <x:v>9.740900101969624</x:v>
      </x:c>
      <x:c r="F1348" s="23" t="n">
        <x:f>D1348+E1348</x:f>
        <x:v>-11.521939898030377</x:v>
      </x:c>
      <x:c r="G1348" s="23" t="n">
        <x:f>AVERAGE($F$1343:$F$1368)</x:f>
        <x:v>-11.724667333805401</x:v>
      </x:c>
      <x:c r="H1348" s="24" t="n">
        <x:f>F1348-G1348</x:f>
        <x:v>0.2027274357750244</x:v>
      </x:c>
    </x:row>
    <x:row r="1349">
      <x:c r="A1349" s="2" t="str">
        <x:v>LiD3-Flex</x:v>
      </x:c>
      <x:c r="B1349" s="4" t="str">
        <x:v>LiCl</x:v>
      </x:c>
      <x:c r="C1349" s="23" t="n">
        <x:v>2.023899</x:v>
      </x:c>
      <x:c r="D1349" s="23" t="n">
        <x:v>-21.3491</x:v>
      </x:c>
      <x:c r="E1349" s="23" t="n">
        <x:f>'Parameters'!$B$2*'Parameters'!$B$3*LN(4*PI()*C1349^2)</x:f>
        <x:v>9.769757917950452</x:v>
      </x:c>
      <x:c r="F1349" s="23" t="n">
        <x:f>D1349+E1349</x:f>
        <x:v>-11.579342082049548</x:v>
      </x:c>
      <x:c r="G1349" s="23" t="n">
        <x:f>AVERAGE($F$1343:$F$1368)</x:f>
        <x:v>-11.724667333805401</x:v>
      </x:c>
      <x:c r="H1349" s="24" t="n">
        <x:f>F1349-G1349</x:f>
        <x:v>0.1453252517558532</x:v>
      </x:c>
    </x:row>
    <x:row r="1350">
      <x:c r="A1350" s="2" t="str">
        <x:v>LiD3-Flex</x:v>
      </x:c>
      <x:c r="B1350" s="4" t="str">
        <x:v>LiCl</x:v>
      </x:c>
      <x:c r="C1350" s="23" t="n">
        <x:v>2.035646</x:v>
      </x:c>
      <x:c r="D1350" s="23" t="n">
        <x:v>-21.36765</x:v>
      </x:c>
      <x:c r="E1350" s="23" t="n">
        <x:f>'Parameters'!$B$2*'Parameters'!$B$3*LN(4*PI()*C1350^2)</x:f>
        <x:v>9.798451172495303</x:v>
      </x:c>
      <x:c r="F1350" s="23" t="n">
        <x:f>D1350+E1350</x:f>
        <x:v>-11.569198827504698</x:v>
      </x:c>
      <x:c r="G1350" s="23" t="n">
        <x:f>AVERAGE($F$1343:$F$1368)</x:f>
        <x:v>-11.724667333805401</x:v>
      </x:c>
      <x:c r="H1350" s="24" t="n">
        <x:f>F1350-G1350</x:f>
        <x:v>0.15546850630070352</x:v>
      </x:c>
    </x:row>
    <x:row r="1351">
      <x:c r="A1351" s="2" t="str">
        <x:v>LiD3-Flex</x:v>
      </x:c>
      <x:c r="B1351" s="4" t="str">
        <x:v>LiCl</x:v>
      </x:c>
      <x:c r="C1351" s="23" t="n">
        <x:v>2.047393</x:v>
      </x:c>
      <x:c r="D1351" s="23" t="n">
        <x:v>-21.4343</x:v>
      </x:c>
      <x:c r="E1351" s="23" t="n">
        <x:f>'Parameters'!$B$2*'Parameters'!$B$3*LN(4*PI()*C1351^2)</x:f>
        <x:v>9.82697932377933</x:v>
      </x:c>
      <x:c r="F1351" s="23" t="n">
        <x:f>D1351+E1351</x:f>
        <x:v>-11.60732067622067</x:v>
      </x:c>
      <x:c r="G1351" s="23" t="n">
        <x:f>AVERAGE($F$1343:$F$1368)</x:f>
        <x:v>-11.724667333805401</x:v>
      </x:c>
      <x:c r="H1351" s="24" t="n">
        <x:f>F1351-G1351</x:f>
        <x:v>0.11734665758473106</x:v>
      </x:c>
    </x:row>
    <x:row r="1352">
      <x:c r="A1352" s="2" t="str">
        <x:v>LiD3-Flex</x:v>
      </x:c>
      <x:c r="B1352" s="4" t="str">
        <x:v>LiCl</x:v>
      </x:c>
      <x:c r="C1352" s="23" t="n">
        <x:v>2.05914</x:v>
      </x:c>
      <x:c r="D1352" s="23" t="n">
        <x:v>-21.45248</x:v>
      </x:c>
      <x:c r="E1352" s="23" t="n">
        <x:f>'Parameters'!$B$2*'Parameters'!$B$3*LN(4*PI()*C1352^2)</x:f>
        <x:v>9.855344260971782</x:v>
      </x:c>
      <x:c r="F1352" s="23" t="n">
        <x:f>D1352+E1352</x:f>
        <x:v>-11.59713573902822</x:v>
      </x:c>
      <x:c r="G1352" s="23" t="n">
        <x:f>AVERAGE($F$1343:$F$1368)</x:f>
        <x:v>-11.724667333805401</x:v>
      </x:c>
      <x:c r="H1352" s="24" t="n">
        <x:f>F1352-G1352</x:f>
        <x:v>0.12753159477718157</x:v>
      </x:c>
    </x:row>
    <x:row r="1353">
      <x:c r="A1353" s="2" t="str">
        <x:v>LiD3-Flex</x:v>
      </x:c>
      <x:c r="B1353" s="4" t="str">
        <x:v>LiCl</x:v>
      </x:c>
      <x:c r="C1353" s="23" t="n">
        <x:v>2.070886</x:v>
      </x:c>
      <x:c r="D1353" s="23" t="n">
        <x:v>-21.46889</x:v>
      </x:c>
      <x:c r="E1353" s="23" t="n">
        <x:f>'Parameters'!$B$2*'Parameters'!$B$3*LN(4*PI()*C1353^2)</x:f>
        <x:v>9.883545446899204</x:v>
      </x:c>
      <x:c r="F1353" s="23" t="n">
        <x:f>D1353+E1353</x:f>
        <x:v>-11.585344553100795</x:v>
      </x:c>
      <x:c r="G1353" s="23" t="n">
        <x:f>AVERAGE($F$1343:$F$1368)</x:f>
        <x:v>-11.724667333805401</x:v>
      </x:c>
      <x:c r="H1353" s="24" t="n">
        <x:f>F1353-G1353</x:f>
        <x:v>0.13932278070460669</x:v>
      </x:c>
    </x:row>
    <x:row r="1354">
      <x:c r="A1354" s="2" t="str">
        <x:v>LiD3-Flex</x:v>
      </x:c>
      <x:c r="B1354" s="4" t="str">
        <x:v>LiCl</x:v>
      </x:c>
      <x:c r="C1354" s="23" t="n">
        <x:v>2.082633</x:v>
      </x:c>
      <x:c r="D1354" s="23" t="n">
        <x:v>-21.63898</x:v>
      </x:c>
      <x:c r="E1354" s="23" t="n">
        <x:f>'Parameters'!$B$2*'Parameters'!$B$3*LN(4*PI()*C1354^2)</x:f>
        <x:v>9.911589508687802</x:v>
      </x:c>
      <x:c r="F1354" s="23" t="n">
        <x:f>D1354+E1354</x:f>
        <x:v>-11.727390491312198</x:v>
      </x:c>
      <x:c r="G1354" s="23" t="n">
        <x:f>AVERAGE($F$1343:$F$1368)</x:f>
        <x:v>-11.724667333805401</x:v>
      </x:c>
      <x:c r="H1354" s="24" t="n">
        <x:f>F1354-G1354</x:f>
        <x:v>-0.0027231575067965252</x:v>
      </x:c>
    </x:row>
    <x:row r="1355">
      <x:c r="A1355" s="2" t="str">
        <x:v>LiD3-Flex</x:v>
      </x:c>
      <x:c r="B1355" s="4" t="str">
        <x:v>LiCl</x:v>
      </x:c>
      <x:c r="C1355" s="23" t="n">
        <x:v>2.09438</x:v>
      </x:c>
      <x:c r="D1355" s="23" t="n">
        <x:v>-21.6752</x:v>
      </x:c>
      <x:c r="E1355" s="23" t="n">
        <x:f>'Parameters'!$B$2*'Parameters'!$B$3*LN(4*PI()*C1355^2)</x:f>
        <x:v>9.939475833195836</x:v>
      </x:c>
      <x:c r="F1355" s="23" t="n">
        <x:f>D1355+E1355</x:f>
        <x:v>-11.735724166804165</x:v>
      </x:c>
      <x:c r="G1355" s="23" t="n">
        <x:f>AVERAGE($F$1343:$F$1368)</x:f>
        <x:v>-11.724667333805401</x:v>
      </x:c>
      <x:c r="H1355" s="24" t="n">
        <x:f>F1355-G1355</x:f>
        <x:v>-0.011056832998763255</x:v>
      </x:c>
    </x:row>
    <x:row r="1356">
      <x:c r="A1356" s="2" t="str">
        <x:v>LiD3-Flex</x:v>
      </x:c>
      <x:c r="B1356" s="4" t="str">
        <x:v>LiCl</x:v>
      </x:c>
      <x:c r="C1356" s="23" t="n">
        <x:v>2.106126</x:v>
      </x:c>
      <x:c r="D1356" s="23" t="n">
        <x:v>-21.73934</x:v>
      </x:c>
      <x:c r="E1356" s="23" t="n">
        <x:f>'Parameters'!$B$2*'Parameters'!$B$3*LN(4*PI()*C1356^2)</x:f>
        <x:v>9.967203830884971</x:v>
      </x:c>
      <x:c r="F1356" s="23" t="n">
        <x:f>D1356+E1356</x:f>
        <x:v>-11.772136169115027</x:v>
      </x:c>
      <x:c r="G1356" s="23" t="n">
        <x:f>AVERAGE($F$1343:$F$1368)</x:f>
        <x:v>-11.724667333805401</x:v>
      </x:c>
      <x:c r="H1356" s="24" t="n">
        <x:f>F1356-G1356</x:f>
        <x:v>-0.0474688353096262</x:v>
      </x:c>
    </x:row>
    <x:row r="1357">
      <x:c r="A1357" s="2" t="str">
        <x:v>LiD3-Flex</x:v>
      </x:c>
      <x:c r="B1357" s="4" t="str">
        <x:v>LiCl</x:v>
      </x:c>
      <x:c r="C1357" s="23" t="n">
        <x:v>2.117873</x:v>
      </x:c>
      <x:c r="D1357" s="23" t="n">
        <x:v>-21.71939</x:v>
      </x:c>
      <x:c r="E1357" s="23" t="n">
        <x:f>'Parameters'!$B$2*'Parameters'!$B$3*LN(4*PI()*C1357^2)</x:f>
        <x:v>9.994779957962288</x:v>
      </x:c>
      <x:c r="F1357" s="23" t="n">
        <x:f>D1357+E1357</x:f>
        <x:v>-11.724610042037712</x:v>
      </x:c>
      <x:c r="G1357" s="23" t="n">
        <x:f>AVERAGE($F$1343:$F$1368)</x:f>
        <x:v>-11.724667333805401</x:v>
      </x:c>
      <x:c r="H1357" s="24" t="n">
        <x:f>F1357-G1357</x:f>
        <x:v>0.00005729176768909383</x:v>
      </x:c>
    </x:row>
    <x:row r="1358">
      <x:c r="A1358" s="2" t="str">
        <x:v>LiD3-Flex</x:v>
      </x:c>
      <x:c r="B1358" s="4" t="str">
        <x:v>LiCl</x:v>
      </x:c>
      <x:c r="C1358" s="23" t="n">
        <x:v>2.12962</x:v>
      </x:c>
      <x:c r="D1358" s="23" t="n">
        <x:v>-21.76655</x:v>
      </x:c>
      <x:c r="E1358" s="23" t="n">
        <x:f>'Parameters'!$B$2*'Parameters'!$B$3*LN(4*PI()*C1358^2)</x:f>
        <x:v>10.022203553453947</x:v>
      </x:c>
      <x:c r="F1358" s="23" t="n">
        <x:f>D1358+E1358</x:f>
        <x:v>-11.744346446546052</x:v>
      </x:c>
      <x:c r="G1358" s="23" t="n">
        <x:f>AVERAGE($F$1343:$F$1368)</x:f>
        <x:v>-11.724667333805401</x:v>
      </x:c>
      <x:c r="H1358" s="24" t="n">
        <x:f>F1358-G1358</x:f>
        <x:v>-0.019679112740650595</x:v>
      </x:c>
    </x:row>
    <x:row r="1359">
      <x:c r="A1359" s="2" t="str">
        <x:v>LiD3-Flex</x:v>
      </x:c>
      <x:c r="B1359" s="4" t="str">
        <x:v>LiCl</x:v>
      </x:c>
      <x:c r="C1359" s="23" t="n">
        <x:v>2.141366</x:v>
      </x:c>
      <x:c r="D1359" s="23" t="n">
        <x:v>-21.96621</x:v>
      </x:c>
      <x:c r="E1359" s="23" t="n">
        <x:f>'Parameters'!$B$2*'Parameters'!$B$3*LN(4*PI()*C1359^2)</x:f>
        <x:v>10.049473980171424</x:v>
      </x:c>
      <x:c r="F1359" s="23" t="n">
        <x:f>D1359+E1359</x:f>
        <x:v>-11.916736019828576</x:v>
      </x:c>
      <x:c r="G1359" s="23" t="n">
        <x:f>AVERAGE($F$1343:$F$1368)</x:f>
        <x:v>-11.724667333805401</x:v>
      </x:c>
      <x:c r="H1359" s="24" t="n">
        <x:f>F1359-G1359</x:f>
        <x:v>-0.19206868602317506</x:v>
      </x:c>
    </x:row>
    <x:row r="1360">
      <x:c r="A1360" s="2" t="str">
        <x:v>LiD3-Flex</x:v>
      </x:c>
      <x:c r="B1360" s="4" t="str">
        <x:v>LiCl</x:v>
      </x:c>
      <x:c r="C1360" s="23" t="n">
        <x:v>2.153113</x:v>
      </x:c>
      <x:c r="D1360" s="23" t="n">
        <x:v>-21.97468</x:v>
      </x:c>
      <x:c r="E1360" s="23" t="n">
        <x:f>'Parameters'!$B$2*'Parameters'!$B$3*LN(4*PI()*C1360^2)</x:f>
        <x:v>10.076597531927682</x:v>
      </x:c>
      <x:c r="F1360" s="23" t="n">
        <x:f>D1360+E1360</x:f>
        <x:v>-11.898082468072317</x:v>
      </x:c>
      <x:c r="G1360" s="23" t="n">
        <x:f>AVERAGE($F$1343:$F$1368)</x:f>
        <x:v>-11.724667333805401</x:v>
      </x:c>
      <x:c r="H1360" s="24" t="n">
        <x:f>F1360-G1360</x:f>
        <x:v>-0.17341513426691613</x:v>
      </x:c>
    </x:row>
    <x:row r="1361">
      <x:c r="A1361" s="2" t="str">
        <x:v>LiD3-Flex</x:v>
      </x:c>
      <x:c r="B1361" s="4" t="str">
        <x:v>LiCl</x:v>
      </x:c>
      <x:c r="C1361" s="23" t="n">
        <x:v>2.16486</x:v>
      </x:c>
      <x:c r="D1361" s="23" t="n">
        <x:v>-21.99946</x:v>
      </x:c>
      <x:c r="E1361" s="23" t="n">
        <x:f>'Parameters'!$B$2*'Parameters'!$B$3*LN(4*PI()*C1361^2)</x:f>
        <x:v>10.103573504280886</x:v>
      </x:c>
      <x:c r="F1361" s="23" t="n">
        <x:f>D1361+E1361</x:f>
        <x:v>-11.895886495719113</x:v>
      </x:c>
      <x:c r="G1361" s="23" t="n">
        <x:f>AVERAGE($F$1343:$F$1368)</x:f>
        <x:v>-11.724667333805401</x:v>
      </x:c>
      <x:c r="H1361" s="24" t="n">
        <x:f>F1361-G1361</x:f>
        <x:v>-0.17121916191371156</x:v>
      </x:c>
    </x:row>
    <x:row r="1362">
      <x:c r="A1362" s="2" t="str">
        <x:v>LiD3-Flex</x:v>
      </x:c>
      <x:c r="B1362" s="4" t="str">
        <x:v>LiCl</x:v>
      </x:c>
      <x:c r="C1362" s="23" t="n">
        <x:v>2.176607</x:v>
      </x:c>
      <x:c r="D1362" s="23" t="n">
        <x:v>-22.13576</x:v>
      </x:c>
      <x:c r="E1362" s="23" t="n">
        <x:f>'Parameters'!$B$2*'Parameters'!$B$3*LN(4*PI()*C1362^2)</x:f>
        <x:v>10.130403494504957</x:v>
      </x:c>
      <x:c r="F1362" s="23" t="n">
        <x:f>D1362+E1362</x:f>
        <x:v>-12.005356505495044</x:v>
      </x:c>
      <x:c r="G1362" s="23" t="n">
        <x:f>AVERAGE($F$1343:$F$1368)</x:f>
        <x:v>-11.724667333805401</x:v>
      </x:c>
      <x:c r="H1362" s="24" t="n">
        <x:f>F1362-G1362</x:f>
        <x:v>-0.2806891716896427</x:v>
      </x:c>
    </x:row>
    <x:row r="1363">
      <x:c r="A1363" s="2" t="str">
        <x:v>LiD3-Flex</x:v>
      </x:c>
      <x:c r="B1363" s="4" t="str">
        <x:v>LiCl</x:v>
      </x:c>
      <x:c r="C1363" s="23" t="n">
        <x:v>2.188353</x:v>
      </x:c>
      <x:c r="D1363" s="23" t="n">
        <x:v>-22.16446</x:v>
      </x:c>
      <x:c r="E1363" s="23" t="n">
        <x:f>'Parameters'!$B$2*'Parameters'!$B$3*LN(4*PI()*C1363^2)</x:f>
        <x:v>10.157086808491004</x:v>
      </x:c>
      <x:c r="F1363" s="23" t="n">
        <x:f>D1363+E1363</x:f>
        <x:v>-12.007373191508995</x:v>
      </x:c>
      <x:c r="G1363" s="23" t="n">
        <x:f>AVERAGE($F$1343:$F$1368)</x:f>
        <x:v>-11.724667333805401</x:v>
      </x:c>
      <x:c r="H1363" s="24" t="n">
        <x:f>F1363-G1363</x:f>
        <x:v>-0.28270585770359347</x:v>
      </x:c>
    </x:row>
    <x:row r="1364">
      <x:c r="A1364" s="2" t="str">
        <x:v>LiD3-Flex</x:v>
      </x:c>
      <x:c r="B1364" s="4" t="str">
        <x:v>LiCl</x:v>
      </x:c>
      <x:c r="C1364" s="23" t="n">
        <x:v>2.2001</x:v>
      </x:c>
      <x:c r="D1364" s="23" t="n">
        <x:v>-22.17172</x:v>
      </x:c>
      <x:c r="E1364" s="23" t="n">
        <x:f>'Parameters'!$B$2*'Parameters'!$B$3*LN(4*PI()*C1364^2)</x:f>
        <x:v>10.183629535760424</x:v>
      </x:c>
      <x:c r="F1364" s="23" t="n">
        <x:f>D1364+E1364</x:f>
        <x:v>-11.988090464239576</x:v>
      </x:c>
      <x:c r="G1364" s="23" t="n">
        <x:f>AVERAGE($F$1343:$F$1368)</x:f>
        <x:v>-11.724667333805401</x:v>
      </x:c>
      <x:c r="H1364" s="24" t="n">
        <x:f>F1364-G1364</x:f>
        <x:v>-0.263423130434175</x:v>
      </x:c>
    </x:row>
    <x:row r="1365">
      <x:c r="A1365" s="2" t="str">
        <x:v>LiD3-Flex</x:v>
      </x:c>
      <x:c r="B1365" s="4" t="str">
        <x:v>LiCl</x:v>
      </x:c>
      <x:c r="C1365" s="23" t="n">
        <x:v>2.211847</x:v>
      </x:c>
      <x:c r="D1365" s="23" t="n">
        <x:v>-21.99315</x:v>
      </x:c>
      <x:c r="E1365" s="23" t="n">
        <x:f>'Parameters'!$B$2*'Parameters'!$B$3*LN(4*PI()*C1365^2)</x:f>
        <x:v>10.210030920037841</x:v>
      </x:c>
      <x:c r="F1365" s="23" t="n">
        <x:f>D1365+E1365</x:f>
        <x:v>-11.783119079962159</x:v>
      </x:c>
      <x:c r="G1365" s="23" t="n">
        <x:f>AVERAGE($F$1343:$F$1368)</x:f>
        <x:v>-11.724667333805401</x:v>
      </x:c>
      <x:c r="H1365" s="24" t="n">
        <x:f>F1365-G1365</x:f>
        <x:v>-0.05845174615675752</x:v>
      </x:c>
    </x:row>
    <x:row r="1366">
      <x:c r="A1366" s="2" t="str">
        <x:v>LiD3-Flex</x:v>
      </x:c>
      <x:c r="B1366" s="4" t="str">
        <x:v>LiCl</x:v>
      </x:c>
      <x:c r="C1366" s="23" t="n">
        <x:v>2.223593</x:v>
      </x:c>
      <x:c r="D1366" s="23" t="n">
        <x:v>-22.09381</x:v>
      </x:c>
      <x:c r="E1366" s="23" t="n">
        <x:f>'Parameters'!$B$2*'Parameters'!$B$3*LN(4*PI()*C1366^2)</x:f>
        <x:v>10.236290229002188</x:v>
      </x:c>
      <x:c r="F1366" s="23" t="n">
        <x:f>D1366+E1366</x:f>
        <x:v>-11.857519770997813</x:v>
      </x:c>
      <x:c r="G1366" s="23" t="n">
        <x:f>AVERAGE($F$1343:$F$1368)</x:f>
        <x:v>-11.724667333805401</x:v>
      </x:c>
      <x:c r="H1366" s="24" t="n">
        <x:f>F1366-G1366</x:f>
        <x:v>-0.1328524371924118</x:v>
      </x:c>
    </x:row>
    <x:row r="1367">
      <x:c r="A1367" s="2" t="str">
        <x:v>LiD3-Flex</x:v>
      </x:c>
      <x:c r="B1367" s="4" t="str">
        <x:v>LiCl</x:v>
      </x:c>
      <x:c r="C1367" s="23" t="n">
        <x:v>2.23534</x:v>
      </x:c>
      <x:c r="D1367" s="23" t="n">
        <x:v>-22.15377</x:v>
      </x:c>
      <x:c r="E1367" s="23" t="n">
        <x:f>'Parameters'!$B$2*'Parameters'!$B$3*LN(4*PI()*C1367^2)</x:f>
        <x:v>10.262413407437073</x:v>
      </x:c>
      <x:c r="F1367" s="23" t="n">
        <x:f>D1367+E1367</x:f>
        <x:v>-11.891356592562929</x:v>
      </x:c>
      <x:c r="G1367" s="23" t="n">
        <x:f>AVERAGE($F$1343:$F$1368)</x:f>
        <x:v>-11.724667333805401</x:v>
      </x:c>
      <x:c r="H1367" s="24" t="n">
        <x:f>F1367-G1367</x:f>
        <x:v>-0.16668925875752727</x:v>
      </x:c>
    </x:row>
    <x:row r="1368">
      <x:c r="A1368" s="2" t="str">
        <x:v>LiD3-Flex</x:v>
      </x:c>
      <x:c r="B1368" s="4" t="str">
        <x:v>LiCl</x:v>
      </x:c>
      <x:c r="C1368" s="23" t="n">
        <x:v>2.247087</x:v>
      </x:c>
      <x:c r="D1368" s="23" t="n">
        <x:v>-22.21744</x:v>
      </x:c>
      <x:c r="E1368" s="23" t="n">
        <x:f>'Parameters'!$B$2*'Parameters'!$B$3*LN(4*PI()*C1368^2)</x:f>
        <x:v>10.288399664340021</x:v>
      </x:c>
      <x:c r="F1368" s="23" t="n">
        <x:f>D1368+E1368</x:f>
        <x:v>-11.929040335659979</x:v>
      </x:c>
      <x:c r="G1368" s="23" t="n">
        <x:f>AVERAGE($F$1343:$F$1368)</x:f>
        <x:v>-11.724667333805401</x:v>
      </x:c>
      <x:c r="H1368" s="24" t="n">
        <x:f>F1368-G1368</x:f>
        <x:v>-0.2043730018545773</x:v>
      </x:c>
    </x:row>
    <x:row r="1369">
      <x:c r="A1369" s="2" t="str">
        <x:v>LiD3-Flex</x:v>
      </x:c>
      <x:c r="B1369" s="4" t="str">
        <x:v>LiCl</x:v>
      </x:c>
      <x:c r="C1369" s="23" t="n">
        <x:v>2.258833</x:v>
      </x:c>
      <x:c r="D1369" s="23" t="n">
        <x:v>-22.18947</x:v>
      </x:c>
      <x:c r="E1369" s="23" t="n">
        <x:f>'Parameters'!$B$2*'Parameters'!$B$3*LN(4*PI()*C1369^2)</x:f>
        <x:v>10.314248232646111</x:v>
      </x:c>
      <x:c r="F1369" s="23" t="n">
        <x:f>D1369+E1369</x:f>
        <x:v>-11.875221767353889</x:v>
      </x:c>
      <x:c r="G1369" s="23" t="n">
        <x:f>AVERAGE($F$1343:$F$1368)</x:f>
        <x:v>-11.724667333805401</x:v>
      </x:c>
      <x:c r="H1369" s="24" t="n">
        <x:f>F1369-G1369</x:f>
        <x:v>-0.1505544335484874</x:v>
      </x:c>
    </x:row>
    <x:row r="1370">
      <x:c r="A1370" s="2" t="str">
        <x:v>LiD3-Flex</x:v>
      </x:c>
      <x:c r="B1370" s="4" t="str">
        <x:v>LiCl</x:v>
      </x:c>
      <x:c r="C1370" s="23" t="n">
        <x:v>2.27058</x:v>
      </x:c>
      <x:c r="D1370" s="23" t="n">
        <x:v>-22.24179</x:v>
      </x:c>
      <x:c r="E1370" s="23" t="n">
        <x:f>'Parameters'!$B$2*'Parameters'!$B$3*LN(4*PI()*C1370^2)</x:f>
        <x:v>10.339964919127755</x:v>
      </x:c>
      <x:c r="F1370" s="23" t="n">
        <x:f>D1370+E1370</x:f>
        <x:v>-11.901825080872246</x:v>
      </x:c>
      <x:c r="G1370" s="23" t="n">
        <x:f>AVERAGE($F$1343:$F$1368)</x:f>
        <x:v>-11.724667333805401</x:v>
      </x:c>
      <x:c r="H1370" s="24" t="n">
        <x:f>F1370-G1370</x:f>
        <x:v>-0.17715774706684506</x:v>
      </x:c>
    </x:row>
    <x:row r="1371">
      <x:c r="A1371" s="2" t="str">
        <x:v>LiD3-Flex</x:v>
      </x:c>
      <x:c r="B1371" s="4" t="str">
        <x:v>LiCl</x:v>
      </x:c>
      <x:c r="C1371" s="23" t="n">
        <x:v>2.282327</x:v>
      </x:c>
      <x:c r="D1371" s="23" t="n">
        <x:v>-22.26522</x:v>
      </x:c>
      <x:c r="E1371" s="23" t="n">
        <x:f>'Parameters'!$B$2*'Parameters'!$B$3*LN(4*PI()*C1371^2)</x:f>
        <x:v>10.365548901268957</x:v>
      </x:c>
      <x:c r="F1371" s="23" t="n">
        <x:f>D1371+E1371</x:f>
        <x:v>-11.899671098731043</x:v>
      </x:c>
      <x:c r="G1371" s="23" t="n">
        <x:f>AVERAGE($F$1343:$F$1368)</x:f>
        <x:v>-11.724667333805401</x:v>
      </x:c>
      <x:c r="H1371" s="24" t="n">
        <x:f>F1371-G1371</x:f>
        <x:v>-0.1750037649256413</x:v>
      </x:c>
    </x:row>
    <x:row r="1372">
      <x:c r="A1372" s="2" t="str">
        <x:v>LiD3-Flex</x:v>
      </x:c>
      <x:c r="B1372" s="4" t="str">
        <x:v>LiCl</x:v>
      </x:c>
      <x:c r="C1372" s="23" t="n">
        <x:v>2.294073</x:v>
      </x:c>
      <x:c r="D1372" s="23" t="n">
        <x:v>-22.32492</x:v>
      </x:c>
      <x:c r="E1372" s="23" t="n">
        <x:f>'Parameters'!$B$2*'Parameters'!$B$3*LN(4*PI()*C1372^2)</x:f>
        <x:v>10.390999380431218</x:v>
      </x:c>
      <x:c r="F1372" s="23" t="n">
        <x:f>D1372+E1372</x:f>
        <x:v>-11.93392061956878</x:v>
      </x:c>
      <x:c r="G1372" s="23" t="n">
        <x:f>AVERAGE($F$1343:$F$1368)</x:f>
        <x:v>-11.724667333805401</x:v>
      </x:c>
      <x:c r="H1372" s="24" t="n">
        <x:f>F1372-G1372</x:f>
        <x:v>-0.20925328576337954</x:v>
      </x:c>
    </x:row>
    <x:row r="1373">
      <x:c r="A1373" s="2" t="str">
        <x:v>LiD3-Flex</x:v>
      </x:c>
      <x:c r="B1373" s="4" t="str">
        <x:v>LiCl</x:v>
      </x:c>
      <x:c r="C1373" s="23" t="n">
        <x:v>2.30582</x:v>
      </x:c>
      <x:c r="D1373" s="23" t="n">
        <x:v>-22.50501</x:v>
      </x:c>
      <x:c r="E1373" s="23" t="n">
        <x:f>'Parameters'!$B$2*'Parameters'!$B$3*LN(4*PI()*C1373^2)</x:f>
        <x:v>10.41632203165922</x:v>
      </x:c>
      <x:c r="F1373" s="23" t="n">
        <x:f>D1373+E1373</x:f>
        <x:v>-12.088687968340778</x:v>
      </x:c>
      <x:c r="G1373" s="23" t="n">
        <x:f>AVERAGE($F$1343:$F$1368)</x:f>
        <x:v>-11.724667333805401</x:v>
      </x:c>
      <x:c r="H1373" s="24" t="n">
        <x:f>F1373-G1373</x:f>
        <x:v>-0.36402063453537714</x:v>
      </x:c>
    </x:row>
    <x:row r="1374">
      <x:c r="A1374" s="2" t="str">
        <x:v>LiD3-Flex</x:v>
      </x:c>
      <x:c r="B1374" s="4" t="str">
        <x:v>LiCl</x:v>
      </x:c>
      <x:c r="C1374" s="23" t="n">
        <x:v>2.317567</x:v>
      </x:c>
      <x:c r="D1374" s="23" t="n">
        <x:v>-22.43148</x:v>
      </x:c>
      <x:c r="E1374" s="23" t="n">
        <x:f>'Parameters'!$B$2*'Parameters'!$B$3*LN(4*PI()*C1374^2)</x:f>
        <x:v>10.441516003861457</x:v>
      </x:c>
      <x:c r="F1374" s="23" t="n">
        <x:f>D1374+E1374</x:f>
        <x:v>-11.989963996138544</x:v>
      </x:c>
      <x:c r="G1374" s="23" t="n">
        <x:f>AVERAGE($F$1343:$F$1368)</x:f>
        <x:v>-11.724667333805401</x:v>
      </x:c>
      <x:c r="H1374" s="24" t="n">
        <x:f>F1374-G1374</x:f>
        <x:v>-0.2652966623331423</x:v>
      </x:c>
    </x:row>
    <x:row r="1375">
      <x:c r="A1375" s="2" t="str">
        <x:v>LiD3-Flex</x:v>
      </x:c>
      <x:c r="B1375" s="4" t="str">
        <x:v>LiCl</x:v>
      </x:c>
      <x:c r="C1375" s="23" t="n">
        <x:v>2.329314</x:v>
      </x:c>
      <x:c r="D1375" s="23" t="n">
        <x:v>-22.58033</x:v>
      </x:c>
      <x:c r="E1375" s="23" t="n">
        <x:f>'Parameters'!$B$2*'Parameters'!$B$3*LN(4*PI()*C1375^2)</x:f>
        <x:v>10.466582598213682</x:v>
      </x:c>
      <x:c r="F1375" s="23" t="n">
        <x:f>D1375+E1375</x:f>
        <x:v>-12.113747401786318</x:v>
      </x:c>
      <x:c r="G1375" s="23" t="n">
        <x:f>AVERAGE($F$1343:$F$1368)</x:f>
        <x:v>-11.724667333805401</x:v>
      </x:c>
      <x:c r="H1375" s="24" t="n">
        <x:f>F1375-G1375</x:f>
        <x:v>-0.38908006798091677</x:v>
      </x:c>
    </x:row>
    <x:row r="1376">
      <x:c r="A1376" s="2" t="str">
        <x:v>LiD3-Flex</x:v>
      </x:c>
      <x:c r="B1376" s="4" t="str">
        <x:v>LiCl</x:v>
      </x:c>
      <x:c r="C1376" s="23" t="n">
        <x:v>2.34106</x:v>
      </x:c>
      <x:c r="D1376" s="23" t="n">
        <x:v>-22.51079</x:v>
      </x:c>
      <x:c r="E1376" s="23" t="n">
        <x:f>'Parameters'!$B$2*'Parameters'!$B$3*LN(4*PI()*C1376^2)</x:f>
        <x:v>10.491520978448168</x:v>
      </x:c>
      <x:c r="F1376" s="23" t="n">
        <x:f>D1376+E1376</x:f>
        <x:v>-12.019269021551832</x:v>
      </x:c>
      <x:c r="G1376" s="23" t="n">
        <x:f>AVERAGE($F$1343:$F$1368)</x:f>
        <x:v>-11.724667333805401</x:v>
      </x:c>
      <x:c r="H1376" s="24" t="n">
        <x:f>F1376-G1376</x:f>
        <x:v>-0.2946016877464306</x:v>
      </x:c>
    </x:row>
    <x:row r="1377">
      <x:c r="A1377" s="2" t="str">
        <x:v>LiD3-Flex</x:v>
      </x:c>
      <x:c r="B1377" s="4" t="str">
        <x:v>LiCl</x:v>
      </x:c>
      <x:c r="C1377" s="23" t="n">
        <x:v>2.352807</x:v>
      </x:c>
      <x:c r="D1377" s="23" t="n">
        <x:v>-22.57943</x:v>
      </x:c>
      <x:c r="E1377" s="23" t="n">
        <x:f>'Parameters'!$B$2*'Parameters'!$B$3*LN(4*PI()*C1377^2)</x:f>
        <x:v>10.516336653048116</x:v>
      </x:c>
      <x:c r="F1377" s="23" t="n">
        <x:f>D1377+E1377</x:f>
        <x:v>-12.063093346951883</x:v>
      </x:c>
      <x:c r="G1377" s="23" t="n">
        <x:f>AVERAGE($F$1343:$F$1368)</x:f>
        <x:v>-11.724667333805401</x:v>
      </x:c>
      <x:c r="H1377" s="24" t="n">
        <x:f>F1377-G1377</x:f>
        <x:v>-0.33842601314648135</x:v>
      </x:c>
    </x:row>
    <x:row r="1378">
      <x:c r="A1378" s="2" t="str">
        <x:v>LiD3-Flex</x:v>
      </x:c>
      <x:c r="B1378" s="4" t="str">
        <x:v>LiCl</x:v>
      </x:c>
      <x:c r="C1378" s="23" t="n">
        <x:v>2.364554</x:v>
      </x:c>
      <x:c r="D1378" s="23" t="n">
        <x:v>-22.54877</x:v>
      </x:c>
      <x:c r="E1378" s="23" t="n">
        <x:f>'Parameters'!$B$2*'Parameters'!$B$3*LN(4*PI()*C1378^2)</x:f>
        <x:v>10.541028736963515</x:v>
      </x:c>
      <x:c r="F1378" s="23" t="n">
        <x:f>D1378+E1378</x:f>
        <x:v>-12.007741263036486</x:v>
      </x:c>
      <x:c r="G1378" s="23" t="n">
        <x:f>AVERAGE($F$1343:$F$1368)</x:f>
        <x:v>-11.724667333805401</x:v>
      </x:c>
      <x:c r="H1378" s="24" t="n">
        <x:f>F1378-G1378</x:f>
        <x:v>-0.2830739292310849</x:v>
      </x:c>
    </x:row>
    <x:row r="1379">
      <x:c r="A1379" s="2" t="str">
        <x:v>LiD3-Flex</x:v>
      </x:c>
      <x:c r="B1379" s="4" t="str">
        <x:v>LiCl</x:v>
      </x:c>
      <x:c r="C1379" s="23" t="n">
        <x:v>2.3763</x:v>
      </x:c>
      <x:c r="D1379" s="23" t="n">
        <x:v>-22.54555</x:v>
      </x:c>
      <x:c r="E1379" s="23" t="n">
        <x:f>'Parameters'!$B$2*'Parameters'!$B$3*LN(4*PI()*C1379^2)</x:f>
        <x:v>10.565596368745036</x:v>
      </x:c>
      <x:c r="F1379" s="23" t="n">
        <x:f>D1379+E1379</x:f>
        <x:v>-11.979953631254963</x:v>
      </x:c>
      <x:c r="G1379" s="23" t="n">
        <x:f>AVERAGE($F$1343:$F$1368)</x:f>
        <x:v>-11.724667333805401</x:v>
      </x:c>
      <x:c r="H1379" s="24" t="n">
        <x:f>F1379-G1379</x:f>
        <x:v>-0.25528629744956177</x:v>
      </x:c>
    </x:row>
    <x:row r="1380">
      <x:c r="A1380" s="2" t="str">
        <x:v>LiD3-Flex</x:v>
      </x:c>
      <x:c r="B1380" s="4" t="str">
        <x:v>LiCl</x:v>
      </x:c>
      <x:c r="C1380" s="23" t="n">
        <x:v>2.388047</x:v>
      </x:c>
      <x:c r="D1380" s="23" t="n">
        <x:v>-22.60356</x:v>
      </x:c>
      <x:c r="E1380" s="23" t="n">
        <x:f>'Parameters'!$B$2*'Parameters'!$B$3*LN(4*PI()*C1380^2)</x:f>
        <x:v>10.590044938285791</x:v>
      </x:c>
      <x:c r="F1380" s="23" t="n">
        <x:f>D1380+E1380</x:f>
        <x:v>-12.01351506171421</x:v>
      </x:c>
      <x:c r="G1380" s="23" t="n">
        <x:f>AVERAGE($F$1343:$F$1368)</x:f>
        <x:v>-11.724667333805401</x:v>
      </x:c>
      <x:c r="H1380" s="24" t="n">
        <x:f>F1380-G1380</x:f>
        <x:v>-0.2888477279088093</x:v>
      </x:c>
    </x:row>
    <x:row r="1381">
      <x:c r="A1381" s="2" t="str">
        <x:v>LiD3-Flex</x:v>
      </x:c>
      <x:c r="B1381" s="4" t="str">
        <x:v>LiCl</x:v>
      </x:c>
      <x:c r="C1381" s="23" t="n">
        <x:v>2.399794</x:v>
      </x:c>
      <x:c r="D1381" s="23" t="n">
        <x:v>-22.54234</x:v>
      </x:c>
      <x:c r="E1381" s="23" t="n">
        <x:f>'Parameters'!$B$2*'Parameters'!$B$3*LN(4*PI()*C1381^2)</x:f>
        <x:v>10.614373537885271</x:v>
      </x:c>
      <x:c r="F1381" s="23" t="n">
        <x:f>D1381+E1381</x:f>
        <x:v>-11.927966462114728</x:v>
      </x:c>
      <x:c r="G1381" s="23" t="n">
        <x:f>AVERAGE($F$1343:$F$1368)</x:f>
        <x:v>-11.724667333805401</x:v>
      </x:c>
      <x:c r="H1381" s="24" t="n">
        <x:f>F1381-G1381</x:f>
        <x:v>-0.20329912830932706</x:v>
      </x:c>
    </x:row>
    <x:row r="1382">
      <x:c r="A1382" s="2" t="str">
        <x:v>LiD3-Flex</x:v>
      </x:c>
      <x:c r="B1382" s="4" t="str">
        <x:v>LiCl</x:v>
      </x:c>
      <x:c r="C1382" s="23" t="n">
        <x:v>2.41154</x:v>
      </x:c>
      <x:c r="D1382" s="23" t="n">
        <x:v>-22.63299</x:v>
      </x:c>
      <x:c r="E1382" s="23" t="n">
        <x:f>'Parameters'!$B$2*'Parameters'!$B$3*LN(4*PI()*C1382^2)</x:f>
        <x:v>10.63858128327788</x:v>
      </x:c>
      <x:c r="F1382" s="23" t="n">
        <x:f>D1382+E1382</x:f>
        <x:v>-11.99440871672212</x:v>
      </x:c>
      <x:c r="G1382" s="23" t="n">
        <x:f>AVERAGE($F$1343:$F$1368)</x:f>
        <x:v>-11.724667333805401</x:v>
      </x:c>
      <x:c r="H1382" s="24" t="n">
        <x:f>F1382-G1382</x:f>
        <x:v>-0.26974138291671856</x:v>
      </x:c>
    </x:row>
    <x:row r="1383">
      <x:c r="A1383" s="2" t="str">
        <x:v>LiD3-Flex</x:v>
      </x:c>
      <x:c r="B1383" s="4" t="str">
        <x:v>LiCl</x:v>
      </x:c>
      <x:c r="C1383" s="23" t="n">
        <x:v>2.423287</x:v>
      </x:c>
      <x:c r="D1383" s="23" t="n">
        <x:v>-22.64797</x:v>
      </x:c>
      <x:c r="E1383" s="23" t="n">
        <x:f>'Parameters'!$B$2*'Parameters'!$B$3*LN(4*PI()*C1383^2)</x:f>
        <x:v>10.662673450818556</x:v>
      </x:c>
      <x:c r="F1383" s="23" t="n">
        <x:f>D1383+E1383</x:f>
        <x:v>-11.985296549181445</x:v>
      </x:c>
      <x:c r="G1383" s="23" t="n">
        <x:f>AVERAGE($F$1343:$F$1368)</x:f>
        <x:v>-11.724667333805401</x:v>
      </x:c>
      <x:c r="H1383" s="24" t="n">
        <x:f>F1383-G1383</x:f>
        <x:v>-0.2606292153760439</x:v>
      </x:c>
    </x:row>
    <x:row r="1384">
      <x:c r="A1384" s="2" t="str">
        <x:v>LiD3-Flex</x:v>
      </x:c>
      <x:c r="B1384" s="4" t="str">
        <x:v>LiCl</x:v>
      </x:c>
      <x:c r="C1384" s="23" t="n">
        <x:v>2.435034</x:v>
      </x:c>
      <x:c r="D1384" s="23" t="n">
        <x:v>-22.52666</x:v>
      </x:c>
      <x:c r="E1384" s="23" t="n">
        <x:f>'Parameters'!$B$2*'Parameters'!$B$3*LN(4*PI()*C1384^2)</x:f>
        <x:v>10.686649112349096</x:v>
      </x:c>
      <x:c r="F1384" s="23" t="n">
        <x:f>D1384+E1384</x:f>
        <x:v>-11.840010887650903</x:v>
      </x:c>
      <x:c r="G1384" s="23" t="n">
        <x:f>AVERAGE($F$1343:$F$1368)</x:f>
        <x:v>-11.724667333805401</x:v>
      </x:c>
      <x:c r="H1384" s="24" t="n">
        <x:f>F1384-G1384</x:f>
        <x:v>-0.1153435538455021</x:v>
      </x:c>
    </x:row>
    <x:row r="1385">
      <x:c r="A1385" s="2" t="str">
        <x:v>LiD3-Flex</x:v>
      </x:c>
      <x:c r="B1385" s="4" t="str">
        <x:v>LiCl</x:v>
      </x:c>
      <x:c r="C1385" s="23" t="n">
        <x:v>2.44678</x:v>
      </x:c>
      <x:c r="D1385" s="23" t="n">
        <x:v>-22.54256</x:v>
      </x:c>
      <x:c r="E1385" s="23" t="n">
        <x:f>'Parameters'!$B$2*'Parameters'!$B$3*LN(4*PI()*C1385^2)</x:f>
        <x:v>10.710507362957923</x:v>
      </x:c>
      <x:c r="F1385" s="23" t="n">
        <x:f>D1385+E1385</x:f>
        <x:v>-11.832052637042079</x:v>
      </x:c>
      <x:c r="G1385" s="23" t="n">
        <x:f>AVERAGE($F$1343:$F$1368)</x:f>
        <x:v>-11.724667333805401</x:v>
      </x:c>
      <x:c r="H1385" s="24" t="n">
        <x:f>F1385-G1385</x:f>
        <x:v>-0.10738530323667739</x:v>
      </x:c>
    </x:row>
    <x:row r="1386">
      <x:c r="A1386" s="2" t="str">
        <x:v>LiD3-Flex</x:v>
      </x:c>
      <x:c r="B1386" s="4" t="str">
        <x:v>LiCl</x:v>
      </x:c>
      <x:c r="C1386" s="23" t="n">
        <x:v>2.458527</x:v>
      </x:c>
      <x:c r="D1386" s="23" t="n">
        <x:v>-22.72716</x:v>
      </x:c>
      <x:c r="E1386" s="23" t="n">
        <x:f>'Parameters'!$B$2*'Parameters'!$B$3*LN(4*PI()*C1386^2)</x:f>
        <x:v>10.73425337020577</x:v>
      </x:c>
      <x:c r="F1386" s="23" t="n">
        <x:f>D1386+E1386</x:f>
        <x:v>-11.99290662979423</x:v>
      </x:c>
      <x:c r="G1386" s="23" t="n">
        <x:f>AVERAGE($F$1343:$F$1368)</x:f>
        <x:v>-11.724667333805401</x:v>
      </x:c>
      <x:c r="H1386" s="24" t="n">
        <x:f>F1386-G1386</x:f>
        <x:v>-0.26823929598882934</x:v>
      </x:c>
    </x:row>
    <x:row r="1387">
      <x:c r="A1387" s="2" t="str">
        <x:v>LiD3-Flex</x:v>
      </x:c>
      <x:c r="B1387" s="4" t="str">
        <x:v>LiCl</x:v>
      </x:c>
      <x:c r="C1387" s="23" t="n">
        <x:v>2.470274</x:v>
      </x:c>
      <x:c r="D1387" s="23" t="n">
        <x:v>-22.66964</x:v>
      </x:c>
      <x:c r="E1387" s="23" t="n">
        <x:f>'Parameters'!$B$2*'Parameters'!$B$3*LN(4*PI()*C1387^2)</x:f>
        <x:v>10.757886187488758</x:v>
      </x:c>
      <x:c r="F1387" s="23" t="n">
        <x:f>D1387+E1387</x:f>
        <x:v>-11.911753812511243</x:v>
      </x:c>
      <x:c r="G1387" s="23" t="n">
        <x:f>AVERAGE($F$1343:$F$1368)</x:f>
        <x:v>-11.724667333805401</x:v>
      </x:c>
      <x:c r="H1387" s="24" t="n">
        <x:f>F1387-G1387</x:f>
        <x:v>-0.18708647870584194</x:v>
      </x:c>
    </x:row>
    <x:row r="1388">
      <x:c r="A1388" s="2" t="str">
        <x:v>LiD3-Flex</x:v>
      </x:c>
      <x:c r="B1388" s="4" t="str">
        <x:v>LiCl</x:v>
      </x:c>
      <x:c r="C1388" s="23" t="n">
        <x:v>2.482021</x:v>
      </x:c>
      <x:c r="D1388" s="23" t="n">
        <x:v>-22.59905</x:v>
      </x:c>
      <x:c r="E1388" s="23" t="n">
        <x:f>'Parameters'!$B$2*'Parameters'!$B$3*LN(4*PI()*C1388^2)</x:f>
        <x:v>10.78140688877363</x:v>
      </x:c>
      <x:c r="F1388" s="23" t="n">
        <x:f>D1388+E1388</x:f>
        <x:v>-11.817643111226369</x:v>
      </x:c>
      <x:c r="G1388" s="23" t="n">
        <x:f>AVERAGE($F$1343:$F$1368)</x:f>
        <x:v>-11.724667333805401</x:v>
      </x:c>
      <x:c r="H1388" s="24" t="n">
        <x:f>F1388-G1388</x:f>
        <x:v>-0.09297577742096763</x:v>
      </x:c>
    </x:row>
    <x:row r="1389">
      <x:c r="A1389" s="2" t="str">
        <x:v>LiD3-Flex</x:v>
      </x:c>
      <x:c r="B1389" s="4" t="str">
        <x:v>LiCl</x:v>
      </x:c>
      <x:c r="C1389" s="23" t="n">
        <x:v>2.493767</x:v>
      </x:c>
      <x:c r="D1389" s="23" t="n">
        <x:v>-22.69564</x:v>
      </x:c>
      <x:c r="E1389" s="23" t="n">
        <x:f>'Parameters'!$B$2*'Parameters'!$B$3*LN(4*PI()*C1389^2)</x:f>
        <x:v>10.804814544692272</x:v>
      </x:c>
      <x:c r="F1389" s="23" t="n">
        <x:f>D1389+E1389</x:f>
        <x:v>-11.890825455307729</x:v>
      </x:c>
      <x:c r="G1389" s="23" t="n">
        <x:f>AVERAGE($F$1343:$F$1368)</x:f>
        <x:v>-11.724667333805401</x:v>
      </x:c>
      <x:c r="H1389" s="24" t="n">
        <x:f>F1389-G1389</x:f>
        <x:v>-0.16615812150232756</x:v>
      </x:c>
    </x:row>
    <x:row r="1390">
      <x:c r="A1390" s="2" t="str">
        <x:v>LiD3-Flex</x:v>
      </x:c>
      <x:c r="B1390" s="4" t="str">
        <x:v>LiCl</x:v>
      </x:c>
      <x:c r="C1390" s="23" t="n">
        <x:v>2.505514</x:v>
      </x:c>
      <x:c r="D1390" s="23" t="n">
        <x:v>-22.65373</x:v>
      </x:c>
      <x:c r="E1390" s="23" t="n">
        <x:f>'Parameters'!$B$2*'Parameters'!$B$3*LN(4*PI()*C1390^2)</x:f>
        <x:v>10.82811418463697</x:v>
      </x:c>
      <x:c r="F1390" s="23" t="n">
        <x:f>D1390+E1390</x:f>
        <x:v>-11.82561581536303</x:v>
      </x:c>
      <x:c r="G1390" s="23" t="n">
        <x:f>AVERAGE($F$1343:$F$1368)</x:f>
        <x:v>-11.724667333805401</x:v>
      </x:c>
      <x:c r="H1390" s="24" t="n">
        <x:f>F1390-G1390</x:f>
        <x:v>-0.10094848155762826</x:v>
      </x:c>
    </x:row>
    <x:row r="1391">
      <x:c r="A1391" s="2" t="str">
        <x:v>LiD3-Flex</x:v>
      </x:c>
      <x:c r="B1391" s="4" t="str">
        <x:v>LiCl</x:v>
      </x:c>
      <x:c r="C1391" s="23" t="n">
        <x:v>2.517261</x:v>
      </x:c>
      <x:c r="D1391" s="23" t="n">
        <x:v>-22.66614</x:v>
      </x:c>
      <x:c r="E1391" s="23" t="n">
        <x:f>'Parameters'!$B$2*'Parameters'!$B$3*LN(4*PI()*C1391^2)</x:f>
        <x:v>10.851304840256937</x:v>
      </x:c>
      <x:c r="F1391" s="23" t="n">
        <x:f>D1391+E1391</x:f>
        <x:v>-11.814835159743062</x:v>
      </x:c>
      <x:c r="G1391" s="23" t="n">
        <x:f>AVERAGE($F$1343:$F$1368)</x:f>
        <x:v>-11.724667333805401</x:v>
      </x:c>
      <x:c r="H1391" s="24" t="n">
        <x:f>F1391-G1391</x:f>
        <x:v>-0.0901678259376606</x:v>
      </x:c>
    </x:row>
    <x:row r="1392">
      <x:c r="A1392" s="2" t="str">
        <x:v>LiD3-Flex</x:v>
      </x:c>
      <x:c r="B1392" s="4" t="str">
        <x:v>LiCl</x:v>
      </x:c>
      <x:c r="C1392" s="23" t="n">
        <x:v>2.529007</x:v>
      </x:c>
      <x:c r="D1392" s="23" t="n">
        <x:v>-22.45897</x:v>
      </x:c>
      <x:c r="E1392" s="23" t="n">
        <x:f>'Parameters'!$B$2*'Parameters'!$B$3*LN(4*PI()*C1392^2)</x:f>
        <x:v>10.874385565939145</x:v>
      </x:c>
      <x:c r="F1392" s="23" t="n">
        <x:f>D1392+E1392</x:f>
        <x:v>-11.584584434060856</x:v>
      </x:c>
      <x:c r="G1392" s="23" t="n">
        <x:f>AVERAGE($F$1343:$F$1368)</x:f>
        <x:v>-11.724667333805401</x:v>
      </x:c>
      <x:c r="H1392" s="24" t="n">
        <x:f>F1392-G1392</x:f>
        <x:v>0.14008289974454513</x:v>
      </x:c>
    </x:row>
    <x:row r="1393">
      <x:c r="A1393" s="2" t="str">
        <x:v>LiD3-Flex</x:v>
      </x:c>
      <x:c r="B1393" s="4" t="str">
        <x:v>LiCl</x:v>
      </x:c>
      <x:c r="C1393" s="23" t="n">
        <x:v>2.540754</x:v>
      </x:c>
      <x:c r="D1393" s="23" t="n">
        <x:v>-22.76506</x:v>
      </x:c>
      <x:c r="E1393" s="23" t="n">
        <x:f>'Parameters'!$B$2*'Parameters'!$B$3*LN(4*PI()*C1393^2)</x:f>
        <x:v>10.897361292282712</x:v>
      </x:c>
      <x:c r="F1393" s="23" t="n">
        <x:f>D1393+E1393</x:f>
        <x:v>-11.867698707717286</x:v>
      </x:c>
      <x:c r="G1393" s="23" t="n">
        <x:f>AVERAGE($F$1343:$F$1368)</x:f>
        <x:v>-11.724667333805401</x:v>
      </x:c>
      <x:c r="H1393" s="24" t="n">
        <x:f>F1393-G1393</x:f>
        <x:v>-0.14303137391188514</x:v>
      </x:c>
    </x:row>
    <x:row r="1394">
      <x:c r="A1394" s="2" t="str">
        <x:v>LiD3-Flex</x:v>
      </x:c>
      <x:c r="B1394" s="4" t="str">
        <x:v>LiCl</x:v>
      </x:c>
      <x:c r="C1394" s="23" t="n">
        <x:v>2.552501</x:v>
      </x:c>
      <x:c r="D1394" s="23" t="n">
        <x:v>-22.69125</x:v>
      </x:c>
      <x:c r="E1394" s="23" t="n">
        <x:f>'Parameters'!$B$2*'Parameters'!$B$3*LN(4*PI()*C1394^2)</x:f>
        <x:v>10.92023103657091</x:v>
      </x:c>
      <x:c r="F1394" s="23" t="n">
        <x:f>D1394+E1394</x:f>
        <x:v>-11.771018963429091</x:v>
      </x:c>
      <x:c r="G1394" s="23" t="n">
        <x:f>AVERAGE($F$1343:$F$1368)</x:f>
        <x:v>-11.724667333805401</x:v>
      </x:c>
      <x:c r="H1394" s="24" t="n">
        <x:f>F1394-G1394</x:f>
        <x:v>-0.04635162962368966</x:v>
      </x:c>
    </x:row>
    <x:row r="1395">
      <x:c r="A1395" s="2" t="str">
        <x:v>LiD3-Flex</x:v>
      </x:c>
      <x:c r="B1395" s="4" t="str">
        <x:v>LiCl</x:v>
      </x:c>
      <x:c r="C1395" s="23" t="n">
        <x:v>2.564247</x:v>
      </x:c>
      <x:c r="D1395" s="23" t="n">
        <x:v>-22.28005</x:v>
      </x:c>
      <x:c r="E1395" s="23" t="n">
        <x:f>'Parameters'!$B$2*'Parameters'!$B$3*LN(4*PI()*C1395^2)</x:f>
        <x:v>10.94299383858343</x:v>
      </x:c>
      <x:c r="F1395" s="23" t="n">
        <x:f>D1395+E1395</x:f>
        <x:v>-11.33705616141657</x:v>
      </x:c>
      <x:c r="G1395" s="23" t="n">
        <x:f>AVERAGE($F$1343:$F$1368)</x:f>
        <x:v>-11.724667333805401</x:v>
      </x:c>
      <x:c r="H1395" s="24" t="n">
        <x:f>F1395-G1395</x:f>
        <x:v>0.3876111723888318</x:v>
      </x:c>
    </x:row>
    <x:row r="1396">
      <x:c r="A1396" s="2" t="str">
        <x:v>LiD3-Flex</x:v>
      </x:c>
      <x:c r="B1396" s="4" t="str">
        <x:v>LiCl</x:v>
      </x:c>
      <x:c r="C1396" s="23" t="n">
        <x:v>2.575994</x:v>
      </x:c>
      <x:c r="D1396" s="23" t="n">
        <x:v>-22.65417</x:v>
      </x:c>
      <x:c r="E1396" s="23" t="n">
        <x:f>'Parameters'!$B$2*'Parameters'!$B$3*LN(4*PI()*C1396^2)</x:f>
        <x:v>10.96565453400335</x:v>
      </x:c>
      <x:c r="F1396" s="23" t="n">
        <x:f>D1396+E1396</x:f>
        <x:v>-11.68851546599665</x:v>
      </x:c>
      <x:c r="G1396" s="23" t="n">
        <x:f>AVERAGE($F$1343:$F$1368)</x:f>
        <x:v>-11.724667333805401</x:v>
      </x:c>
      <x:c r="H1396" s="24" t="n">
        <x:f>F1396-G1396</x:f>
        <x:v>0.03615186780875135</x:v>
      </x:c>
    </x:row>
    <x:row r="1397">
      <x:c r="A1397" s="2" t="str">
        <x:v>LiD3-Flex</x:v>
      </x:c>
      <x:c r="B1397" s="4" t="str">
        <x:v>LiCl</x:v>
      </x:c>
      <x:c r="C1397" s="23" t="n">
        <x:v>2.587741</x:v>
      </x:c>
      <x:c r="D1397" s="23" t="n">
        <x:v>-23.2649</x:v>
      </x:c>
      <x:c r="E1397" s="23" t="n">
        <x:f>'Parameters'!$B$2*'Parameters'!$B$3*LN(4*PI()*C1397^2)</x:f>
        <x:v>10.98821212726578</x:v>
      </x:c>
      <x:c r="F1397" s="23" t="n">
        <x:f>D1397+E1397</x:f>
        <x:v>-12.276687872734222</x:v>
      </x:c>
      <x:c r="G1397" s="23" t="n">
        <x:f>AVERAGE($F$1343:$F$1368)</x:f>
        <x:v>-11.724667333805401</x:v>
      </x:c>
      <x:c r="H1397" s="24" t="n">
        <x:f>F1397-G1397</x:f>
        <x:v>-0.5520205389288204</x:v>
      </x:c>
    </x:row>
    <x:row r="1398">
      <x:c r="A1398" s="2" t="str">
        <x:v>LiD3-Flex</x:v>
      </x:c>
      <x:c r="B1398" s="4" t="str">
        <x:v>LiCl</x:v>
      </x:c>
      <x:c r="C1398" s="23" t="n">
        <x:v>2.599487</x:v>
      </x:c>
      <x:c r="D1398" s="23" t="n">
        <x:v>-22.60309</x:v>
      </x:c>
      <x:c r="E1398" s="23" t="n">
        <x:f>'Parameters'!$B$2*'Parameters'!$B$3*LN(4*PI()*C1398^2)</x:f>
        <x:v>11.010665645050231</x:v>
      </x:c>
      <x:c r="F1398" s="23" t="n">
        <x:f>D1398+E1398</x:f>
        <x:v>-11.59242435494977</x:v>
      </x:c>
      <x:c r="G1398" s="23" t="n">
        <x:f>AVERAGE($F$1343:$F$1368)</x:f>
        <x:v>-11.724667333805401</x:v>
      </x:c>
      <x:c r="H1398" s="24" t="n">
        <x:f>F1398-G1398</x:f>
        <x:v>0.13224297885563097</x:v>
      </x:c>
    </x:row>
    <x:row r="1399">
      <x:c r="A1399" s="2" t="str">
        <x:v>LiD3-Flex</x:v>
      </x:c>
      <x:c r="B1399" s="4" t="str">
        <x:v>LiCl</x:v>
      </x:c>
      <x:c r="C1399" s="23" t="n">
        <x:v>2.611234</x:v>
      </x:c>
      <x:c r="D1399" s="23" t="n">
        <x:v>-22.51271</x:v>
      </x:c>
      <x:c r="E1399" s="23" t="n">
        <x:f>'Parameters'!$B$2*'Parameters'!$B$3*LN(4*PI()*C1399^2)</x:f>
        <x:v>11.033019831781303</x:v>
      </x:c>
      <x:c r="F1399" s="23" t="n">
        <x:f>D1399+E1399</x:f>
        <x:v>-11.479690168218696</x:v>
      </x:c>
      <x:c r="G1399" s="23" t="n">
        <x:f>AVERAGE($F$1343:$F$1368)</x:f>
        <x:v>-11.724667333805401</x:v>
      </x:c>
      <x:c r="H1399" s="24" t="n">
        <x:f>F1399-G1399</x:f>
        <x:v>0.24497716558670568</x:v>
      </x:c>
    </x:row>
    <x:row r="1400">
      <x:c r="A1400" s="2" t="str">
        <x:v>LiD3-Flex</x:v>
      </x:c>
      <x:c r="B1400" s="4" t="str">
        <x:v>LiCl</x:v>
      </x:c>
      <x:c r="C1400" s="23" t="n">
        <x:v>2.622981</x:v>
      </x:c>
      <x:c r="D1400" s="23" t="n">
        <x:v>-23.07158</x:v>
      </x:c>
      <x:c r="E1400" s="23" t="n">
        <x:f>'Parameters'!$B$2*'Parameters'!$B$3*LN(4*PI()*C1400^2)</x:f>
        <x:v>11.055273680442472</x:v>
      </x:c>
      <x:c r="F1400" s="23" t="n">
        <x:f>D1400+E1400</x:f>
        <x:v>-12.016306319557529</x:v>
      </x:c>
      <x:c r="G1400" s="23" t="n">
        <x:f>AVERAGE($F$1343:$F$1368)</x:f>
        <x:v>-11.724667333805401</x:v>
      </x:c>
      <x:c r="H1400" s="24" t="n">
        <x:f>F1400-G1400</x:f>
        <x:v>-0.29163898575212777</x:v>
      </x:c>
    </x:row>
    <x:row r="1401">
      <x:c r="A1401" s="2" t="str">
        <x:v>LiD3-Flex</x:v>
      </x:c>
      <x:c r="B1401" s="4" t="str">
        <x:v>LiCl</x:v>
      </x:c>
      <x:c r="C1401" s="23" t="n">
        <x:v>2.634728</x:v>
      </x:c>
      <x:c r="D1401" s="23" t="n">
        <x:v>-18.74911</x:v>
      </x:c>
      <x:c r="E1401" s="23" t="n">
        <x:f>'Parameters'!$B$2*'Parameters'!$B$3*LN(4*PI()*C1401^2)</x:f>
        <x:v>11.077428087756795</x:v>
      </x:c>
      <x:c r="F1401" s="23" t="n">
        <x:f>D1401+E1401</x:f>
        <x:v>-7.671681912243207</x:v>
      </x:c>
      <x:c r="G1401" s="23" t="n">
        <x:f>AVERAGE($F$1343:$F$1368)</x:f>
        <x:v>-11.724667333805401</x:v>
      </x:c>
      <x:c r="H1401" s="24" t="n">
        <x:f>F1401-G1401</x:f>
        <x:v>4.0529854215621945</x:v>
      </x:c>
    </x:row>
    <x:row r="1402">
      <x:c r="A1402" s="2" t="str">
        <x:v>LiD3-Flex</x:v>
      </x:c>
      <x:c r="B1402" s="4" t="str">
        <x:v>NaCl</x:v>
      </x:c>
      <x:c r="C1402" s="23" t="n">
        <x:v>0.2034496</x:v>
      </x:c>
      <x:c r="D1402" s="23" t="n">
        <x:v>0</x:v>
      </x:c>
      <x:c r="E1402" s="23" t="n">
        <x:f>'Parameters'!$B$2*'Parameters'!$B$3*LN(4*PI()*C1402^2)</x:f>
        <x:v>-1.6203695045167874</x:v>
      </x:c>
      <x:c r="F1402" s="23" t="n">
        <x:f>D1402+E1402</x:f>
        <x:v>-1.6203695045167874</x:v>
      </x:c>
      <x:c r="G1402" s="23" t="n">
        <x:f>AVERAGE($F$1544:$F$1567)</x:f>
        <x:v>2.2026151469682635</x:v>
      </x:c>
      <x:c r="H1402" s="24" t="n">
        <x:f>F1402-G1402</x:f>
        <x:v>-3.8229846514850507</x:v>
      </x:c>
    </x:row>
    <x:row r="1403">
      <x:c r="A1403" s="2" t="str">
        <x:v>LiD3-Flex</x:v>
      </x:c>
      <x:c r="B1403" s="4" t="str">
        <x:v>NaCl</x:v>
      </x:c>
      <x:c r="C1403" s="23" t="n">
        <x:v>0.2157929</x:v>
      </x:c>
      <x:c r="D1403" s="23" t="n">
        <x:v>-2.002381</x:v>
      </x:c>
      <x:c r="E1403" s="23" t="n">
        <x:f>'Parameters'!$B$2*'Parameters'!$B$3*LN(4*PI()*C1403^2)</x:f>
        <x:v>-1.328344186472019</x:v>
      </x:c>
      <x:c r="F1403" s="23" t="n">
        <x:f>D1403+E1403</x:f>
        <x:v>-3.3307251864720193</x:v>
      </x:c>
      <x:c r="G1403" s="23" t="n">
        <x:f>AVERAGE($F$1544:$F$1567)</x:f>
        <x:v>2.2026151469682635</x:v>
      </x:c>
      <x:c r="H1403" s="24" t="n">
        <x:f>F1403-G1403</x:f>
        <x:v>-5.533340333440282</x:v>
      </x:c>
    </x:row>
    <x:row r="1404">
      <x:c r="A1404" s="2" t="str">
        <x:v>LiD3-Flex</x:v>
      </x:c>
      <x:c r="B1404" s="4" t="str">
        <x:v>NaCl</x:v>
      </x:c>
      <x:c r="C1404" s="23" t="n">
        <x:v>0.2281362</x:v>
      </x:c>
      <x:c r="D1404" s="23" t="n">
        <x:v>-1.808146</x:v>
      </x:c>
      <x:c r="E1404" s="23" t="n">
        <x:f>'Parameters'!$B$2*'Parameters'!$B$3*LN(4*PI()*C1404^2)</x:f>
        <x:v>-1.0525668229857288</x:v>
      </x:c>
      <x:c r="F1404" s="23" t="n">
        <x:f>D1404+E1404</x:f>
        <x:v>-2.860712822985729</x:v>
      </x:c>
      <x:c r="G1404" s="23" t="n">
        <x:f>AVERAGE($F$1544:$F$1567)</x:f>
        <x:v>2.2026151469682635</x:v>
      </x:c>
      <x:c r="H1404" s="24" t="n">
        <x:f>F1404-G1404</x:f>
        <x:v>-5.063327969953992</x:v>
      </x:c>
    </x:row>
    <x:row r="1405">
      <x:c r="A1405" s="2" t="str">
        <x:v>LiD3-Flex</x:v>
      </x:c>
      <x:c r="B1405" s="4" t="str">
        <x:v>NaCl</x:v>
      </x:c>
      <x:c r="C1405" s="23" t="n">
        <x:v>0.2404794</x:v>
      </x:c>
      <x:c r="D1405" s="23" t="n">
        <x:v>-2.889136</x:v>
      </x:c>
      <x:c r="E1405" s="23" t="n">
        <x:f>'Parameters'!$B$2*'Parameters'!$B$3*LN(4*PI()*C1405^2)</x:f>
        <x:v>-0.791326339199642</x:v>
      </x:c>
      <x:c r="F1405" s="23" t="n">
        <x:f>D1405+E1405</x:f>
        <x:v>-3.680462339199642</x:v>
      </x:c>
      <x:c r="G1405" s="23" t="n">
        <x:f>AVERAGE($F$1544:$F$1567)</x:f>
        <x:v>2.2026151469682635</x:v>
      </x:c>
      <x:c r="H1405" s="24" t="n">
        <x:f>F1405-G1405</x:f>
        <x:v>-5.883077486167906</x:v>
      </x:c>
    </x:row>
    <x:row r="1406">
      <x:c r="A1406" s="2" t="str">
        <x:v>LiD3-Flex</x:v>
      </x:c>
      <x:c r="B1406" s="4" t="str">
        <x:v>NaCl</x:v>
      </x:c>
      <x:c r="C1406" s="23" t="n">
        <x:v>0.2528227</x:v>
      </x:c>
      <x:c r="D1406" s="23" t="n">
        <x:v>-1.56673</x:v>
      </x:c>
      <x:c r="E1406" s="23" t="n">
        <x:f>'Parameters'!$B$2*'Parameters'!$B$3*LN(4*PI()*C1406^2)</x:f>
        <x:v>-0.5431628020190078</x:v>
      </x:c>
      <x:c r="F1406" s="23" t="n">
        <x:f>D1406+E1406</x:f>
        <x:v>-2.109892802019008</x:v>
      </x:c>
      <x:c r="G1406" s="23" t="n">
        <x:f>AVERAGE($F$1544:$F$1567)</x:f>
        <x:v>2.2026151469682635</x:v>
      </x:c>
      <x:c r="H1406" s="24" t="n">
        <x:f>F1406-G1406</x:f>
        <x:v>-4.312507948987271</x:v>
      </x:c>
    </x:row>
    <x:row r="1407">
      <x:c r="A1407" s="2" t="str">
        <x:v>LiD3-Flex</x:v>
      </x:c>
      <x:c r="B1407" s="4" t="str">
        <x:v>NaCl</x:v>
      </x:c>
      <x:c r="C1407" s="23" t="n">
        <x:v>0.2651659</x:v>
      </x:c>
      <x:c r="D1407" s="23" t="n">
        <x:v>-0.8479095</x:v>
      </x:c>
      <x:c r="E1407" s="23" t="n">
        <x:f>'Parameters'!$B$2*'Parameters'!$B$3*LN(4*PI()*C1407^2)</x:f>
        <x:v>-0.3068328451350535</x:v>
      </x:c>
      <x:c r="F1407" s="23" t="n">
        <x:f>D1407+E1407</x:f>
        <x:v>-1.1547423451350536</x:v>
      </x:c>
      <x:c r="G1407" s="23" t="n">
        <x:f>AVERAGE($F$1544:$F$1567)</x:f>
        <x:v>2.2026151469682635</x:v>
      </x:c>
      <x:c r="H1407" s="24" t="n">
        <x:f>F1407-G1407</x:f>
        <x:v>-3.357357492103317</x:v>
      </x:c>
    </x:row>
    <x:row r="1408">
      <x:c r="A1408" s="2" t="str">
        <x:v>LiD3-Flex</x:v>
      </x:c>
      <x:c r="B1408" s="4" t="str">
        <x:v>NaCl</x:v>
      </x:c>
      <x:c r="C1408" s="23" t="n">
        <x:v>0.2775092</x:v>
      </x:c>
      <x:c r="D1408" s="23" t="n">
        <x:v>1.1224</x:v>
      </x:c>
      <x:c r="E1408" s="23" t="n">
        <x:f>'Parameters'!$B$2*'Parameters'!$B$3*LN(4*PI()*C1408^2)</x:f>
        <x:v>-0.08125559911962006</x:v>
      </x:c>
      <x:c r="F1408" s="23" t="n">
        <x:f>D1408+E1408</x:f>
        <x:v>1.04114440088038</x:v>
      </x:c>
      <x:c r="G1408" s="23" t="n">
        <x:f>AVERAGE($F$1544:$F$1567)</x:f>
        <x:v>2.2026151469682635</x:v>
      </x:c>
      <x:c r="H1408" s="24" t="n">
        <x:f>F1408-G1408</x:f>
        <x:v>-1.1614707460878835</x:v>
      </x:c>
    </x:row>
    <x:row r="1409">
      <x:c r="A1409" s="2" t="str">
        <x:v>LiD3-Flex</x:v>
      </x:c>
      <x:c r="B1409" s="4" t="str">
        <x:v>NaCl</x:v>
      </x:c>
      <x:c r="C1409" s="23" t="n">
        <x:v>0.2898525</x:v>
      </x:c>
      <x:c r="D1409" s="23" t="n">
        <x:v>2.616636</x:v>
      </x:c>
      <x:c r="E1409" s="23" t="n">
        <x:f>'Parameters'!$B$2*'Parameters'!$B$3*LN(4*PI()*C1409^2)</x:f>
        <x:v>0.1345033367897574</x:v>
      </x:c>
      <x:c r="F1409" s="23" t="n">
        <x:f>D1409+E1409</x:f>
        <x:v>2.7511393367897576</x:v>
      </x:c>
      <x:c r="G1409" s="23" t="n">
        <x:f>AVERAGE($F$1544:$F$1567)</x:f>
        <x:v>2.2026151469682635</x:v>
      </x:c>
      <x:c r="H1409" s="24" t="n">
        <x:f>F1409-G1409</x:f>
        <x:v>0.5485241898214941</x:v>
      </x:c>
    </x:row>
    <x:row r="1410">
      <x:c r="A1410" s="2" t="str">
        <x:v>LiD3-Flex</x:v>
      </x:c>
      <x:c r="B1410" s="4" t="str">
        <x:v>NaCl</x:v>
      </x:c>
      <x:c r="C1410" s="23" t="n">
        <x:v>0.3021957</x:v>
      </x:c>
      <x:c r="D1410" s="23" t="n">
        <x:v>3.819793</x:v>
      </x:c>
      <x:c r="E1410" s="23" t="n">
        <x:f>'Parameters'!$B$2*'Parameters'!$B$3*LN(4*PI()*C1410^2)</x:f>
        <x:v>0.341261480873792</x:v>
      </x:c>
      <x:c r="F1410" s="23" t="n">
        <x:f>D1410+E1410</x:f>
        <x:v>4.161054480873792</x:v>
      </x:c>
      <x:c r="G1410" s="23" t="n">
        <x:f>AVERAGE($F$1544:$F$1567)</x:f>
        <x:v>2.2026151469682635</x:v>
      </x:c>
      <x:c r="H1410" s="24" t="n">
        <x:f>F1410-G1410</x:f>
        <x:v>1.9584393339055288</x:v>
      </x:c>
    </x:row>
    <x:row r="1411">
      <x:c r="A1411" s="2" t="str">
        <x:v>LiD3-Flex</x:v>
      </x:c>
      <x:c r="B1411" s="4" t="str">
        <x:v>NaCl</x:v>
      </x:c>
      <x:c r="C1411" s="23" t="n">
        <x:v>0.314539</x:v>
      </x:c>
      <x:c r="D1411" s="23" t="n">
        <x:v>2.338542</x:v>
      </x:c>
      <x:c r="E1411" s="23" t="n">
        <x:f>'Parameters'!$B$2*'Parameters'!$B$3*LN(4*PI()*C1411^2)</x:f>
        <x:v>0.539742914021823</x:v>
      </x:c>
      <x:c r="F1411" s="23" t="n">
        <x:f>D1411+E1411</x:f>
        <x:v>2.878284914021823</x:v>
      </x:c>
      <x:c r="G1411" s="23" t="n">
        <x:f>AVERAGE($F$1544:$F$1567)</x:f>
        <x:v>2.2026151469682635</x:v>
      </x:c>
      <x:c r="H1411" s="24" t="n">
        <x:f>F1411-G1411</x:f>
        <x:v>0.6756697670535594</x:v>
      </x:c>
    </x:row>
    <x:row r="1412">
      <x:c r="A1412" s="2" t="str">
        <x:v>LiD3-Flex</x:v>
      </x:c>
      <x:c r="B1412" s="4" t="str">
        <x:v>NaCl</x:v>
      </x:c>
      <x:c r="C1412" s="23" t="n">
        <x:v>0.3268822</x:v>
      </x:c>
      <x:c r="D1412" s="23" t="n">
        <x:v>0.5169323</x:v>
      </x:c>
      <x:c r="E1412" s="23" t="n">
        <x:f>'Parameters'!$B$2*'Parameters'!$B$3*LN(4*PI()*C1412^2)</x:f>
        <x:v>0.7305818836406743</x:v>
      </x:c>
      <x:c r="F1412" s="23" t="n">
        <x:f>D1412+E1412</x:f>
        <x:v>1.2475141836406745</x:v>
      </x:c>
      <x:c r="G1412" s="23" t="n">
        <x:f>AVERAGE($F$1544:$F$1567)</x:f>
        <x:v>2.2026151469682635</x:v>
      </x:c>
      <x:c r="H1412" s="24" t="n">
        <x:f>F1412-G1412</x:f>
        <x:v>-0.9551009633275891</x:v>
      </x:c>
    </x:row>
    <x:row r="1413">
      <x:c r="A1413" s="2" t="str">
        <x:v>LiD3-Flex</x:v>
      </x:c>
      <x:c r="B1413" s="4" t="str">
        <x:v>NaCl</x:v>
      </x:c>
      <x:c r="C1413" s="23" t="n">
        <x:v>0.3392255</x:v>
      </x:c>
      <x:c r="D1413" s="23" t="n">
        <x:v>-1.149902</x:v>
      </x:c>
      <x:c r="E1413" s="23" t="n">
        <x:f>'Parameters'!$B$2*'Parameters'!$B$3*LN(4*PI()*C1413^2)</x:f>
        <x:v>0.9143480422961475</x:v>
      </x:c>
      <x:c r="F1413" s="23" t="n">
        <x:f>D1413+E1413</x:f>
        <x:v>-0.23555395770385246</x:v>
      </x:c>
      <x:c r="G1413" s="23" t="n">
        <x:f>AVERAGE($F$1544:$F$1567)</x:f>
        <x:v>2.2026151469682635</x:v>
      </x:c>
      <x:c r="H1413" s="24" t="n">
        <x:f>F1413-G1413</x:f>
        <x:v>-2.438169104672116</x:v>
      </x:c>
    </x:row>
    <x:row r="1414">
      <x:c r="A1414" s="2" t="str">
        <x:v>LiD3-Flex</x:v>
      </x:c>
      <x:c r="B1414" s="4" t="str">
        <x:v>NaCl</x:v>
      </x:c>
      <x:c r="C1414" s="23" t="n">
        <x:v>0.3515688</x:v>
      </x:c>
      <x:c r="D1414" s="23" t="n">
        <x:v>-2.423674</x:v>
      </x:c>
      <x:c r="E1414" s="23" t="n">
        <x:f>'Parameters'!$B$2*'Parameters'!$B$3*LN(4*PI()*C1414^2)</x:f>
        <x:v>1.0915456096481018</x:v>
      </x:c>
      <x:c r="F1414" s="23" t="n">
        <x:f>D1414+E1414</x:f>
        <x:v>-1.3321283903518983</x:v>
      </x:c>
      <x:c r="G1414" s="23" t="n">
        <x:f>AVERAGE($F$1544:$F$1567)</x:f>
        <x:v>2.2026151469682635</x:v>
      </x:c>
      <x:c r="H1414" s="24" t="n">
        <x:f>F1414-G1414</x:f>
        <x:v>-3.534743537320162</x:v>
      </x:c>
    </x:row>
    <x:row r="1415">
      <x:c r="A1415" s="2" t="str">
        <x:v>LiD3-Flex</x:v>
      </x:c>
      <x:c r="B1415" s="4" t="str">
        <x:v>NaCl</x:v>
      </x:c>
      <x:c r="C1415" s="23" t="n">
        <x:v>0.363912</x:v>
      </x:c>
      <x:c r="D1415" s="23" t="n">
        <x:v>-3.101428</x:v>
      </x:c>
      <x:c r="E1415" s="23" t="n">
        <x:f>'Parameters'!$B$2*'Parameters'!$B$3*LN(4*PI()*C1415^2)</x:f>
        <x:v>1.2626266420602674</x:v>
      </x:c>
      <x:c r="F1415" s="23" t="n">
        <x:f>D1415+E1415</x:f>
        <x:v>-1.8388013579397324</x:v>
      </x:c>
      <x:c r="G1415" s="23" t="n">
        <x:f>AVERAGE($F$1544:$F$1567)</x:f>
        <x:v>2.2026151469682635</x:v>
      </x:c>
      <x:c r="H1415" s="24" t="n">
        <x:f>F1415-G1415</x:f>
        <x:v>-4.041416504907996</x:v>
      </x:c>
    </x:row>
    <x:row r="1416">
      <x:c r="A1416" s="2" t="str">
        <x:v>LiD3-Flex</x:v>
      </x:c>
      <x:c r="B1416" s="4" t="str">
        <x:v>NaCl</x:v>
      </x:c>
      <x:c r="C1416" s="23" t="n">
        <x:v>0.3762553</x:v>
      </x:c>
      <x:c r="D1416" s="23" t="n">
        <x:v>-3.048987</x:v>
      </x:c>
      <x:c r="E1416" s="23" t="n">
        <x:f>'Parameters'!$B$2*'Parameters'!$B$3*LN(4*PI()*C1416^2)</x:f>
        <x:v>1.4280019417823133</x:v>
      </x:c>
      <x:c r="F1416" s="23" t="n">
        <x:f>D1416+E1416</x:f>
        <x:v>-1.6209850582176866</x:v>
      </x:c>
      <x:c r="G1416" s="23" t="n">
        <x:f>AVERAGE($F$1544:$F$1567)</x:f>
        <x:v>2.2026151469682635</x:v>
      </x:c>
      <x:c r="H1416" s="24" t="n">
        <x:f>F1416-G1416</x:f>
        <x:v>-3.82360020518595</x:v>
      </x:c>
    </x:row>
    <x:row r="1417">
      <x:c r="A1417" s="2" t="str">
        <x:v>LiD3-Flex</x:v>
      </x:c>
      <x:c r="B1417" s="4" t="str">
        <x:v>NaCl</x:v>
      </x:c>
      <x:c r="C1417" s="23" t="n">
        <x:v>0.3885985</x:v>
      </x:c>
      <x:c r="D1417" s="23" t="n">
        <x:v>-2.743093</x:v>
      </x:c>
      <x:c r="E1417" s="23" t="n">
        <x:f>'Parameters'!$B$2*'Parameters'!$B$3*LN(4*PI()*C1417^2)</x:f>
        <x:v>1.5880373321011996</x:v>
      </x:c>
      <x:c r="F1417" s="23" t="n">
        <x:f>D1417+E1417</x:f>
        <x:v>-1.1550556678988004</x:v>
      </x:c>
      <x:c r="G1417" s="23" t="n">
        <x:f>AVERAGE($F$1544:$F$1567)</x:f>
        <x:v>2.2026151469682635</x:v>
      </x:c>
      <x:c r="H1417" s="24" t="n">
        <x:f>F1417-G1417</x:f>
        <x:v>-3.357670814867064</x:v>
      </x:c>
    </x:row>
    <x:row r="1418">
      <x:c r="A1418" s="2" t="str">
        <x:v>LiD3-Flex</x:v>
      </x:c>
      <x:c r="B1418" s="4" t="str">
        <x:v>NaCl</x:v>
      </x:c>
      <x:c r="C1418" s="23" t="n">
        <x:v>0.4009418</x:v>
      </x:c>
      <x:c r="D1418" s="23" t="n">
        <x:v>-2.236013</x:v>
      </x:c>
      <x:c r="E1418" s="23" t="n">
        <x:f>'Parameters'!$B$2*'Parameters'!$B$3*LN(4*PI()*C1418^2)</x:f>
        <x:v>1.7430693349059243</x:v>
      </x:c>
      <x:c r="F1418" s="23" t="n">
        <x:f>D1418+E1418</x:f>
        <x:v>-0.4929436650940755</x:v>
      </x:c>
      <x:c r="G1418" s="23" t="n">
        <x:f>AVERAGE($F$1544:$F$1567)</x:f>
        <x:v>2.2026151469682635</x:v>
      </x:c>
      <x:c r="H1418" s="24" t="n">
        <x:f>F1418-G1418</x:f>
        <x:v>-2.6955588120623393</x:v>
      </x:c>
    </x:row>
    <x:row r="1419">
      <x:c r="A1419" s="2" t="str">
        <x:v>LiD3-Flex</x:v>
      </x:c>
      <x:c r="B1419" s="4" t="str">
        <x:v>NaCl</x:v>
      </x:c>
      <x:c r="C1419" s="23" t="n">
        <x:v>0.4132851</x:v>
      </x:c>
      <x:c r="D1419" s="23" t="n">
        <x:v>-1.848612</x:v>
      </x:c>
      <x:c r="E1419" s="23" t="n">
        <x:f>'Parameters'!$B$2*'Parameters'!$B$3*LN(4*PI()*C1419^2)</x:f>
        <x:v>1.8934001804699434</x:v>
      </x:c>
      <x:c r="F1419" s="23" t="n">
        <x:f>D1419+E1419</x:f>
        <x:v>0.044788180469943484</x:v>
      </x:c>
      <x:c r="G1419" s="23" t="n">
        <x:f>AVERAGE($F$1544:$F$1567)</x:f>
        <x:v>2.2026151469682635</x:v>
      </x:c>
      <x:c r="H1419" s="24" t="n">
        <x:f>F1419-G1419</x:f>
        <x:v>-2.15782696649832</x:v>
      </x:c>
    </x:row>
    <x:row r="1420">
      <x:c r="A1420" s="2" t="str">
        <x:v>LiD3-Flex</x:v>
      </x:c>
      <x:c r="B1420" s="4" t="str">
        <x:v>NaCl</x:v>
      </x:c>
      <x:c r="C1420" s="23" t="n">
        <x:v>0.4256283</x:v>
      </x:c>
      <x:c r="D1420" s="23" t="n">
        <x:v>-1.40374</x:v>
      </x:c>
      <x:c r="E1420" s="23" t="n">
        <x:f>'Parameters'!$B$2*'Parameters'!$B$3*LN(4*PI()*C1420^2)</x:f>
        <x:v>2.0393054464150784</x:v>
      </x:c>
      <x:c r="F1420" s="23" t="n">
        <x:f>D1420+E1420</x:f>
        <x:v>0.6355654464150784</x:v>
      </x:c>
      <x:c r="G1420" s="23" t="n">
        <x:f>AVERAGE($F$1544:$F$1567)</x:f>
        <x:v>2.2026151469682635</x:v>
      </x:c>
      <x:c r="H1420" s="24" t="n">
        <x:f>F1420-G1420</x:f>
        <x:v>-1.5670497005531852</x:v>
      </x:c>
    </x:row>
    <x:row r="1421">
      <x:c r="A1421" s="2" t="str">
        <x:v>LiD3-Flex</x:v>
      </x:c>
      <x:c r="B1421" s="4" t="str">
        <x:v>NaCl</x:v>
      </x:c>
      <x:c r="C1421" s="23" t="n">
        <x:v>0.4379716</x:v>
      </x:c>
      <x:c r="D1421" s="23" t="n">
        <x:v>-1.403954</x:v>
      </x:c>
      <x:c r="E1421" s="23" t="n">
        <x:f>'Parameters'!$B$2*'Parameters'!$B$3*LN(4*PI()*C1421^2)</x:f>
        <x:v>2.181040498347845</x:v>
      </x:c>
      <x:c r="F1421" s="23" t="n">
        <x:f>D1421+E1421</x:f>
        <x:v>0.7770864983478452</x:v>
      </x:c>
      <x:c r="G1421" s="23" t="n">
        <x:f>AVERAGE($F$1544:$F$1567)</x:f>
        <x:v>2.2026151469682635</x:v>
      </x:c>
      <x:c r="H1421" s="24" t="n">
        <x:f>F1421-G1421</x:f>
        <x:v>-1.4255286486204184</x:v>
      </x:c>
    </x:row>
    <x:row r="1422">
      <x:c r="A1422" s="2" t="str">
        <x:v>LiD3-Flex</x:v>
      </x:c>
      <x:c r="B1422" s="4" t="str">
        <x:v>NaCl</x:v>
      </x:c>
      <x:c r="C1422" s="23" t="n">
        <x:v>0.4503148</x:v>
      </x:c>
      <x:c r="D1422" s="23" t="n">
        <x:v>-2.132539</x:v>
      </x:c>
      <x:c r="E1422" s="23" t="n">
        <x:f>'Parameters'!$B$2*'Parameters'!$B$3*LN(4*PI()*C1422^2)</x:f>
        <x:v>2.3188349393998995</x:v>
      </x:c>
      <x:c r="F1422" s="23" t="n">
        <x:f>D1422+E1422</x:f>
        <x:v>0.18629593939989952</x:v>
      </x:c>
      <x:c r="G1422" s="23" t="n">
        <x:f>AVERAGE($F$1544:$F$1567)</x:f>
        <x:v>2.2026151469682635</x:v>
      </x:c>
      <x:c r="H1422" s="24" t="n">
        <x:f>F1422-G1422</x:f>
        <x:v>-2.016319207568364</x:v>
      </x:c>
    </x:row>
    <x:row r="1423">
      <x:c r="A1423" s="2" t="str">
        <x:v>LiD3-Flex</x:v>
      </x:c>
      <x:c r="B1423" s="4" t="str">
        <x:v>NaCl</x:v>
      </x:c>
      <x:c r="C1423" s="23" t="n">
        <x:v>0.4626581</x:v>
      </x:c>
      <x:c r="D1423" s="23" t="n">
        <x:v>-3.788151</x:v>
      </x:c>
      <x:c r="E1423" s="23" t="n">
        <x:f>'Parameters'!$B$2*'Parameters'!$B$3*LN(4*PI()*C1423^2)</x:f>
        <x:v>2.4529040880066995</x:v>
      </x:c>
      <x:c r="F1423" s="23" t="n">
        <x:f>D1423+E1423</x:f>
        <x:v>-1.3352469119933006</x:v>
      </x:c>
      <x:c r="G1423" s="23" t="n">
        <x:f>AVERAGE($F$1544:$F$1567)</x:f>
        <x:v>2.2026151469682635</x:v>
      </x:c>
      <x:c r="H1423" s="24" t="n">
        <x:f>F1423-G1423</x:f>
        <x:v>-3.537862058961564</x:v>
      </x:c>
    </x:row>
    <x:row r="1424">
      <x:c r="A1424" s="2" t="str">
        <x:v>LiD3-Flex</x:v>
      </x:c>
      <x:c r="B1424" s="4" t="str">
        <x:v>NaCl</x:v>
      </x:c>
      <x:c r="C1424" s="23" t="n">
        <x:v>0.4750014</x:v>
      </x:c>
      <x:c r="D1424" s="23" t="n">
        <x:v>-5.421204</x:v>
      </x:c>
      <x:c r="E1424" s="23" t="n">
        <x:f>'Parameters'!$B$2*'Parameters'!$B$3*LN(4*PI()*C1424^2)</x:f>
        <x:v>2.583443064913142</x:v>
      </x:c>
      <x:c r="F1424" s="23" t="n">
        <x:f>D1424+E1424</x:f>
        <x:v>-2.8377609350868584</x:v>
      </x:c>
      <x:c r="G1424" s="23" t="n">
        <x:f>AVERAGE($F$1544:$F$1567)</x:f>
        <x:v>2.2026151469682635</x:v>
      </x:c>
      <x:c r="H1424" s="24" t="n">
        <x:f>F1424-G1424</x:f>
        <x:v>-5.040376082055122</x:v>
      </x:c>
    </x:row>
    <x:row r="1425">
      <x:c r="A1425" s="2" t="str">
        <x:v>LiD3-Flex</x:v>
      </x:c>
      <x:c r="B1425" s="4" t="str">
        <x:v>NaCl</x:v>
      </x:c>
      <x:c r="C1425" s="23" t="n">
        <x:v>0.4873446</x:v>
      </x:c>
      <x:c r="D1425" s="23" t="n">
        <x:v>-6.572061</x:v>
      </x:c>
      <x:c r="E1425" s="23" t="n">
        <x:f>'Parameters'!$B$2*'Parameters'!$B$3*LN(4*PI()*C1425^2)</x:f>
        <x:v>2.7106319989680365</x:v>
      </x:c>
      <x:c r="F1425" s="23" t="n">
        <x:f>D1425+E1425</x:f>
        <x:v>-3.861429001031963</x:v>
      </x:c>
      <x:c r="G1425" s="23" t="n">
        <x:f>AVERAGE($F$1544:$F$1567)</x:f>
        <x:v>2.2026151469682635</x:v>
      </x:c>
      <x:c r="H1425" s="24" t="n">
        <x:f>F1425-G1425</x:f>
        <x:v>-6.064044148000226</x:v>
      </x:c>
    </x:row>
    <x:row r="1426">
      <x:c r="A1426" s="2" t="str">
        <x:v>LiD3-Flex</x:v>
      </x:c>
      <x:c r="B1426" s="4" t="str">
        <x:v>NaCl</x:v>
      </x:c>
      <x:c r="C1426" s="23" t="n">
        <x:v>0.4996879</x:v>
      </x:c>
      <x:c r="D1426" s="23" t="n">
        <x:v>-6.825426</x:v>
      </x:c>
      <x:c r="E1426" s="23" t="n">
        <x:f>'Parameters'!$B$2*'Parameters'!$B$3*LN(4*PI()*C1426^2)</x:f>
        <x:v>2.8346405012992184</x:v>
      </x:c>
      <x:c r="F1426" s="23" t="n">
        <x:f>D1426+E1426</x:f>
        <x:v>-3.990785498700782</x:v>
      </x:c>
      <x:c r="G1426" s="23" t="n">
        <x:f>AVERAGE($F$1544:$F$1567)</x:f>
        <x:v>2.2026151469682635</x:v>
      </x:c>
      <x:c r="H1426" s="24" t="n">
        <x:f>F1426-G1426</x:f>
        <x:v>-6.193400645669046</x:v>
      </x:c>
    </x:row>
    <x:row r="1427">
      <x:c r="A1427" s="2" t="str">
        <x:v>LiD3-Flex</x:v>
      </x:c>
      <x:c r="B1427" s="4" t="str">
        <x:v>NaCl</x:v>
      </x:c>
      <x:c r="C1427" s="23" t="n">
        <x:v>0.5120311</x:v>
      </x:c>
      <x:c r="D1427" s="23" t="n">
        <x:v>-6.21339</x:v>
      </x:c>
      <x:c r="E1427" s="23" t="n">
        <x:f>'Parameters'!$B$2*'Parameters'!$B$3*LN(4*PI()*C1427^2)</x:f>
        <x:v>2.9556218436731756</x:v>
      </x:c>
      <x:c r="F1427" s="23" t="n">
        <x:f>D1427+E1427</x:f>
        <x:v>-3.257768156326825</x:v>
      </x:c>
      <x:c r="G1427" s="23" t="n">
        <x:f>AVERAGE($F$1544:$F$1567)</x:f>
        <x:v>2.2026151469682635</x:v>
      </x:c>
      <x:c r="H1427" s="24" t="n">
        <x:f>F1427-G1427</x:f>
        <x:v>-5.460383303295089</x:v>
      </x:c>
    </x:row>
    <x:row r="1428">
      <x:c r="A1428" s="2" t="str">
        <x:v>LiD3-Flex</x:v>
      </x:c>
      <x:c r="B1428" s="4" t="str">
        <x:v>NaCl</x:v>
      </x:c>
      <x:c r="C1428" s="23" t="n">
        <x:v>0.5243744</x:v>
      </x:c>
      <x:c r="D1428" s="23" t="n">
        <x:v>-4.710622</x:v>
      </x:c>
      <x:c r="E1428" s="23" t="n">
        <x:f>'Parameters'!$B$2*'Parameters'!$B$3*LN(4*PI()*C1428^2)</x:f>
        <x:v>3.073722170770802</x:v>
      </x:c>
      <x:c r="F1428" s="23" t="n">
        <x:f>D1428+E1428</x:f>
        <x:v>-1.6368998292291979</x:v>
      </x:c>
      <x:c r="G1428" s="23" t="n">
        <x:f>AVERAGE($F$1544:$F$1567)</x:f>
        <x:v>2.2026151469682635</x:v>
      </x:c>
      <x:c r="H1428" s="24" t="n">
        <x:f>F1428-G1428</x:f>
        <x:v>-3.8395149761974614</x:v>
      </x:c>
    </x:row>
    <x:row r="1429">
      <x:c r="A1429" s="2" t="str">
        <x:v>LiD3-Flex</x:v>
      </x:c>
      <x:c r="B1429" s="4" t="str">
        <x:v>NaCl</x:v>
      </x:c>
      <x:c r="C1429" s="23" t="n">
        <x:v>0.5367177</x:v>
      </x:c>
      <x:c r="D1429" s="23" t="n">
        <x:v>-3.602292</x:v>
      </x:c>
      <x:c r="E1429" s="23" t="n">
        <x:f>'Parameters'!$B$2*'Parameters'!$B$3*LN(4*PI()*C1429^2)</x:f>
        <x:v>3.1890746103738254</x:v>
      </x:c>
      <x:c r="F1429" s="23" t="n">
        <x:f>D1429+E1429</x:f>
        <x:v>-0.4132173896261744</x:v>
      </x:c>
      <x:c r="G1429" s="23" t="n">
        <x:f>AVERAGE($F$1544:$F$1567)</x:f>
        <x:v>2.2026151469682635</x:v>
      </x:c>
      <x:c r="H1429" s="24" t="n">
        <x:f>F1429-G1429</x:f>
        <x:v>-2.615832536594438</x:v>
      </x:c>
    </x:row>
    <x:row r="1430">
      <x:c r="A1430" s="2" t="str">
        <x:v>LiD3-Flex</x:v>
      </x:c>
      <x:c r="B1430" s="4" t="str">
        <x:v>NaCl</x:v>
      </x:c>
      <x:c r="C1430" s="23" t="n">
        <x:v>0.5490609</x:v>
      </x:c>
      <x:c r="D1430" s="23" t="n">
        <x:v>-2.602702</x:v>
      </x:c>
      <x:c r="E1430" s="23" t="n">
        <x:f>'Parameters'!$B$2*'Parameters'!$B$3*LN(4*PI()*C1430^2)</x:f>
        <x:v>3.30180322967204</x:v>
      </x:c>
      <x:c r="F1430" s="23" t="n">
        <x:f>D1430+E1430</x:f>
        <x:v>0.6991012296720402</x:v>
      </x:c>
      <x:c r="G1430" s="23" t="n">
        <x:f>AVERAGE($F$1544:$F$1567)</x:f>
        <x:v>2.2026151469682635</x:v>
      </x:c>
      <x:c r="H1430" s="24" t="n">
        <x:f>F1430-G1430</x:f>
        <x:v>-1.5035139172962233</x:v>
      </x:c>
    </x:row>
    <x:row r="1431">
      <x:c r="A1431" s="2" t="str">
        <x:v>LiD3-Flex</x:v>
      </x:c>
      <x:c r="B1431" s="4" t="str">
        <x:v>NaCl</x:v>
      </x:c>
      <x:c r="C1431" s="23" t="n">
        <x:v>0.5614042</x:v>
      </x:c>
      <x:c r="D1431" s="23" t="n">
        <x:v>-1.93765</x:v>
      </x:c>
      <x:c r="E1431" s="23" t="n">
        <x:f>'Parameters'!$B$2*'Parameters'!$B$3*LN(4*PI()*C1431^2)</x:f>
        <x:v>3.4120264886454525</x:v>
      </x:c>
      <x:c r="F1431" s="23" t="n">
        <x:f>D1431+E1431</x:f>
        <x:v>1.4743764886454525</x:v>
      </x:c>
      <x:c r="G1431" s="23" t="n">
        <x:f>AVERAGE($F$1544:$F$1567)</x:f>
        <x:v>2.2026151469682635</x:v>
      </x:c>
      <x:c r="H1431" s="24" t="n">
        <x:f>F1431-G1431</x:f>
        <x:v>-0.7282386583228111</x:v>
      </x:c>
    </x:row>
    <x:row r="1432">
      <x:c r="A1432" s="2" t="str">
        <x:v>LiD3-Flex</x:v>
      </x:c>
      <x:c r="B1432" s="4" t="str">
        <x:v>NaCl</x:v>
      </x:c>
      <x:c r="C1432" s="23" t="n">
        <x:v>0.5737474</x:v>
      </x:c>
      <x:c r="D1432" s="23" t="n">
        <x:v>-1.097097</x:v>
      </x:c>
      <x:c r="E1432" s="23" t="n">
        <x:f>'Parameters'!$B$2*'Parameters'!$B$3*LN(4*PI()*C1432^2)</x:f>
        <x:v>3.519851622933103</x:v>
      </x:c>
      <x:c r="F1432" s="23" t="n">
        <x:f>D1432+E1432</x:f>
        <x:v>2.4227546229331027</x:v>
      </x:c>
      <x:c r="G1432" s="23" t="n">
        <x:f>AVERAGE($F$1544:$F$1567)</x:f>
        <x:v>2.2026151469682635</x:v>
      </x:c>
      <x:c r="H1432" s="24" t="n">
        <x:f>F1432-G1432</x:f>
        <x:v>0.22013947596483918</x:v>
      </x:c>
    </x:row>
    <x:row r="1433">
      <x:c r="A1433" s="2" t="str">
        <x:v>LiD3-Flex</x:v>
      </x:c>
      <x:c r="B1433" s="4" t="str">
        <x:v>NaCl</x:v>
      </x:c>
      <x:c r="C1433" s="23" t="n">
        <x:v>0.5860907</x:v>
      </x:c>
      <x:c r="D1433" s="23" t="n">
        <x:v>-0.4325836</x:v>
      </x:c>
      <x:c r="E1433" s="23" t="n">
        <x:f>'Parameters'!$B$2*'Parameters'!$B$3*LN(4*PI()*C1433^2)</x:f>
        <x:v>3.625382439879137</x:v>
      </x:c>
      <x:c r="F1433" s="23" t="n">
        <x:f>D1433+E1433</x:f>
        <x:v>3.192798839879137</x:v>
      </x:c>
      <x:c r="G1433" s="23" t="n">
        <x:f>AVERAGE($F$1544:$F$1567)</x:f>
        <x:v>2.2026151469682635</x:v>
      </x:c>
      <x:c r="H1433" s="24" t="n">
        <x:f>F1433-G1433</x:f>
        <x:v>0.9901836929108736</x:v>
      </x:c>
    </x:row>
    <x:row r="1434">
      <x:c r="A1434" s="2" t="str">
        <x:v>LiD3-Flex</x:v>
      </x:c>
      <x:c r="B1434" s="4" t="str">
        <x:v>NaCl</x:v>
      </x:c>
      <x:c r="C1434" s="23" t="n">
        <x:v>0.598434</x:v>
      </x:c>
      <x:c r="D1434" s="23" t="n">
        <x:v>-0.3867814</x:v>
      </x:c>
      <x:c r="E1434" s="23" t="n">
        <x:f>'Parameters'!$B$2*'Parameters'!$B$3*LN(4*PI()*C1434^2)</x:f>
        <x:v>3.728713735208604</x:v>
      </x:c>
      <x:c r="F1434" s="23" t="n">
        <x:f>D1434+E1434</x:f>
        <x:v>3.3419323352086043</x:v>
      </x:c>
      <x:c r="G1434" s="23" t="n">
        <x:f>AVERAGE($F$1544:$F$1567)</x:f>
        <x:v>2.2026151469682635</x:v>
      </x:c>
      <x:c r="H1434" s="24" t="n">
        <x:f>F1434-G1434</x:f>
        <x:v>1.1393171882403408</x:v>
      </x:c>
    </x:row>
    <x:row r="1435">
      <x:c r="A1435" s="2" t="str">
        <x:v>LiD3-Flex</x:v>
      </x:c>
      <x:c r="B1435" s="4" t="str">
        <x:v>NaCl</x:v>
      </x:c>
      <x:c r="C1435" s="23" t="n">
        <x:v>0.6107772</x:v>
      </x:c>
      <x:c r="D1435" s="23" t="n">
        <x:v>-0.5898401</x:v>
      </x:c>
      <x:c r="E1435" s="23" t="n">
        <x:f>'Parameters'!$B$2*'Parameters'!$B$3*LN(4*PI()*C1435^2)</x:f>
        <x:v>3.8299345152128974</x:v>
      </x:c>
      <x:c r="F1435" s="23" t="n">
        <x:f>D1435+E1435</x:f>
        <x:v>3.2400944152128974</x:v>
      </x:c>
      <x:c r="G1435" s="23" t="n">
        <x:f>AVERAGE($F$1544:$F$1567)</x:f>
        <x:v>2.2026151469682635</x:v>
      </x:c>
      <x:c r="H1435" s="24" t="n">
        <x:f>F1435-G1435</x:f>
        <x:v>1.0374792682446339</x:v>
      </x:c>
    </x:row>
    <x:row r="1436">
      <x:c r="A1436" s="2" t="str">
        <x:v>LiD3-Flex</x:v>
      </x:c>
      <x:c r="B1436" s="4" t="str">
        <x:v>NaCl</x:v>
      </x:c>
      <x:c r="C1436" s="23" t="n">
        <x:v>0.6231205</x:v>
      </x:c>
      <x:c r="D1436" s="23" t="n">
        <x:v>-0.7096468</x:v>
      </x:c>
      <x:c r="E1436" s="23" t="n">
        <x:f>'Parameters'!$B$2*'Parameters'!$B$3*LN(4*PI()*C1436^2)</x:f>
        <x:v>3.9291308457674727</x:v>
      </x:c>
      <x:c r="F1436" s="23" t="n">
        <x:f>D1436+E1436</x:f>
        <x:v>3.219484045767473</x:v>
      </x:c>
      <x:c r="G1436" s="23" t="n">
        <x:f>AVERAGE($F$1544:$F$1567)</x:f>
        <x:v>2.2026151469682635</x:v>
      </x:c>
      <x:c r="H1436" s="24" t="n">
        <x:f>F1436-G1436</x:f>
        <x:v>1.0168688987992094</x:v>
      </x:c>
    </x:row>
    <x:row r="1437">
      <x:c r="A1437" s="2" t="str">
        <x:v>LiD3-Flex</x:v>
      </x:c>
      <x:c r="B1437" s="4" t="str">
        <x:v>NaCl</x:v>
      </x:c>
      <x:c r="C1437" s="23" t="n">
        <x:v>0.6354637</x:v>
      </x:c>
      <x:c r="D1437" s="23" t="n">
        <x:v>-0.7863003</x:v>
      </x:c>
      <x:c r="E1437" s="23" t="n">
        <x:f>'Parameters'!$B$2*'Parameters'!$B$3*LN(4*PI()*C1437^2)</x:f>
        <x:v>4.02638057592846</x:v>
      </x:c>
      <x:c r="F1437" s="23" t="n">
        <x:f>D1437+E1437</x:f>
        <x:v>3.2400802759284604</x:v>
      </x:c>
      <x:c r="G1437" s="23" t="n">
        <x:f>AVERAGE($F$1544:$F$1567)</x:f>
        <x:v>2.2026151469682635</x:v>
      </x:c>
      <x:c r="H1437" s="24" t="n">
        <x:f>F1437-G1437</x:f>
        <x:v>1.0374651289601968</x:v>
      </x:c>
    </x:row>
    <x:row r="1438">
      <x:c r="A1438" s="2" t="str">
        <x:v>LiD3-Flex</x:v>
      </x:c>
      <x:c r="B1438" s="4" t="str">
        <x:v>NaCl</x:v>
      </x:c>
      <x:c r="C1438" s="23" t="n">
        <x:v>0.647807</x:v>
      </x:c>
      <x:c r="D1438" s="23" t="n">
        <x:v>-0.7832753</x:v>
      </x:c>
      <x:c r="E1438" s="23" t="n">
        <x:f>'Parameters'!$B$2*'Parameters'!$B$3*LN(4*PI()*C1438^2)</x:f>
        <x:v>4.121760152484052</x:v>
      </x:c>
      <x:c r="F1438" s="23" t="n">
        <x:f>D1438+E1438</x:f>
        <x:v>3.338484852484052</x:v>
      </x:c>
      <x:c r="G1438" s="23" t="n">
        <x:f>AVERAGE($F$1544:$F$1567)</x:f>
        <x:v>2.2026151469682635</x:v>
      </x:c>
      <x:c r="H1438" s="24" t="n">
        <x:f>F1438-G1438</x:f>
        <x:v>1.1358697055157885</x:v>
      </x:c>
    </x:row>
    <x:row r="1439">
      <x:c r="A1439" s="2" t="str">
        <x:v>LiD3-Flex</x:v>
      </x:c>
      <x:c r="B1439" s="4" t="str">
        <x:v>NaCl</x:v>
      </x:c>
      <x:c r="C1439" s="23" t="n">
        <x:v>0.6601503</x:v>
      </x:c>
      <x:c r="D1439" s="23" t="n">
        <x:v>-0.954658</x:v>
      </x:c>
      <x:c r="E1439" s="23" t="n">
        <x:f>'Parameters'!$B$2*'Parameters'!$B$3*LN(4*PI()*C1439^2)</x:f>
        <x:v>4.215339411392995</x:v>
      </x:c>
      <x:c r="F1439" s="23" t="n">
        <x:f>D1439+E1439</x:f>
        <x:v>3.260681411392995</x:v>
      </x:c>
      <x:c r="G1439" s="23" t="n">
        <x:f>AVERAGE($F$1544:$F$1567)</x:f>
        <x:v>2.2026151469682635</x:v>
      </x:c>
      <x:c r="H1439" s="24" t="n">
        <x:f>F1439-G1439</x:f>
        <x:v>1.0580662644247316</x:v>
      </x:c>
    </x:row>
    <x:row r="1440">
      <x:c r="A1440" s="2" t="str">
        <x:v>LiD3-Flex</x:v>
      </x:c>
      <x:c r="B1440" s="4" t="str">
        <x:v>NaCl</x:v>
      </x:c>
      <x:c r="C1440" s="23" t="n">
        <x:v>0.6724935</x:v>
      </x:c>
      <x:c r="D1440" s="23" t="n">
        <x:v>-1.168851</x:v>
      </x:c>
      <x:c r="E1440" s="23" t="n">
        <x:f>'Parameters'!$B$2*'Parameters'!$B$3*LN(4*PI()*C1440^2)</x:f>
        <x:v>4.307184321315358</x:v>
      </x:c>
      <x:c r="F1440" s="23" t="n">
        <x:f>D1440+E1440</x:f>
        <x:v>3.1383333213153577</x:v>
      </x:c>
      <x:c r="G1440" s="23" t="n">
        <x:f>AVERAGE($F$1544:$F$1567)</x:f>
        <x:v>2.2026151469682635</x:v>
      </x:c>
      <x:c r="H1440" s="24" t="n">
        <x:f>F1440-G1440</x:f>
        <x:v>0.9357181743470941</x:v>
      </x:c>
    </x:row>
    <x:row r="1441">
      <x:c r="A1441" s="2" t="str">
        <x:v>LiD3-Flex</x:v>
      </x:c>
      <x:c r="B1441" s="4" t="str">
        <x:v>NaCl</x:v>
      </x:c>
      <x:c r="C1441" s="23" t="n">
        <x:v>0.6848368</x:v>
      </x:c>
      <x:c r="D1441" s="23" t="n">
        <x:v>-1.469593</x:v>
      </x:c>
      <x:c r="E1441" s="23" t="n">
        <x:f>'Parameters'!$B$2*'Parameters'!$B$3*LN(4*PI()*C1441^2)</x:f>
        <x:v>4.397359435853162</x:v>
      </x:c>
      <x:c r="F1441" s="23" t="n">
        <x:f>D1441+E1441</x:f>
        <x:v>2.9277664358531625</x:v>
      </x:c>
      <x:c r="G1441" s="23" t="n">
        <x:f>AVERAGE($F$1544:$F$1567)</x:f>
        <x:v>2.2026151469682635</x:v>
      </x:c>
      <x:c r="H1441" s="24" t="n">
        <x:f>F1441-G1441</x:f>
        <x:v>0.725151288884899</x:v>
      </x:c>
    </x:row>
    <x:row r="1442">
      <x:c r="A1442" s="2" t="str">
        <x:v>LiD3-Flex</x:v>
      </x:c>
      <x:c r="B1442" s="4" t="str">
        <x:v>NaCl</x:v>
      </x:c>
      <x:c r="C1442" s="23" t="n">
        <x:v>0.69718</x:v>
      </x:c>
      <x:c r="D1442" s="23" t="n">
        <x:v>-1.782771</x:v>
      </x:c>
      <x:c r="E1442" s="23" t="n">
        <x:f>'Parameters'!$B$2*'Parameters'!$B$3*LN(4*PI()*C1442^2)</x:f>
        <x:v>4.48592297874055</x:v>
      </x:c>
      <x:c r="F1442" s="23" t="n">
        <x:f>D1442+E1442</x:f>
        <x:v>2.70315197874055</x:v>
      </x:c>
      <x:c r="G1442" s="23" t="n">
        <x:f>AVERAGE($F$1544:$F$1567)</x:f>
        <x:v>2.2026151469682635</x:v>
      </x:c>
      <x:c r="H1442" s="24" t="n">
        <x:f>F1442-G1442</x:f>
        <x:v>0.5005368317722865</x:v>
      </x:c>
    </x:row>
    <x:row r="1443">
      <x:c r="A1443" s="2" t="str">
        <x:v>LiD3-Flex</x:v>
      </x:c>
      <x:c r="B1443" s="4" t="str">
        <x:v>NaCl</x:v>
      </x:c>
      <x:c r="C1443" s="23" t="n">
        <x:v>0.7095233</x:v>
      </x:c>
      <x:c r="D1443" s="23" t="n">
        <x:v>-1.857071</x:v>
      </x:c>
      <x:c r="E1443" s="23" t="n">
        <x:f>'Parameters'!$B$2*'Parameters'!$B$3*LN(4*PI()*C1443^2)</x:f>
        <x:v>4.572932927865022</x:v>
      </x:c>
      <x:c r="F1443" s="23" t="n">
        <x:f>D1443+E1443</x:f>
        <x:v>2.715861927865022</x:v>
      </x:c>
      <x:c r="G1443" s="23" t="n">
        <x:f>AVERAGE($F$1544:$F$1567)</x:f>
        <x:v>2.2026151469682635</x:v>
      </x:c>
      <x:c r="H1443" s="24" t="n">
        <x:f>F1443-G1443</x:f>
        <x:v>0.5132467808967585</x:v>
      </x:c>
    </x:row>
    <x:row r="1444">
      <x:c r="A1444" s="2" t="str">
        <x:v>LiD3-Flex</x:v>
      </x:c>
      <x:c r="B1444" s="4" t="str">
        <x:v>NaCl</x:v>
      </x:c>
      <x:c r="C1444" s="23" t="n">
        <x:v>0.7218666</x:v>
      </x:c>
      <x:c r="D1444" s="23" t="n">
        <x:v>-1.840652</x:v>
      </x:c>
      <x:c r="E1444" s="23" t="n">
        <x:f>'Parameters'!$B$2*'Parameters'!$B$3*LN(4*PI()*C1444^2)</x:f>
        <x:v>4.658442176701111</x:v>
      </x:c>
      <x:c r="F1444" s="23" t="n">
        <x:f>D1444+E1444</x:f>
        <x:v>2.8177901767011106</x:v>
      </x:c>
      <x:c r="G1444" s="23" t="n">
        <x:f>AVERAGE($F$1544:$F$1567)</x:f>
        <x:v>2.2026151469682635</x:v>
      </x:c>
      <x:c r="H1444" s="24" t="n">
        <x:f>F1444-G1444</x:f>
        <x:v>0.6151750297328471</x:v>
      </x:c>
    </x:row>
    <x:row r="1445">
      <x:c r="A1445" s="2" t="str">
        <x:v>LiD3-Flex</x:v>
      </x:c>
      <x:c r="B1445" s="4" t="str">
        <x:v>NaCl</x:v>
      </x:c>
      <x:c r="C1445" s="23" t="n">
        <x:v>0.7342098</x:v>
      </x:c>
      <x:c r="D1445" s="23" t="n">
        <x:v>-2.020609</x:v>
      </x:c>
      <x:c r="E1445" s="23" t="n">
        <x:f>'Parameters'!$B$2*'Parameters'!$B$3*LN(4*PI()*C1445^2)</x:f>
        <x:v>4.742500940018086</x:v>
      </x:c>
      <x:c r="F1445" s="23" t="n">
        <x:f>D1445+E1445</x:f>
        <x:v>2.7218919400180863</x:v>
      </x:c>
      <x:c r="G1445" s="23" t="n">
        <x:f>AVERAGE($F$1544:$F$1567)</x:f>
        <x:v>2.2026151469682635</x:v>
      </x:c>
      <x:c r="H1445" s="24" t="n">
        <x:f>F1445-G1445</x:f>
        <x:v>0.5192767930498228</x:v>
      </x:c>
    </x:row>
    <x:row r="1446">
      <x:c r="A1446" s="2" t="str">
        <x:v>LiD3-Flex</x:v>
      </x:c>
      <x:c r="B1446" s="4" t="str">
        <x:v>NaCl</x:v>
      </x:c>
      <x:c r="C1446" s="23" t="n">
        <x:v>0.7465531</x:v>
      </x:c>
      <x:c r="D1446" s="23" t="n">
        <x:v>-1.960607</x:v>
      </x:c>
      <x:c r="E1446" s="23" t="n">
        <x:f>'Parameters'!$B$2*'Parameters'!$B$3*LN(4*PI()*C1446^2)</x:f>
        <x:v>4.825158924078282</x:v>
      </x:c>
      <x:c r="F1446" s="23" t="n">
        <x:f>D1446+E1446</x:f>
        <x:v>2.8645519240782824</x:v>
      </x:c>
      <x:c r="G1446" s="23" t="n">
        <x:f>AVERAGE($F$1544:$F$1567)</x:f>
        <x:v>2.2026151469682635</x:v>
      </x:c>
      <x:c r="H1446" s="24" t="n">
        <x:f>F1446-G1446</x:f>
        <x:v>0.6619367771100189</x:v>
      </x:c>
    </x:row>
    <x:row r="1447">
      <x:c r="A1447" s="2" t="str">
        <x:v>LiD3-Flex</x:v>
      </x:c>
      <x:c r="B1447" s="4" t="str">
        <x:v>NaCl</x:v>
      </x:c>
      <x:c r="C1447" s="23" t="n">
        <x:v>0.7588963</x:v>
      </x:c>
      <x:c r="D1447" s="23" t="n">
        <x:v>-1.829611</x:v>
      </x:c>
      <x:c r="E1447" s="23" t="n">
        <x:f>'Parameters'!$B$2*'Parameters'!$B$3*LN(4*PI()*C1447^2)</x:f>
        <x:v>4.90646075482597</x:v>
      </x:c>
      <x:c r="F1447" s="23" t="n">
        <x:f>D1447+E1447</x:f>
        <x:v>3.07684975482597</x:v>
      </x:c>
      <x:c r="G1447" s="23" t="n">
        <x:f>AVERAGE($F$1544:$F$1567)</x:f>
        <x:v>2.2026151469682635</x:v>
      </x:c>
      <x:c r="H1447" s="24" t="n">
        <x:f>F1447-G1447</x:f>
        <x:v>0.8742346078577063</x:v>
      </x:c>
    </x:row>
    <x:row r="1448">
      <x:c r="A1448" s="2" t="str">
        <x:v>LiD3-Flex</x:v>
      </x:c>
      <x:c r="B1448" s="4" t="str">
        <x:v>NaCl</x:v>
      </x:c>
      <x:c r="C1448" s="23" t="n">
        <x:v>0.7712396</x:v>
      </x:c>
      <x:c r="D1448" s="23" t="n">
        <x:v>-1.812557</x:v>
      </x:c>
      <x:c r="E1448" s="23" t="n">
        <x:f>'Parameters'!$B$2*'Parameters'!$B$3*LN(4*PI()*C1448^2)</x:f>
        <x:v>4.986451490405309</x:v>
      </x:c>
      <x:c r="F1448" s="23" t="n">
        <x:f>D1448+E1448</x:f>
        <x:v>3.173894490405309</x:v>
      </x:c>
      <x:c r="G1448" s="23" t="n">
        <x:f>AVERAGE($F$1544:$F$1567)</x:f>
        <x:v>2.2026151469682635</x:v>
      </x:c>
      <x:c r="H1448" s="24" t="n">
        <x:f>F1448-G1448</x:f>
        <x:v>0.9712793434370455</x:v>
      </x:c>
    </x:row>
    <x:row r="1449">
      <x:c r="A1449" s="2" t="str">
        <x:v>LiD3-Flex</x:v>
      </x:c>
      <x:c r="B1449" s="4" t="str">
        <x:v>NaCl</x:v>
      </x:c>
      <x:c r="C1449" s="23" t="n">
        <x:v>0.7835829</x:v>
      </x:c>
      <x:c r="D1449" s="23" t="n">
        <x:v>-1.895097</x:v>
      </x:c>
      <x:c r="E1449" s="23" t="n">
        <x:f>'Parameters'!$B$2*'Parameters'!$B$3*LN(4*PI()*C1449^2)</x:f>
        <x:v>5.065172124133883</x:v>
      </x:c>
      <x:c r="F1449" s="23" t="n">
        <x:f>D1449+E1449</x:f>
        <x:v>3.1700751241338834</x:v>
      </x:c>
      <x:c r="G1449" s="23" t="n">
        <x:f>AVERAGE($F$1544:$F$1567)</x:f>
        <x:v>2.2026151469682635</x:v>
      </x:c>
      <x:c r="H1449" s="24" t="n">
        <x:f>F1449-G1449</x:f>
        <x:v>0.9674599771656198</x:v>
      </x:c>
    </x:row>
    <x:row r="1450">
      <x:c r="A1450" s="2" t="str">
        <x:v>LiD3-Flex</x:v>
      </x:c>
      <x:c r="B1450" s="4" t="str">
        <x:v>NaCl</x:v>
      </x:c>
      <x:c r="C1450" s="23" t="n">
        <x:v>0.7959261</x:v>
      </x:c>
      <x:c r="D1450" s="23" t="n">
        <x:v>-1.939807</x:v>
      </x:c>
      <x:c r="E1450" s="23" t="n">
        <x:f>'Parameters'!$B$2*'Parameters'!$B$3*LN(4*PI()*C1450^2)</x:f>
        <x:v>5.142661737134974</x:v>
      </x:c>
      <x:c r="F1450" s="23" t="n">
        <x:f>D1450+E1450</x:f>
        <x:v>3.202854737134974</x:v>
      </x:c>
      <x:c r="G1450" s="23" t="n">
        <x:f>AVERAGE($F$1544:$F$1567)</x:f>
        <x:v>2.2026151469682635</x:v>
      </x:c>
      <x:c r="H1450" s="24" t="n">
        <x:f>F1450-G1450</x:f>
        <x:v>1.0002395901667103</x:v>
      </x:c>
    </x:row>
    <x:row r="1451">
      <x:c r="A1451" s="2" t="str">
        <x:v>LiD3-Flex</x:v>
      </x:c>
      <x:c r="B1451" s="4" t="str">
        <x:v>NaCl</x:v>
      </x:c>
      <x:c r="C1451" s="23" t="n">
        <x:v>0.8082694</x:v>
      </x:c>
      <x:c r="D1451" s="23" t="n">
        <x:v>-1.872726</x:v>
      </x:c>
      <x:c r="E1451" s="23" t="n">
        <x:f>'Parameters'!$B$2*'Parameters'!$B$3*LN(4*PI()*C1451^2)</x:f>
        <x:v>5.2189594556414205</x:v>
      </x:c>
      <x:c r="F1451" s="23" t="n">
        <x:f>D1451+E1451</x:f>
        <x:v>3.3462334556414204</x:v>
      </x:c>
      <x:c r="G1451" s="23" t="n">
        <x:f>AVERAGE($F$1544:$F$1567)</x:f>
        <x:v>2.2026151469682635</x:v>
      </x:c>
      <x:c r="H1451" s="24" t="n">
        <x:f>F1451-G1451</x:f>
        <x:v>1.1436183086731568</x:v>
      </x:c>
    </x:row>
    <x:row r="1452">
      <x:c r="A1452" s="2" t="str">
        <x:v>LiD3-Flex</x:v>
      </x:c>
      <x:c r="B1452" s="4" t="str">
        <x:v>NaCl</x:v>
      </x:c>
      <x:c r="C1452" s="23" t="n">
        <x:v>0.8206126</x:v>
      </x:c>
      <x:c r="D1452" s="23" t="n">
        <x:v>-1.970757</x:v>
      </x:c>
      <x:c r="E1452" s="23" t="n">
        <x:f>'Parameters'!$B$2*'Parameters'!$B$3*LN(4*PI()*C1452^2)</x:f>
        <x:v>5.294100191671088</x:v>
      </x:c>
      <x:c r="F1452" s="23" t="n">
        <x:f>D1452+E1452</x:f>
        <x:v>3.3233431916710883</x:v>
      </x:c>
      <x:c r="G1452" s="23" t="n">
        <x:f>AVERAGE($F$1544:$F$1567)</x:f>
        <x:v>2.2026151469682635</x:v>
      </x:c>
      <x:c r="H1452" s="24" t="n">
        <x:f>F1452-G1452</x:f>
        <x:v>1.1207280447028247</x:v>
      </x:c>
    </x:row>
    <x:row r="1453">
      <x:c r="A1453" s="2" t="str">
        <x:v>LiD3-Flex</x:v>
      </x:c>
      <x:c r="B1453" s="4" t="str">
        <x:v>NaCl</x:v>
      </x:c>
      <x:c r="C1453" s="23" t="n">
        <x:v>0.8329559</x:v>
      </x:c>
      <x:c r="D1453" s="23" t="n">
        <x:v>-2.032229</x:v>
      </x:c>
      <x:c r="E1453" s="23" t="n">
        <x:f>'Parameters'!$B$2*'Parameters'!$B$3*LN(4*PI()*C1453^2)</x:f>
        <x:v>5.368119692279836</x:v>
      </x:c>
      <x:c r="F1453" s="23" t="n">
        <x:f>D1453+E1453</x:f>
        <x:v>3.335890692279836</x:v>
      </x:c>
      <x:c r="G1453" s="23" t="n">
        <x:f>AVERAGE($F$1544:$F$1567)</x:f>
        <x:v>2.2026151469682635</x:v>
      </x:c>
      <x:c r="H1453" s="24" t="n">
        <x:f>F1453-G1453</x:f>
        <x:v>1.1332755453115726</x:v>
      </x:c>
    </x:row>
    <x:row r="1454">
      <x:c r="A1454" s="2" t="str">
        <x:v>LiD3-Flex</x:v>
      </x:c>
      <x:c r="B1454" s="4" t="str">
        <x:v>NaCl</x:v>
      </x:c>
      <x:c r="C1454" s="23" t="n">
        <x:v>0.8452992</x:v>
      </x:c>
      <x:c r="D1454" s="23" t="n">
        <x:v>-2.336255</x:v>
      </x:c>
      <x:c r="E1454" s="23" t="n">
        <x:f>'Parameters'!$B$2*'Parameters'!$B$3*LN(4*PI()*C1454^2)</x:f>
        <x:v>5.441050349961588</x:v>
      </x:c>
      <x:c r="F1454" s="23" t="n">
        <x:f>D1454+E1454</x:f>
        <x:v>3.1047953499615883</x:v>
      </x:c>
      <x:c r="G1454" s="23" t="n">
        <x:f>AVERAGE($F$1544:$F$1567)</x:f>
        <x:v>2.2026151469682635</x:v>
      </x:c>
      <x:c r="H1454" s="24" t="n">
        <x:f>F1454-G1454</x:f>
        <x:v>0.9021802029933248</x:v>
      </x:c>
    </x:row>
    <x:row r="1455">
      <x:c r="A1455" s="2" t="str">
        <x:v>LiD3-Flex</x:v>
      </x:c>
      <x:c r="B1455" s="4" t="str">
        <x:v>NaCl</x:v>
      </x:c>
      <x:c r="C1455" s="23" t="n">
        <x:v>0.8576424</x:v>
      </x:c>
      <x:c r="D1455" s="23" t="n">
        <x:v>-2.39819</x:v>
      </x:c>
      <x:c r="E1455" s="23" t="n">
        <x:f>'Parameters'!$B$2*'Parameters'!$B$3*LN(4*PI()*C1455^2)</x:f>
        <x:v>5.512923157015548</x:v>
      </x:c>
      <x:c r="F1455" s="23" t="n">
        <x:f>D1455+E1455</x:f>
        <x:v>3.114733157015548</x:v>
      </x:c>
      <x:c r="G1455" s="23" t="n">
        <x:f>AVERAGE($F$1544:$F$1567)</x:f>
        <x:v>2.2026151469682635</x:v>
      </x:c>
      <x:c r="H1455" s="24" t="n">
        <x:f>F1455-G1455</x:f>
        <x:v>0.9121180100472843</x:v>
      </x:c>
    </x:row>
    <x:row r="1456">
      <x:c r="A1456" s="2" t="str">
        <x:v>LiD3-Flex</x:v>
      </x:c>
      <x:c r="B1456" s="4" t="str">
        <x:v>NaCl</x:v>
      </x:c>
      <x:c r="C1456" s="23" t="n">
        <x:v>0.8699857</x:v>
      </x:c>
      <x:c r="D1456" s="23" t="n">
        <x:v>-2.506214</x:v>
      </x:c>
      <x:c r="E1456" s="23" t="n">
        <x:f>'Parameters'!$B$2*'Parameters'!$B$3*LN(4*PI()*C1456^2)</x:f>
        <x:v>5.583769494751524</x:v>
      </x:c>
      <x:c r="F1456" s="23" t="n">
        <x:f>D1456+E1456</x:f>
        <x:v>3.0775554947515245</x:v>
      </x:c>
      <x:c r="G1456" s="23" t="n">
        <x:f>AVERAGE($F$1544:$F$1567)</x:f>
        <x:v>2.2026151469682635</x:v>
      </x:c>
      <x:c r="H1456" s="24" t="n">
        <x:f>F1456-G1456</x:f>
        <x:v>0.8749403477832609</x:v>
      </x:c>
    </x:row>
    <x:row r="1457">
      <x:c r="A1457" s="2" t="str">
        <x:v>LiD3-Flex</x:v>
      </x:c>
      <x:c r="B1457" s="4" t="str">
        <x:v>NaCl</x:v>
      </x:c>
      <x:c r="C1457" s="23" t="n">
        <x:v>0.8823289</x:v>
      </x:c>
      <x:c r="D1457" s="23" t="n">
        <x:v>-2.522307</x:v>
      </x:c>
      <x:c r="E1457" s="23" t="n">
        <x:f>'Parameters'!$B$2*'Parameters'!$B$3*LN(4*PI()*C1457^2)</x:f>
        <x:v>5.653617154500594</x:v>
      </x:c>
      <x:c r="F1457" s="23" t="n">
        <x:f>D1457+E1457</x:f>
        <x:v>3.131310154500594</x:v>
      </x:c>
      <x:c r="G1457" s="23" t="n">
        <x:f>AVERAGE($F$1544:$F$1567)</x:f>
        <x:v>2.2026151469682635</x:v>
      </x:c>
      <x:c r="H1457" s="24" t="n">
        <x:f>F1457-G1457</x:f>
        <x:v>0.9286950075323306</x:v>
      </x:c>
    </x:row>
    <x:row r="1458">
      <x:c r="A1458" s="2" t="str">
        <x:v>LiD3-Flex</x:v>
      </x:c>
      <x:c r="B1458" s="4" t="str">
        <x:v>NaCl</x:v>
      </x:c>
      <x:c r="C1458" s="23" t="n">
        <x:v>0.8946722</x:v>
      </x:c>
      <x:c r="D1458" s="23" t="n">
        <x:v>-2.62693</x:v>
      </x:c>
      <x:c r="E1458" s="23" t="n">
        <x:f>'Parameters'!$B$2*'Parameters'!$B$3*LN(4*PI()*C1458^2)</x:f>
        <x:v>5.722495001413096</x:v>
      </x:c>
      <x:c r="F1458" s="23" t="n">
        <x:f>D1458+E1458</x:f>
        <x:v>3.0955650014130955</x:v>
      </x:c>
      <x:c r="G1458" s="23" t="n">
        <x:f>AVERAGE($F$1544:$F$1567)</x:f>
        <x:v>2.2026151469682635</x:v>
      </x:c>
      <x:c r="H1458" s="24" t="n">
        <x:f>F1458-G1458</x:f>
        <x:v>0.892949854444832</x:v>
      </x:c>
    </x:row>
    <x:row r="1459">
      <x:c r="A1459" s="2" t="str">
        <x:v>LiD3-Flex</x:v>
      </x:c>
      <x:c r="B1459" s="4" t="str">
        <x:v>NaCl</x:v>
      </x:c>
      <x:c r="C1459" s="23" t="n">
        <x:v>0.9070155</x:v>
      </x:c>
      <x:c r="D1459" s="23" t="n">
        <x:v>-2.833223</x:v>
      </x:c>
      <x:c r="E1459" s="23" t="n">
        <x:f>'Parameters'!$B$2*'Parameters'!$B$3*LN(4*PI()*C1459^2)</x:f>
        <x:v>5.790429059103722</x:v>
      </x:c>
      <x:c r="F1459" s="23" t="n">
        <x:f>D1459+E1459</x:f>
        <x:v>2.9572060591037226</x:v>
      </x:c>
      <x:c r="G1459" s="23" t="n">
        <x:f>AVERAGE($F$1544:$F$1567)</x:f>
        <x:v>2.2026151469682635</x:v>
      </x:c>
      <x:c r="H1459" s="24" t="n">
        <x:f>F1459-G1459</x:f>
        <x:v>0.754590912135459</x:v>
      </x:c>
    </x:row>
    <x:row r="1460">
      <x:c r="A1460" s="2" t="str">
        <x:v>LiD3-Flex</x:v>
      </x:c>
      <x:c r="B1460" s="4" t="str">
        <x:v>NaCl</x:v>
      </x:c>
      <x:c r="C1460" s="23" t="n">
        <x:v>0.9193587</x:v>
      </x:c>
      <x:c r="D1460" s="23" t="n">
        <x:v>-2.794437</x:v>
      </x:c>
      <x:c r="E1460" s="23" t="n">
        <x:f>'Parameters'!$B$2*'Parameters'!$B$3*LN(4*PI()*C1460^2)</x:f>
        <x:v>5.857444303354028</x:v>
      </x:c>
      <x:c r="F1460" s="23" t="n">
        <x:f>D1460+E1460</x:f>
        <x:v>3.0630073033540284</x:v>
      </x:c>
      <x:c r="G1460" s="23" t="n">
        <x:f>AVERAGE($F$1544:$F$1567)</x:f>
        <x:v>2.2026151469682635</x:v>
      </x:c>
      <x:c r="H1460" s="24" t="n">
        <x:f>F1460-G1460</x:f>
        <x:v>0.8603921563857648</x:v>
      </x:c>
    </x:row>
    <x:row r="1461">
      <x:c r="A1461" s="2" t="str">
        <x:v>LiD3-Flex</x:v>
      </x:c>
      <x:c r="B1461" s="4" t="str">
        <x:v>NaCl</x:v>
      </x:c>
      <x:c r="C1461" s="23" t="n">
        <x:v>0.931702</x:v>
      </x:c>
      <x:c r="D1461" s="23" t="n">
        <x:v>-2.922985</x:v>
      </x:c>
      <x:c r="E1461" s="23" t="n">
        <x:f>'Parameters'!$B$2*'Parameters'!$B$3*LN(4*PI()*C1461^2)</x:f>
        <x:v>5.923566314025194</x:v>
      </x:c>
      <x:c r="F1461" s="23" t="n">
        <x:f>D1461+E1461</x:f>
        <x:v>3.0005813140251942</x:v>
      </x:c>
      <x:c r="G1461" s="23" t="n">
        <x:f>AVERAGE($F$1544:$F$1567)</x:f>
        <x:v>2.2026151469682635</x:v>
      </x:c>
      <x:c r="H1461" s="24" t="n">
        <x:f>F1461-G1461</x:f>
        <x:v>0.7979661670569307</x:v>
      </x:c>
    </x:row>
    <x:row r="1462">
      <x:c r="A1462" s="2" t="str">
        <x:v>LiD3-Flex</x:v>
      </x:c>
      <x:c r="B1462" s="4" t="str">
        <x:v>NaCl</x:v>
      </x:c>
      <x:c r="C1462" s="23" t="n">
        <x:v>0.9440452</x:v>
      </x:c>
      <x:c r="D1462" s="23" t="n">
        <x:v>-3.068504</x:v>
      </x:c>
      <x:c r="E1462" s="23" t="n">
        <x:f>'Parameters'!$B$2*'Parameters'!$B$3*LN(4*PI()*C1462^2)</x:f>
        <x:v>5.9888175463309725</x:v>
      </x:c>
      <x:c r="F1462" s="23" t="n">
        <x:f>D1462+E1462</x:f>
        <x:v>2.9203135463309726</x:v>
      </x:c>
      <x:c r="G1462" s="23" t="n">
        <x:f>AVERAGE($F$1544:$F$1567)</x:f>
        <x:v>2.2026151469682635</x:v>
      </x:c>
      <x:c r="H1462" s="24" t="n">
        <x:f>F1462-G1462</x:f>
        <x:v>0.7176983993627091</x:v>
      </x:c>
    </x:row>
    <x:row r="1463">
      <x:c r="A1463" s="2" t="str">
        <x:v>LiD3-Flex</x:v>
      </x:c>
      <x:c r="B1463" s="4" t="str">
        <x:v>NaCl</x:v>
      </x:c>
      <x:c r="C1463" s="23" t="n">
        <x:v>0.9563885</x:v>
      </x:c>
      <x:c r="D1463" s="23" t="n">
        <x:v>-3.222731</x:v>
      </x:c>
      <x:c r="E1463" s="23" t="n">
        <x:f>'Parameters'!$B$2*'Parameters'!$B$3*LN(4*PI()*C1463^2)</x:f>
        <x:v>6.053221667515546</x:v>
      </x:c>
      <x:c r="F1463" s="23" t="n">
        <x:f>D1463+E1463</x:f>
        <x:v>2.8304906675155457</x:v>
      </x:c>
      <x:c r="G1463" s="23" t="n">
        <x:f>AVERAGE($F$1544:$F$1567)</x:f>
        <x:v>2.2026151469682635</x:v>
      </x:c>
      <x:c r="H1463" s="24" t="n">
        <x:f>F1463-G1463</x:f>
        <x:v>0.6278755205472821</x:v>
      </x:c>
    </x:row>
    <x:row r="1464">
      <x:c r="A1464" s="2" t="str">
        <x:v>LiD3-Flex</x:v>
      </x:c>
      <x:c r="B1464" s="4" t="str">
        <x:v>NaCl</x:v>
      </x:c>
      <x:c r="C1464" s="23" t="n">
        <x:v>0.9687318</x:v>
      </x:c>
      <x:c r="D1464" s="23" t="n">
        <x:v>-3.318837</x:v>
      </x:c>
      <x:c r="E1464" s="23" t="n">
        <x:f>'Parameters'!$B$2*'Parameters'!$B$3*LN(4*PI()*C1464^2)</x:f>
        <x:v>6.116799885697106</x:v>
      </x:c>
      <x:c r="F1464" s="23" t="n">
        <x:f>D1464+E1464</x:f>
        <x:v>2.7979628856971064</x:v>
      </x:c>
      <x:c r="G1464" s="23" t="n">
        <x:f>AVERAGE($F$1544:$F$1567)</x:f>
        <x:v>2.2026151469682635</x:v>
      </x:c>
      <x:c r="H1464" s="24" t="n">
        <x:f>F1464-G1464</x:f>
        <x:v>0.5953477387288428</x:v>
      </x:c>
    </x:row>
    <x:row r="1465">
      <x:c r="A1465" s="2" t="str">
        <x:v>LiD3-Flex</x:v>
      </x:c>
      <x:c r="B1465" s="4" t="str">
        <x:v>NaCl</x:v>
      </x:c>
      <x:c r="C1465" s="23" t="n">
        <x:v>0.981075</x:v>
      </x:c>
      <x:c r="D1465" s="23" t="n">
        <x:v>-3.414672</x:v>
      </x:c>
      <x:c r="E1465" s="23" t="n">
        <x:f>'Parameters'!$B$2*'Parameters'!$B$3*LN(4*PI()*C1465^2)</x:f>
        <x:v>6.17957260996561</x:v>
      </x:c>
      <x:c r="F1465" s="23" t="n">
        <x:f>D1465+E1465</x:f>
        <x:v>2.76490060996561</x:v>
      </x:c>
      <x:c r="G1465" s="23" t="n">
        <x:f>AVERAGE($F$1544:$F$1567)</x:f>
        <x:v>2.2026151469682635</x:v>
      </x:c>
      <x:c r="H1465" s="24" t="n">
        <x:f>F1465-G1465</x:f>
        <x:v>0.5622854629973464</x:v>
      </x:c>
    </x:row>
    <x:row r="1466">
      <x:c r="A1466" s="2" t="str">
        <x:v>LiD3-Flex</x:v>
      </x:c>
      <x:c r="B1466" s="4" t="str">
        <x:v>NaCl</x:v>
      </x:c>
      <x:c r="C1466" s="23" t="n">
        <x:v>0.9934183</x:v>
      </x:c>
      <x:c r="D1466" s="23" t="n">
        <x:v>-3.530622</x:v>
      </x:c>
      <x:c r="E1466" s="23" t="n">
        <x:f>'Parameters'!$B$2*'Parameters'!$B$3*LN(4*PI()*C1466^2)</x:f>
        <x:v>6.2415609872498266</x:v>
      </x:c>
      <x:c r="F1466" s="23" t="n">
        <x:f>D1466+E1466</x:f>
        <x:v>2.7109389872498264</x:v>
      </x:c>
      <x:c r="G1466" s="23" t="n">
        <x:f>AVERAGE($F$1544:$F$1567)</x:f>
        <x:v>2.2026151469682635</x:v>
      </x:c>
      <x:c r="H1466" s="24" t="n">
        <x:f>F1466-G1466</x:f>
        <x:v>0.5083238402815629</x:v>
      </x:c>
    </x:row>
    <x:row r="1467">
      <x:c r="A1467" s="2" t="str">
        <x:v>LiD3-Flex</x:v>
      </x:c>
      <x:c r="B1467" s="4" t="str">
        <x:v>NaCl</x:v>
      </x:c>
      <x:c r="C1467" s="23" t="n">
        <x:v>1.005762</x:v>
      </x:c>
      <x:c r="D1467" s="23" t="n">
        <x:v>-3.444493</x:v>
      </x:c>
      <x:c r="E1467" s="23" t="n">
        <x:f>'Parameters'!$B$2*'Parameters'!$B$3*LN(4*PI()*C1467^2)</x:f>
        <x:v>6.302785861751076</x:v>
      </x:c>
      <x:c r="F1467" s="23" t="n">
        <x:f>D1467+E1467</x:f>
        <x:v>2.858292861751076</x:v>
      </x:c>
      <x:c r="G1467" s="23" t="n">
        <x:f>AVERAGE($F$1544:$F$1567)</x:f>
        <x:v>2.2026151469682635</x:v>
      </x:c>
      <x:c r="H1467" s="24" t="n">
        <x:f>F1467-G1467</x:f>
        <x:v>0.6556777147828123</x:v>
      </x:c>
    </x:row>
    <x:row r="1468">
      <x:c r="A1468" s="2" t="str">
        <x:v>LiD3-Flex</x:v>
      </x:c>
      <x:c r="B1468" s="4" t="str">
        <x:v>NaCl</x:v>
      </x:c>
      <x:c r="C1468" s="23" t="n">
        <x:v>1.018105</x:v>
      </x:c>
      <x:c r="D1468" s="23" t="n">
        <x:v>-3.559257</x:v>
      </x:c>
      <x:c r="E1468" s="23" t="n">
        <x:f>'Parameters'!$B$2*'Parameters'!$B$3*LN(4*PI()*C1468^2)</x:f>
        <x:v>6.363260479855932</x:v>
      </x:c>
      <x:c r="F1468" s="23" t="n">
        <x:f>D1468+E1468</x:f>
        <x:v>2.804003479855932</x:v>
      </x:c>
      <x:c r="G1468" s="23" t="n">
        <x:f>AVERAGE($F$1544:$F$1567)</x:f>
        <x:v>2.2026151469682635</x:v>
      </x:c>
      <x:c r="H1468" s="24" t="n">
        <x:f>F1468-G1468</x:f>
        <x:v>0.6013883328876686</x:v>
      </x:c>
    </x:row>
    <x:row r="1469">
      <x:c r="A1469" s="2" t="str">
        <x:v>LiD3-Flex</x:v>
      </x:c>
      <x:c r="B1469" s="4" t="str">
        <x:v>NaCl</x:v>
      </x:c>
      <x:c r="C1469" s="23" t="n">
        <x:v>1.030448</x:v>
      </x:c>
      <x:c r="D1469" s="23" t="n">
        <x:v>-3.743284</x:v>
      </x:c>
      <x:c r="E1469" s="23" t="n">
        <x:f>'Parameters'!$B$2*'Parameters'!$B$3*LN(4*PI()*C1469^2)</x:f>
        <x:v>6.4230063334255245</x:v>
      </x:c>
      <x:c r="F1469" s="23" t="n">
        <x:f>D1469+E1469</x:f>
        <x:v>2.6797223334255245</x:v>
      </x:c>
      <x:c r="G1469" s="23" t="n">
        <x:f>AVERAGE($F$1544:$F$1567)</x:f>
        <x:v>2.2026151469682635</x:v>
      </x:c>
      <x:c r="H1469" s="24" t="n">
        <x:f>F1469-G1469</x:f>
        <x:v>0.4771071864572609</x:v>
      </x:c>
    </x:row>
    <x:row r="1470">
      <x:c r="A1470" s="2" t="str">
        <x:v>LiD3-Flex</x:v>
      </x:c>
      <x:c r="B1470" s="4" t="str">
        <x:v>NaCl</x:v>
      </x:c>
      <x:c r="C1470" s="23" t="n">
        <x:v>1.042791</x:v>
      </x:c>
      <x:c r="D1470" s="23" t="n">
        <x:v>-3.815012</x:v>
      </x:c>
      <x:c r="E1470" s="23" t="n">
        <x:f>'Parameters'!$B$2*'Parameters'!$B$3*LN(4*PI()*C1470^2)</x:f>
        <x:v>6.4820407778411955</x:v>
      </x:c>
      <x:c r="F1470" s="23" t="n">
        <x:f>D1470+E1470</x:f>
        <x:v>2.6670287778411956</x:v>
      </x:c>
      <x:c r="G1470" s="23" t="n">
        <x:f>AVERAGE($F$1544:$F$1567)</x:f>
        <x:v>2.2026151469682635</x:v>
      </x:c>
      <x:c r="H1470" s="24" t="n">
        <x:f>F1470-G1470</x:f>
        <x:v>0.4644136308729321</x:v>
      </x:c>
    </x:row>
    <x:row r="1471">
      <x:c r="A1471" s="2" t="str">
        <x:v>LiD3-Flex</x:v>
      </x:c>
      <x:c r="B1471" s="4" t="str">
        <x:v>NaCl</x:v>
      </x:c>
      <x:c r="C1471" s="23" t="n">
        <x:v>1.055135</x:v>
      </x:c>
      <x:c r="D1471" s="23" t="n">
        <x:v>-3.920501</x:v>
      </x:c>
      <x:c r="E1471" s="23" t="n">
        <x:f>'Parameters'!$B$2*'Parameters'!$B$3*LN(4*PI()*C1471^2)</x:f>
        <x:v>6.5403852546457815</x:v>
      </x:c>
      <x:c r="F1471" s="23" t="n">
        <x:f>D1471+E1471</x:f>
        <x:v>2.6198842546457817</x:v>
      </x:c>
      <x:c r="G1471" s="23" t="n">
        <x:f>AVERAGE($F$1544:$F$1567)</x:f>
        <x:v>2.2026151469682635</x:v>
      </x:c>
      <x:c r="H1471" s="24" t="n">
        <x:f>F1471-G1471</x:f>
        <x:v>0.4172691076775181</x:v>
      </x:c>
    </x:row>
    <x:row r="1472">
      <x:c r="A1472" s="2" t="str">
        <x:v>LiD3-Flex</x:v>
      </x:c>
      <x:c r="B1472" s="4" t="str">
        <x:v>NaCl</x:v>
      </x:c>
      <x:c r="C1472" s="23" t="n">
        <x:v>1.067478</x:v>
      </x:c>
      <x:c r="D1472" s="23" t="n">
        <x:v>-3.981129</x:v>
      </x:c>
      <x:c r="E1472" s="23" t="n">
        <x:f>'Parameters'!$B$2*'Parameters'!$B$3*LN(4*PI()*C1472^2)</x:f>
        <x:v>6.598046470333433</x:v>
      </x:c>
      <x:c r="F1472" s="23" t="n">
        <x:f>D1472+E1472</x:f>
        <x:v>2.6169174703334326</x:v>
      </x:c>
      <x:c r="G1472" s="23" t="n">
        <x:f>AVERAGE($F$1544:$F$1567)</x:f>
        <x:v>2.2026151469682635</x:v>
      </x:c>
      <x:c r="H1472" s="24" t="n">
        <x:f>F1472-G1472</x:f>
        <x:v>0.41430232336516903</x:v>
      </x:c>
    </x:row>
    <x:row r="1473">
      <x:c r="A1473" s="2" t="str">
        <x:v>LiD3-Flex</x:v>
      </x:c>
      <x:c r="B1473" s="4" t="str">
        <x:v>NaCl</x:v>
      </x:c>
      <x:c r="C1473" s="23" t="n">
        <x:v>1.079821</x:v>
      </x:c>
      <x:c r="D1473" s="23" t="n">
        <x:v>-4.177383</x:v>
      </x:c>
      <x:c r="E1473" s="23" t="n">
        <x:f>'Parameters'!$B$2*'Parameters'!$B$3*LN(4*PI()*C1473^2)</x:f>
        <x:v>6.655044780525303</x:v>
      </x:c>
      <x:c r="F1473" s="23" t="n">
        <x:f>D1473+E1473</x:f>
        <x:v>2.4776617805253034</x:v>
      </x:c>
      <x:c r="G1473" s="23" t="n">
        <x:f>AVERAGE($F$1544:$F$1567)</x:f>
        <x:v>2.2026151469682635</x:v>
      </x:c>
      <x:c r="H1473" s="24" t="n">
        <x:f>F1473-G1473</x:f>
        <x:v>0.27504663355703984</x:v>
      </x:c>
    </x:row>
    <x:row r="1474">
      <x:c r="A1474" s="2" t="str">
        <x:v>LiD3-Flex</x:v>
      </x:c>
      <x:c r="B1474" s="4" t="str">
        <x:v>NaCl</x:v>
      </x:c>
      <x:c r="C1474" s="23" t="n">
        <x:v>1.092164</x:v>
      </x:c>
      <x:c r="D1474" s="23" t="n">
        <x:v>-4.149268</x:v>
      </x:c>
      <x:c r="E1474" s="23" t="n">
        <x:f>'Parameters'!$B$2*'Parameters'!$B$3*LN(4*PI()*C1474^2)</x:f>
        <x:v>6.711395254404366</x:v>
      </x:c>
      <x:c r="F1474" s="23" t="n">
        <x:f>D1474+E1474</x:f>
        <x:v>2.5621272544043654</x:v>
      </x:c>
      <x:c r="G1474" s="23" t="n">
        <x:f>AVERAGE($F$1544:$F$1567)</x:f>
        <x:v>2.2026151469682635</x:v>
      </x:c>
      <x:c r="H1474" s="24" t="n">
        <x:f>F1474-G1474</x:f>
        <x:v>0.35951210743610185</x:v>
      </x:c>
    </x:row>
    <x:row r="1475">
      <x:c r="A1475" s="2" t="str">
        <x:v>LiD3-Flex</x:v>
      </x:c>
      <x:c r="B1475" s="4" t="str">
        <x:v>NaCl</x:v>
      </x:c>
      <x:c r="C1475" s="23" t="n">
        <x:v>1.104508</x:v>
      </x:c>
      <x:c r="D1475" s="23" t="n">
        <x:v>-4.240441</x:v>
      </x:c>
      <x:c r="E1475" s="23" t="n">
        <x:f>'Parameters'!$B$2*'Parameters'!$B$3*LN(4*PI()*C1475^2)</x:f>
        <x:v>6.7671169418940025</x:v>
      </x:c>
      <x:c r="F1475" s="23" t="n">
        <x:f>D1475+E1475</x:f>
        <x:v>2.526675941894003</x:v>
      </x:c>
      <x:c r="G1475" s="23" t="n">
        <x:f>AVERAGE($F$1544:$F$1567)</x:f>
        <x:v>2.2026151469682635</x:v>
      </x:c>
      <x:c r="H1475" s="24" t="n">
        <x:f>F1475-G1475</x:f>
        <x:v>0.32406079492573925</x:v>
      </x:c>
    </x:row>
    <x:row r="1476">
      <x:c r="A1476" s="2" t="str">
        <x:v>LiD3-Flex</x:v>
      </x:c>
      <x:c r="B1476" s="4" t="str">
        <x:v>NaCl</x:v>
      </x:c>
      <x:c r="C1476" s="23" t="n">
        <x:v>1.116851</x:v>
      </x:c>
      <x:c r="D1476" s="23" t="n">
        <x:v>-4.337209</x:v>
      </x:c>
      <x:c r="E1476" s="23" t="n">
        <x:f>'Parameters'!$B$2*'Parameters'!$B$3*LN(4*PI()*C1476^2)</x:f>
        <x:v>6.822214891432186</x:v>
      </x:c>
      <x:c r="F1476" s="23" t="n">
        <x:f>D1476+E1476</x:f>
        <x:v>2.485005891432186</x:v>
      </x:c>
      <x:c r="G1476" s="23" t="n">
        <x:f>AVERAGE($F$1544:$F$1567)</x:f>
        <x:v>2.2026151469682635</x:v>
      </x:c>
      <x:c r="H1476" s="24" t="n">
        <x:f>F1476-G1476</x:f>
        <x:v>0.2823907444639224</x:v>
      </x:c>
    </x:row>
    <x:row r="1477">
      <x:c r="A1477" s="2" t="str">
        <x:v>LiD3-Flex</x:v>
      </x:c>
      <x:c r="B1477" s="4" t="str">
        <x:v>NaCl</x:v>
      </x:c>
      <x:c r="C1477" s="23" t="n">
        <x:v>1.129194</x:v>
      </x:c>
      <x:c r="D1477" s="23" t="n">
        <x:v>-4.396816</x:v>
      </x:c>
      <x:c r="E1477" s="23" t="n">
        <x:f>'Parameters'!$B$2*'Parameters'!$B$3*LN(4*PI()*C1477^2)</x:f>
        <x:v>6.876707254030058</x:v>
      </x:c>
      <x:c r="F1477" s="23" t="n">
        <x:f>D1477+E1477</x:f>
        <x:v>2.4798912540300577</x:v>
      </x:c>
      <x:c r="G1477" s="23" t="n">
        <x:f>AVERAGE($F$1544:$F$1567)</x:f>
        <x:v>2.2026151469682635</x:v>
      </x:c>
      <x:c r="H1477" s="24" t="n">
        <x:f>F1477-G1477</x:f>
        <x:v>0.2772761070617942</x:v>
      </x:c>
    </x:row>
    <x:row r="1478">
      <x:c r="A1478" s="2" t="str">
        <x:v>LiD3-Flex</x:v>
      </x:c>
      <x:c r="B1478" s="4" t="str">
        <x:v>NaCl</x:v>
      </x:c>
      <x:c r="C1478" s="23" t="n">
        <x:v>1.141537</x:v>
      </x:c>
      <x:c r="D1478" s="23" t="n">
        <x:v>-4.43144</x:v>
      </x:c>
      <x:c r="E1478" s="23" t="n">
        <x:f>'Parameters'!$B$2*'Parameters'!$B$3*LN(4*PI()*C1478^2)</x:f>
        <x:v>6.930607197223383</x:v>
      </x:c>
      <x:c r="F1478" s="23" t="n">
        <x:f>D1478+E1478</x:f>
        <x:v>2.4991671972233824</x:v>
      </x:c>
      <x:c r="G1478" s="23" t="n">
        <x:f>AVERAGE($F$1544:$F$1567)</x:f>
        <x:v>2.2026151469682635</x:v>
      </x:c>
      <x:c r="H1478" s="24" t="n">
        <x:f>F1478-G1478</x:f>
        <x:v>0.2965520502551189</x:v>
      </x:c>
    </x:row>
    <x:row r="1479">
      <x:c r="A1479" s="2" t="str">
        <x:v>LiD3-Flex</x:v>
      </x:c>
      <x:c r="B1479" s="4" t="str">
        <x:v>NaCl</x:v>
      </x:c>
      <x:c r="C1479" s="23" t="n">
        <x:v>1.153881</x:v>
      </x:c>
      <x:c r="D1479" s="23" t="n">
        <x:v>-4.477792</x:v>
      </x:c>
      <x:c r="E1479" s="23" t="n">
        <x:f>'Parameters'!$B$2*'Parameters'!$B$3*LN(4*PI()*C1479^2)</x:f>
        <x:v>6.983931760432498</x:v>
      </x:c>
      <x:c r="F1479" s="23" t="n">
        <x:f>D1479+E1479</x:f>
        <x:v>2.5061397604324984</x:v>
      </x:c>
      <x:c r="G1479" s="23" t="n">
        <x:f>AVERAGE($F$1544:$F$1567)</x:f>
        <x:v>2.2026151469682635</x:v>
      </x:c>
      <x:c r="H1479" s="24" t="n">
        <x:f>F1479-G1479</x:f>
        <x:v>0.30352461346423487</x:v>
      </x:c>
    </x:row>
    <x:row r="1480">
      <x:c r="A1480" s="2" t="str">
        <x:v>LiD3-Flex</x:v>
      </x:c>
      <x:c r="B1480" s="4" t="str">
        <x:v>NaCl</x:v>
      </x:c>
      <x:c r="C1480" s="23" t="n">
        <x:v>1.166224</x:v>
      </x:c>
      <x:c r="D1480" s="23" t="n">
        <x:v>-4.548822</x:v>
      </x:c>
      <x:c r="E1480" s="23" t="n">
        <x:f>'Parameters'!$B$2*'Parameters'!$B$3*LN(4*PI()*C1480^2)</x:f>
        <x:v>7.036684640645473</x:v>
      </x:c>
      <x:c r="F1480" s="23" t="n">
        <x:f>D1480+E1480</x:f>
        <x:v>2.4878626406454725</x:v>
      </x:c>
      <x:c r="G1480" s="23" t="n">
        <x:f>AVERAGE($F$1544:$F$1567)</x:f>
        <x:v>2.2026151469682635</x:v>
      </x:c>
      <x:c r="H1480" s="24" t="n">
        <x:f>F1480-G1480</x:f>
        <x:v>0.2852474936772089</x:v>
      </x:c>
    </x:row>
    <x:row r="1481">
      <x:c r="A1481" s="2" t="str">
        <x:v>LiD3-Flex</x:v>
      </x:c>
      <x:c r="B1481" s="4" t="str">
        <x:v>NaCl</x:v>
      </x:c>
      <x:c r="C1481" s="23" t="n">
        <x:v>1.178567</x:v>
      </x:c>
      <x:c r="D1481" s="23" t="n">
        <x:v>-4.553348</x:v>
      </x:c>
      <x:c r="E1481" s="23" t="n">
        <x:f>'Parameters'!$B$2*'Parameters'!$B$3*LN(4*PI()*C1481^2)</x:f>
        <x:v>7.088882127313199</x:v>
      </x:c>
      <x:c r="F1481" s="23" t="n">
        <x:f>D1481+E1481</x:f>
        <x:v>2.5355341273131993</x:v>
      </x:c>
      <x:c r="G1481" s="23" t="n">
        <x:f>AVERAGE($F$1544:$F$1567)</x:f>
        <x:v>2.2026151469682635</x:v>
      </x:c>
      <x:c r="H1481" s="24" t="n">
        <x:f>F1481-G1481</x:f>
        <x:v>0.3329189803449357</x:v>
      </x:c>
    </x:row>
    <x:row r="1482">
      <x:c r="A1482" s="2" t="str">
        <x:v>LiD3-Flex</x:v>
      </x:c>
      <x:c r="B1482" s="4" t="str">
        <x:v>NaCl</x:v>
      </x:c>
      <x:c r="C1482" s="23" t="n">
        <x:v>1.19091</x:v>
      </x:c>
      <x:c r="D1482" s="23" t="n">
        <x:v>-4.685491</x:v>
      </x:c>
      <x:c r="E1482" s="23" t="n">
        <x:f>'Parameters'!$B$2*'Parameters'!$B$3*LN(4*PI()*C1482^2)</x:f>
        <x:v>7.140535793302642</x:v>
      </x:c>
      <x:c r="F1482" s="23" t="n">
        <x:f>D1482+E1482</x:f>
        <x:v>2.4550447933026422</x:v>
      </x:c>
      <x:c r="G1482" s="23" t="n">
        <x:f>AVERAGE($F$1544:$F$1567)</x:f>
        <x:v>2.2026151469682635</x:v>
      </x:c>
      <x:c r="H1482" s="24" t="n">
        <x:f>F1482-G1482</x:f>
        <x:v>0.2524296463343787</x:v>
      </x:c>
    </x:row>
    <x:row r="1483">
      <x:c r="A1483" s="2" t="str">
        <x:v>LiD3-Flex</x:v>
      </x:c>
      <x:c r="B1483" s="4" t="str">
        <x:v>NaCl</x:v>
      </x:c>
      <x:c r="C1483" s="23" t="n">
        <x:v>1.203254</x:v>
      </x:c>
      <x:c r="D1483" s="23" t="n">
        <x:v>-4.652421</x:v>
      </x:c>
      <x:c r="E1483" s="23" t="n">
        <x:f>'Parameters'!$B$2*'Parameters'!$B$3*LN(4*PI()*C1483^2)</x:f>
        <x:v>7.191660973911053</x:v>
      </x:c>
      <x:c r="F1483" s="23" t="n">
        <x:f>D1483+E1483</x:f>
        <x:v>2.5392399739110525</x:v>
      </x:c>
      <x:c r="G1483" s="23" t="n">
        <x:f>AVERAGE($F$1544:$F$1567)</x:f>
        <x:v>2.2026151469682635</x:v>
      </x:c>
      <x:c r="H1483" s="24" t="n">
        <x:f>F1483-G1483</x:f>
        <x:v>0.33662482694278895</x:v>
      </x:c>
    </x:row>
    <x:row r="1484">
      <x:c r="A1484" s="2" t="str">
        <x:v>LiD3-Flex</x:v>
      </x:c>
      <x:c r="B1484" s="4" t="str">
        <x:v>NaCl</x:v>
      </x:c>
      <x:c r="C1484" s="23" t="n">
        <x:v>1.215597</x:v>
      </x:c>
      <x:c r="D1484" s="23" t="n">
        <x:v>-4.756091</x:v>
      </x:c>
      <x:c r="E1484" s="23" t="n">
        <x:f>'Parameters'!$B$2*'Parameters'!$B$3*LN(4*PI()*C1484^2)</x:f>
        <x:v>7.2422602579484545</x:v>
      </x:c>
      <x:c r="F1484" s="23" t="n">
        <x:f>D1484+E1484</x:f>
        <x:v>2.486169257948455</x:v>
      </x:c>
      <x:c r="G1484" s="23" t="n">
        <x:f>AVERAGE($F$1544:$F$1567)</x:f>
        <x:v>2.2026151469682635</x:v>
      </x:c>
      <x:c r="H1484" s="24" t="n">
        <x:f>F1484-G1484</x:f>
        <x:v>0.28355411098019134</x:v>
      </x:c>
    </x:row>
    <x:row r="1485">
      <x:c r="A1485" s="2" t="str">
        <x:v>LiD3-Flex</x:v>
      </x:c>
      <x:c r="B1485" s="4" t="str">
        <x:v>NaCl</x:v>
      </x:c>
      <x:c r="C1485" s="23" t="n">
        <x:v>1.22794</x:v>
      </x:c>
      <x:c r="D1485" s="23" t="n">
        <x:v>-4.714342</x:v>
      </x:c>
      <x:c r="E1485" s="23" t="n">
        <x:f>'Parameters'!$B$2*'Parameters'!$B$3*LN(4*PI()*C1485^2)</x:f>
        <x:v>7.292348350511314</x:v>
      </x:c>
      <x:c r="F1485" s="23" t="n">
        <x:f>D1485+E1485</x:f>
        <x:v>2.5780063505113135</x:v>
      </x:c>
      <x:c r="G1485" s="23" t="n">
        <x:f>AVERAGE($F$1544:$F$1567)</x:f>
        <x:v>2.2026151469682635</x:v>
      </x:c>
      <x:c r="H1485" s="24" t="n">
        <x:f>F1485-G1485</x:f>
        <x:v>0.37539120354305</x:v>
      </x:c>
    </x:row>
    <x:row r="1486">
      <x:c r="A1486" s="2" t="str">
        <x:v>LiD3-Flex</x:v>
      </x:c>
      <x:c r="B1486" s="4" t="str">
        <x:v>NaCl</x:v>
      </x:c>
      <x:c r="C1486" s="23" t="n">
        <x:v>1.240283</x:v>
      </x:c>
      <x:c r="D1486" s="23" t="n">
        <x:v>-4.892599</x:v>
      </x:c>
      <x:c r="E1486" s="23" t="n">
        <x:f>'Parameters'!$B$2*'Parameters'!$B$3*LN(4*PI()*C1486^2)</x:f>
        <x:v>7.341935477249045</x:v>
      </x:c>
      <x:c r="F1486" s="23" t="n">
        <x:f>D1486+E1486</x:f>
        <x:v>2.4493364772490454</x:v>
      </x:c>
      <x:c r="G1486" s="23" t="n">
        <x:f>AVERAGE($F$1544:$F$1567)</x:f>
        <x:v>2.2026151469682635</x:v>
      </x:c>
      <x:c r="H1486" s="24" t="n">
        <x:f>F1486-G1486</x:f>
        <x:v>0.2467213302807818</x:v>
      </x:c>
    </x:row>
    <x:row r="1487">
      <x:c r="A1487" s="2" t="str">
        <x:v>LiD3-Flex</x:v>
      </x:c>
      <x:c r="B1487" s="4" t="str">
        <x:v>NaCl</x:v>
      </x:c>
      <x:c r="C1487" s="23" t="n">
        <x:v>1.252627</x:v>
      </x:c>
      <x:c r="D1487" s="23" t="n">
        <x:v>-4.774925</x:v>
      </x:c>
      <x:c r="E1487" s="23" t="n">
        <x:f>'Parameters'!$B$2*'Parameters'!$B$3*LN(4*PI()*C1487^2)</x:f>
        <x:v>7.391035518037556</x:v>
      </x:c>
      <x:c r="F1487" s="23" t="n">
        <x:f>D1487+E1487</x:f>
        <x:v>2.616110518037557</x:v>
      </x:c>
      <x:c r="G1487" s="23" t="n">
        <x:f>AVERAGE($F$1544:$F$1567)</x:f>
        <x:v>2.2026151469682635</x:v>
      </x:c>
      <x:c r="H1487" s="24" t="n">
        <x:f>F1487-G1487</x:f>
        <x:v>0.41349537106929324</x:v>
      </x:c>
    </x:row>
    <x:row r="1488">
      <x:c r="A1488" s="2" t="str">
        <x:v>LiD3-Flex</x:v>
      </x:c>
      <x:c r="B1488" s="4" t="str">
        <x:v>NaCl</x:v>
      </x:c>
      <x:c r="C1488" s="23" t="n">
        <x:v>1.26497</x:v>
      </x:c>
      <x:c r="D1488" s="23" t="n">
        <x:v>-4.762873</x:v>
      </x:c>
      <x:c r="E1488" s="23" t="n">
        <x:f>'Parameters'!$B$2*'Parameters'!$B$3*LN(4*PI()*C1488^2)</x:f>
        <x:v>7.439650148215593</x:v>
      </x:c>
      <x:c r="F1488" s="23" t="n">
        <x:f>D1488+E1488</x:f>
        <x:v>2.676777148215593</x:v>
      </x:c>
      <x:c r="G1488" s="23" t="n">
        <x:f>AVERAGE($F$1544:$F$1567)</x:f>
        <x:v>2.2026151469682635</x:v>
      </x:c>
      <x:c r="H1488" s="24" t="n">
        <x:f>F1488-G1488</x:f>
        <x:v>0.47416200124732955</x:v>
      </x:c>
    </x:row>
    <x:row r="1489">
      <x:c r="A1489" s="2" t="str">
        <x:v>LiD3-Flex</x:v>
      </x:c>
      <x:c r="B1489" s="4" t="str">
        <x:v>NaCl</x:v>
      </x:c>
      <x:c r="C1489" s="23" t="n">
        <x:v>1.277313</x:v>
      </x:c>
      <x:c r="D1489" s="23" t="n">
        <x:v>-5.00961</x:v>
      </x:c>
      <x:c r="E1489" s="23" t="n">
        <x:f>'Parameters'!$B$2*'Parameters'!$B$3*LN(4*PI()*C1489^2)</x:f>
        <x:v>7.487792714617691</x:v>
      </x:c>
      <x:c r="F1489" s="23" t="n">
        <x:f>D1489+E1489</x:f>
        <x:v>2.4781827146176907</x:v>
      </x:c>
      <x:c r="G1489" s="23" t="n">
        <x:f>AVERAGE($F$1544:$F$1567)</x:f>
        <x:v>2.2026151469682635</x:v>
      </x:c>
      <x:c r="H1489" s="24" t="n">
        <x:f>F1489-G1489</x:f>
        <x:v>0.27556756764942714</x:v>
      </x:c>
    </x:row>
    <x:row r="1490">
      <x:c r="A1490" s="2" t="str">
        <x:v>LiD3-Flex</x:v>
      </x:c>
      <x:c r="B1490" s="4" t="str">
        <x:v>NaCl</x:v>
      </x:c>
      <x:c r="C1490" s="23" t="n">
        <x:v>1.289657</x:v>
      </x:c>
      <x:c r="D1490" s="23" t="n">
        <x:v>-5.019045</x:v>
      </x:c>
      <x:c r="E1490" s="23" t="n">
        <x:f>'Parameters'!$B$2*'Parameters'!$B$3*LN(4*PI()*C1490^2)</x:f>
        <x:v>7.535476141299469</x:v>
      </x:c>
      <x:c r="F1490" s="23" t="n">
        <x:f>D1490+E1490</x:f>
        <x:v>2.516431141299469</x:v>
      </x:c>
      <x:c r="G1490" s="23" t="n">
        <x:f>AVERAGE($F$1544:$F$1567)</x:f>
        <x:v>2.2026151469682635</x:v>
      </x:c>
      <x:c r="H1490" s="24" t="n">
        <x:f>F1490-G1490</x:f>
        <x:v>0.31381599433120533</x:v>
      </x:c>
    </x:row>
    <x:row r="1491">
      <x:c r="A1491" s="2" t="str">
        <x:v>LiD3-Flex</x:v>
      </x:c>
      <x:c r="B1491" s="4" t="str">
        <x:v>NaCl</x:v>
      </x:c>
      <x:c r="C1491" s="23" t="n">
        <x:v>1.302</x:v>
      </x:c>
      <x:c r="D1491" s="23" t="n">
        <x:v>-4.945001</x:v>
      </x:c>
      <x:c r="E1491" s="23" t="n">
        <x:f>'Parameters'!$B$2*'Parameters'!$B$3*LN(4*PI()*C1491^2)</x:f>
        <x:v>7.582701523302941</x:v>
      </x:c>
      <x:c r="F1491" s="23" t="n">
        <x:f>D1491+E1491</x:f>
        <x:v>2.6377005233029402</x:v>
      </x:c>
      <x:c r="G1491" s="23" t="n">
        <x:f>AVERAGE($F$1544:$F$1567)</x:f>
        <x:v>2.2026151469682635</x:v>
      </x:c>
      <x:c r="H1491" s="24" t="n">
        <x:f>F1491-G1491</x:f>
        <x:v>0.4350853763346767</x:v>
      </x:c>
    </x:row>
    <x:row r="1492">
      <x:c r="A1492" s="2" t="str">
        <x:v>LiD3-Flex</x:v>
      </x:c>
      <x:c r="B1492" s="4" t="str">
        <x:v>NaCl</x:v>
      </x:c>
      <x:c r="C1492" s="23" t="n">
        <x:v>1.314343</x:v>
      </x:c>
      <x:c r="D1492" s="23" t="n">
        <x:v>-5.036942</x:v>
      </x:c>
      <x:c r="E1492" s="23" t="n">
        <x:f>'Parameters'!$B$2*'Parameters'!$B$3*LN(4*PI()*C1492^2)</x:f>
        <x:v>7.6294813126755905</x:v>
      </x:c>
      <x:c r="F1492" s="23" t="n">
        <x:f>D1492+E1492</x:f>
        <x:v>2.5925393126755907</x:v>
      </x:c>
      <x:c r="G1492" s="23" t="n">
        <x:f>AVERAGE($F$1544:$F$1567)</x:f>
        <x:v>2.2026151469682635</x:v>
      </x:c>
      <x:c r="H1492" s="24" t="n">
        <x:f>F1492-G1492</x:f>
        <x:v>0.38992416570732713</x:v>
      </x:c>
    </x:row>
    <x:row r="1493">
      <x:c r="A1493" s="2" t="str">
        <x:v>LiD3-Flex</x:v>
      </x:c>
      <x:c r="B1493" s="4" t="str">
        <x:v>NaCl</x:v>
      </x:c>
      <x:c r="C1493" s="23" t="n">
        <x:v>1.326686</x:v>
      </x:c>
      <x:c r="D1493" s="23" t="n">
        <x:v>-5.290126</x:v>
      </x:c>
      <x:c r="E1493" s="23" t="n">
        <x:f>'Parameters'!$B$2*'Parameters'!$B$3*LN(4*PI()*C1493^2)</x:f>
        <x:v>7.675823839611621</x:v>
      </x:c>
      <x:c r="F1493" s="23" t="n">
        <x:f>D1493+E1493</x:f>
        <x:v>2.3856978396116215</x:v>
      </x:c>
      <x:c r="G1493" s="23" t="n">
        <x:f>AVERAGE($F$1544:$F$1567)</x:f>
        <x:v>2.2026151469682635</x:v>
      </x:c>
      <x:c r="H1493" s="24" t="n">
        <x:f>F1493-G1493</x:f>
        <x:v>0.18308269264335797</x:v>
      </x:c>
    </x:row>
    <x:row r="1494">
      <x:c r="A1494" s="2" t="str">
        <x:v>LiD3-Flex</x:v>
      </x:c>
      <x:c r="B1494" s="4" t="str">
        <x:v>NaCl</x:v>
      </x:c>
      <x:c r="C1494" s="23" t="n">
        <x:v>1.33903</x:v>
      </x:c>
      <x:c r="D1494" s="23" t="n">
        <x:v>-5.25734</x:v>
      </x:c>
      <x:c r="E1494" s="23" t="n">
        <x:f>'Parameters'!$B$2*'Parameters'!$B$3*LN(4*PI()*C1494^2)</x:f>
        <x:v>7.721740905489362</x:v>
      </x:c>
      <x:c r="F1494" s="23" t="n">
        <x:f>D1494+E1494</x:f>
        <x:v>2.464400905489362</x:v>
      </x:c>
      <x:c r="G1494" s="23" t="n">
        <x:f>AVERAGE($F$1544:$F$1567)</x:f>
        <x:v>2.2026151469682635</x:v>
      </x:c>
      <x:c r="H1494" s="24" t="n">
        <x:f>F1494-G1494</x:f>
        <x:v>0.26178575852109853</x:v>
      </x:c>
    </x:row>
    <x:row r="1495">
      <x:c r="A1495" s="2" t="str">
        <x:v>LiD3-Flex</x:v>
      </x:c>
      <x:c r="B1495" s="4" t="str">
        <x:v>NaCl</x:v>
      </x:c>
      <x:c r="C1495" s="23" t="n">
        <x:v>1.351373</x:v>
      </x:c>
      <x:c r="D1495" s="23" t="n">
        <x:v>-5.461086</x:v>
      </x:c>
      <x:c r="E1495" s="23" t="n">
        <x:f>'Parameters'!$B$2*'Parameters'!$B$3*LN(4*PI()*C1495^2)</x:f>
        <x:v>7.767232947077214</x:v>
      </x:c>
      <x:c r="F1495" s="23" t="n">
        <x:f>D1495+E1495</x:f>
        <x:v>2.306146947077214</x:v>
      </x:c>
      <x:c r="G1495" s="23" t="n">
        <x:f>AVERAGE($F$1544:$F$1567)</x:f>
        <x:v>2.2026151469682635</x:v>
      </x:c>
      <x:c r="H1495" s="24" t="n">
        <x:f>F1495-G1495</x:f>
        <x:v>0.10353180010895047</x:v>
      </x:c>
    </x:row>
    <x:row r="1496">
      <x:c r="A1496" s="2" t="str">
        <x:v>LiD3-Flex</x:v>
      </x:c>
      <x:c r="B1496" s="4" t="str">
        <x:v>NaCl</x:v>
      </x:c>
      <x:c r="C1496" s="23" t="n">
        <x:v>1.363716</x:v>
      </x:c>
      <x:c r="D1496" s="23" t="n">
        <x:v>-5.325492</x:v>
      </x:c>
      <x:c r="E1496" s="23" t="n">
        <x:f>'Parameters'!$B$2*'Parameters'!$B$3*LN(4*PI()*C1496^2)</x:f>
        <x:v>7.812311362414626</x:v>
      </x:c>
      <x:c r="F1496" s="23" t="n">
        <x:f>D1496+E1496</x:f>
        <x:v>2.486819362414626</x:v>
      </x:c>
      <x:c r="G1496" s="23" t="n">
        <x:f>AVERAGE($F$1544:$F$1567)</x:f>
        <x:v>2.2026151469682635</x:v>
      </x:c>
      <x:c r="H1496" s="24" t="n">
        <x:f>F1496-G1496</x:f>
        <x:v>0.28420421544636243</x:v>
      </x:c>
    </x:row>
    <x:row r="1497">
      <x:c r="A1497" s="2" t="str">
        <x:v>LiD3-Flex</x:v>
      </x:c>
      <x:c r="B1497" s="4" t="str">
        <x:v>NaCl</x:v>
      </x:c>
      <x:c r="C1497" s="23" t="n">
        <x:v>1.376059</x:v>
      </x:c>
      <x:c r="D1497" s="23" t="n">
        <x:v>-5.305879</x:v>
      </x:c>
      <x:c r="E1497" s="23" t="n">
        <x:f>'Parameters'!$B$2*'Parameters'!$B$3*LN(4*PI()*C1497^2)</x:f>
        <x:v>7.856983605388692</x:v>
      </x:c>
      <x:c r="F1497" s="23" t="n">
        <x:f>D1497+E1497</x:f>
        <x:v>2.5511046053886917</x:v>
      </x:c>
      <x:c r="G1497" s="23" t="n">
        <x:f>AVERAGE($F$1544:$F$1567)</x:f>
        <x:v>2.2026151469682635</x:v>
      </x:c>
      <x:c r="H1497" s="24" t="n">
        <x:f>F1497-G1497</x:f>
        <x:v>0.3484894584204281</x:v>
      </x:c>
    </x:row>
    <x:row r="1498">
      <x:c r="A1498" s="2" t="str">
        <x:v>LiD3-Flex</x:v>
      </x:c>
      <x:c r="B1498" s="4" t="str">
        <x:v>NaCl</x:v>
      </x:c>
      <x:c r="C1498" s="23" t="n">
        <x:v>1.388403</x:v>
      </x:c>
      <x:c r="D1498" s="23" t="n">
        <x:v>-5.220376</x:v>
      </x:c>
      <x:c r="E1498" s="23" t="n">
        <x:f>'Parameters'!$B$2*'Parameters'!$B$3*LN(4*PI()*C1498^2)</x:f>
        <x:v>7.901260501145313</x:v>
      </x:c>
      <x:c r="F1498" s="23" t="n">
        <x:f>D1498+E1498</x:f>
        <x:v>2.6808845011453135</x:v>
      </x:c>
      <x:c r="G1498" s="23" t="n">
        <x:f>AVERAGE($F$1544:$F$1567)</x:f>
        <x:v>2.2026151469682635</x:v>
      </x:c>
      <x:c r="H1498" s="24" t="n">
        <x:f>F1498-G1498</x:f>
        <x:v>0.47826935417704997</x:v>
      </x:c>
    </x:row>
    <x:row r="1499">
      <x:c r="A1499" s="2" t="str">
        <x:v>LiD3-Flex</x:v>
      </x:c>
      <x:c r="B1499" s="4" t="str">
        <x:v>NaCl</x:v>
      </x:c>
      <x:c r="C1499" s="23" t="n">
        <x:v>1.400746</x:v>
      </x:c>
      <x:c r="D1499" s="23" t="n">
        <x:v>-5.379884</x:v>
      </x:c>
      <x:c r="E1499" s="23" t="n">
        <x:f>'Parameters'!$B$2*'Parameters'!$B$3*LN(4*PI()*C1499^2)</x:f>
        <x:v>7.945141937898097</x:v>
      </x:c>
      <x:c r="F1499" s="23" t="n">
        <x:f>D1499+E1499</x:f>
        <x:v>2.5652579378980978</x:v>
      </x:c>
      <x:c r="G1499" s="23" t="n">
        <x:f>AVERAGE($F$1544:$F$1567)</x:f>
        <x:v>2.2026151469682635</x:v>
      </x:c>
      <x:c r="H1499" s="24" t="n">
        <x:f>F1499-G1499</x:f>
        <x:v>0.3626427909298342</x:v>
      </x:c>
    </x:row>
    <x:row r="1500">
      <x:c r="A1500" s="2" t="str">
        <x:v>LiD3-Flex</x:v>
      </x:c>
      <x:c r="B1500" s="4" t="str">
        <x:v>NaCl</x:v>
      </x:c>
      <x:c r="C1500" s="23" t="n">
        <x:v>1.413089</x:v>
      </x:c>
      <x:c r="D1500" s="23" t="n">
        <x:v>-5.473309</x:v>
      </x:c>
      <x:c r="E1500" s="23" t="n">
        <x:f>'Parameters'!$B$2*'Parameters'!$B$3*LN(4*PI()*C1500^2)</x:f>
        <x:v>7.98863839432857</x:v>
      </x:c>
      <x:c r="F1500" s="23" t="n">
        <x:f>D1500+E1500</x:f>
        <x:v>2.5153293943285693</x:v>
      </x:c>
      <x:c r="G1500" s="23" t="n">
        <x:f>AVERAGE($F$1544:$F$1567)</x:f>
        <x:v>2.2026151469682635</x:v>
      </x:c>
      <x:c r="H1500" s="24" t="n">
        <x:f>F1500-G1500</x:f>
        <x:v>0.31271424736030573</x:v>
      </x:c>
    </x:row>
    <x:row r="1501">
      <x:c r="A1501" s="2" t="str">
        <x:v>LiD3-Flex</x:v>
      </x:c>
      <x:c r="B1501" s="4" t="str">
        <x:v>NaCl</x:v>
      </x:c>
      <x:c r="C1501" s="23" t="n">
        <x:v>1.425432</x:v>
      </x:c>
      <x:c r="D1501" s="23" t="n">
        <x:v>-5.378034</x:v>
      </x:c>
      <x:c r="E1501" s="23" t="n">
        <x:f>'Parameters'!$B$2*'Parameters'!$B$3*LN(4*PI()*C1501^2)</x:f>
        <x:v>8.031756566744786</x:v>
      </x:c>
      <x:c r="F1501" s="23" t="n">
        <x:f>D1501+E1501</x:f>
        <x:v>2.6537225667447855</x:v>
      </x:c>
      <x:c r="G1501" s="23" t="n">
        <x:f>AVERAGE($F$1544:$F$1567)</x:f>
        <x:v>2.2026151469682635</x:v>
      </x:c>
      <x:c r="H1501" s="24" t="n">
        <x:f>F1501-G1501</x:f>
        <x:v>0.4511074197765219</x:v>
      </x:c>
    </x:row>
    <x:row r="1502">
      <x:c r="A1502" s="2" t="str">
        <x:v>LiD3-Flex</x:v>
      </x:c>
      <x:c r="B1502" s="4" t="str">
        <x:v>NaCl</x:v>
      </x:c>
      <x:c r="C1502" s="23" t="n">
        <x:v>1.437776</x:v>
      </x:c>
      <x:c r="D1502" s="23" t="n">
        <x:v>-5.384693</x:v>
      </x:c>
      <x:c r="E1502" s="23" t="n">
        <x:f>'Parameters'!$B$2*'Parameters'!$B$3*LN(4*PI()*C1502^2)</x:f>
        <x:v>8.074506426570576</x:v>
      </x:c>
      <x:c r="F1502" s="23" t="n">
        <x:f>D1502+E1502</x:f>
        <x:v>2.6898134265705753</x:v>
      </x:c>
      <x:c r="G1502" s="23" t="n">
        <x:f>AVERAGE($F$1544:$F$1567)</x:f>
        <x:v>2.2026151469682635</x:v>
      </x:c>
      <x:c r="H1502" s="24" t="n">
        <x:f>F1502-G1502</x:f>
        <x:v>0.48719827960231177</x:v>
      </x:c>
    </x:row>
    <x:row r="1503">
      <x:c r="A1503" s="2" t="str">
        <x:v>LiD3-Flex</x:v>
      </x:c>
      <x:c r="B1503" s="4" t="str">
        <x:v>NaCl</x:v>
      </x:c>
      <x:c r="C1503" s="23" t="n">
        <x:v>1.450119</x:v>
      </x:c>
      <x:c r="D1503" s="23" t="n">
        <x:v>-5.632207</x:v>
      </x:c>
      <x:c r="E1503" s="23" t="n">
        <x:f>'Parameters'!$B$2*'Parameters'!$B$3*LN(4*PI()*C1503^2)</x:f>
        <x:v>8.116887403625668</x:v>
      </x:c>
      <x:c r="F1503" s="23" t="n">
        <x:f>D1503+E1503</x:f>
        <x:v>2.484680403625668</x:v>
      </x:c>
      <x:c r="G1503" s="23" t="n">
        <x:f>AVERAGE($F$1544:$F$1567)</x:f>
        <x:v>2.2026151469682635</x:v>
      </x:c>
      <x:c r="H1503" s="24" t="n">
        <x:f>F1503-G1503</x:f>
        <x:v>0.28206525665740445</x:v>
      </x:c>
    </x:row>
    <x:row r="1504">
      <x:c r="A1504" s="2" t="str">
        <x:v>LiD3-Flex</x:v>
      </x:c>
      <x:c r="B1504" s="4" t="str">
        <x:v>NaCl</x:v>
      </x:c>
      <x:c r="C1504" s="23" t="n">
        <x:v>1.462462</x:v>
      </x:c>
      <x:c r="D1504" s="23" t="n">
        <x:v>-5.532325</x:v>
      </x:c>
      <x:c r="E1504" s="23" t="n">
        <x:f>'Parameters'!$B$2*'Parameters'!$B$3*LN(4*PI()*C1504^2)</x:f>
        <x:v>8.158909170283037</x:v>
      </x:c>
      <x:c r="F1504" s="23" t="n">
        <x:f>D1504+E1504</x:f>
        <x:v>2.626584170283037</x:v>
      </x:c>
      <x:c r="G1504" s="23" t="n">
        <x:f>AVERAGE($F$1544:$F$1567)</x:f>
        <x:v>2.2026151469682635</x:v>
      </x:c>
      <x:c r="H1504" s="24" t="n">
        <x:f>F1504-G1504</x:f>
        <x:v>0.42396902331477326</x:v>
      </x:c>
    </x:row>
    <x:row r="1505">
      <x:c r="A1505" s="2" t="str">
        <x:v>LiD3-Flex</x:v>
      </x:c>
      <x:c r="B1505" s="4" t="str">
        <x:v>NaCl</x:v>
      </x:c>
      <x:c r="C1505" s="23" t="n">
        <x:v>1.474805</x:v>
      </x:c>
      <x:c r="D1505" s="23" t="n">
        <x:v>-5.695394</x:v>
      </x:c>
      <x:c r="E1505" s="23" t="n">
        <x:f>'Parameters'!$B$2*'Parameters'!$B$3*LN(4*PI()*C1505^2)</x:f>
        <x:v>8.20057776455407</x:v>
      </x:c>
      <x:c r="F1505" s="23" t="n">
        <x:f>D1505+E1505</x:f>
        <x:v>2.5051837645540704</x:v>
      </x:c>
      <x:c r="G1505" s="23" t="n">
        <x:f>AVERAGE($F$1544:$F$1567)</x:f>
        <x:v>2.2026151469682635</x:v>
      </x:c>
      <x:c r="H1505" s="24" t="n">
        <x:f>F1505-G1505</x:f>
        <x:v>0.3025686175858069</x:v>
      </x:c>
    </x:row>
    <x:row r="1506">
      <x:c r="A1506" s="2" t="str">
        <x:v>LiD3-Flex</x:v>
      </x:c>
      <x:c r="B1506" s="4" t="str">
        <x:v>NaCl</x:v>
      </x:c>
      <x:c r="C1506" s="23" t="n">
        <x:v>1.487149</x:v>
      </x:c>
      <x:c r="D1506" s="23" t="n">
        <x:v>-5.598923</x:v>
      </x:c>
      <x:c r="E1506" s="23" t="n">
        <x:f>'Parameters'!$B$2*'Parameters'!$B$3*LN(4*PI()*C1506^2)</x:f>
        <x:v>8.241902407316898</x:v>
      </x:c>
      <x:c r="F1506" s="23" t="n">
        <x:f>D1506+E1506</x:f>
        <x:v>2.642979407316898</x:v>
      </x:c>
      <x:c r="G1506" s="23" t="n">
        <x:f>AVERAGE($F$1544:$F$1567)</x:f>
        <x:v>2.2026151469682635</x:v>
      </x:c>
      <x:c r="H1506" s="24" t="n">
        <x:f>F1506-G1506</x:f>
        <x:v>0.4403642603486344</x:v>
      </x:c>
    </x:row>
    <x:row r="1507">
      <x:c r="A1507" s="2" t="str">
        <x:v>LiD3-Flex</x:v>
      </x:c>
      <x:c r="B1507" s="4" t="str">
        <x:v>NaCl</x:v>
      </x:c>
      <x:c r="C1507" s="23" t="n">
        <x:v>1.499492</x:v>
      </x:c>
      <x:c r="D1507" s="23" t="n">
        <x:v>-5.661875</x:v>
      </x:c>
      <x:c r="E1507" s="23" t="n">
        <x:f>'Parameters'!$B$2*'Parameters'!$B$3*LN(4*PI()*C1507^2)</x:f>
        <x:v>8.282882144508555</x:v>
      </x:c>
      <x:c r="F1507" s="23" t="n">
        <x:f>D1507+E1507</x:f>
        <x:v>2.621007144508555</x:v>
      </x:c>
      <x:c r="G1507" s="23" t="n">
        <x:f>AVERAGE($F$1544:$F$1567)</x:f>
        <x:v>2.2026151469682635</x:v>
      </x:c>
      <x:c r="H1507" s="24" t="n">
        <x:f>F1507-G1507</x:f>
        <x:v>0.41839199754029144</x:v>
      </x:c>
    </x:row>
    <x:row r="1508">
      <x:c r="A1508" s="2" t="str">
        <x:v>LiD3-Flex</x:v>
      </x:c>
      <x:c r="B1508" s="4" t="str">
        <x:v>NaCl</x:v>
      </x:c>
      <x:c r="C1508" s="23" t="n">
        <x:v>1.511835</x:v>
      </x:c>
      <x:c r="D1508" s="23" t="n">
        <x:v>-5.793402</x:v>
      </x:c>
      <x:c r="E1508" s="23" t="n">
        <x:f>'Parameters'!$B$2*'Parameters'!$B$3*LN(4*PI()*C1508^2)</x:f>
        <x:v>8.323525937722708</x:v>
      </x:c>
      <x:c r="F1508" s="23" t="n">
        <x:f>D1508+E1508</x:f>
        <x:v>2.530123937722708</x:v>
      </x:c>
      <x:c r="G1508" s="23" t="n">
        <x:f>AVERAGE($F$1544:$F$1567)</x:f>
        <x:v>2.2026151469682635</x:v>
      </x:c>
      <x:c r="H1508" s="24" t="n">
        <x:f>F1508-G1508</x:f>
        <x:v>0.3275087907544445</x:v>
      </x:c>
    </x:row>
    <x:row r="1509">
      <x:c r="A1509" s="2" t="str">
        <x:v>LiD3-Flex</x:v>
      </x:c>
      <x:c r="B1509" s="4" t="str">
        <x:v>NaCl</x:v>
      </x:c>
      <x:c r="C1509" s="23" t="n">
        <x:v>1.524178</x:v>
      </x:c>
      <x:c r="D1509" s="23" t="n">
        <x:v>-5.871001</x:v>
      </x:c>
      <x:c r="E1509" s="23" t="n">
        <x:f>'Parameters'!$B$2*'Parameters'!$B$3*LN(4*PI()*C1509^2)</x:f>
        <x:v>8.363839250210825</x:v>
      </x:c>
      <x:c r="F1509" s="23" t="n">
        <x:f>D1509+E1509</x:f>
        <x:v>2.4928382502108253</x:v>
      </x:c>
      <x:c r="G1509" s="23" t="n">
        <x:f>AVERAGE($F$1544:$F$1567)</x:f>
        <x:v>2.2026151469682635</x:v>
      </x:c>
      <x:c r="H1509" s="24" t="n">
        <x:f>F1509-G1509</x:f>
        <x:v>0.29022310324256173</x:v>
      </x:c>
    </x:row>
    <x:row r="1510">
      <x:c r="A1510" s="2" t="str">
        <x:v>LiD3-Flex</x:v>
      </x:c>
      <x:c r="B1510" s="4" t="str">
        <x:v>NaCl</x:v>
      </x:c>
      <x:c r="C1510" s="23" t="n">
        <x:v>1.536522</x:v>
      </x:c>
      <x:c r="D1510" s="23" t="n">
        <x:v>-5.818479</x:v>
      </x:c>
      <x:c r="E1510" s="23" t="n">
        <x:f>'Parameters'!$B$2*'Parameters'!$B$3*LN(4*PI()*C1510^2)</x:f>
        <x:v>8.403830639743367</x:v>
      </x:c>
      <x:c r="F1510" s="23" t="n">
        <x:f>D1510+E1510</x:f>
        <x:v>2.585351639743367</x:v>
      </x:c>
      <x:c r="G1510" s="23" t="n">
        <x:f>AVERAGE($F$1544:$F$1567)</x:f>
        <x:v>2.2026151469682635</x:v>
      </x:c>
      <x:c r="H1510" s="24" t="n">
        <x:f>F1510-G1510</x:f>
        <x:v>0.38273649277510335</x:v>
      </x:c>
    </x:row>
    <x:row r="1511">
      <x:c r="A1511" s="2" t="str">
        <x:v>LiD3-Flex</x:v>
      </x:c>
      <x:c r="B1511" s="4" t="str">
        <x:v>NaCl</x:v>
      </x:c>
      <x:c r="C1511" s="23" t="n">
        <x:v>1.548865</x:v>
      </x:c>
      <x:c r="D1511" s="23" t="n">
        <x:v>-5.881233</x:v>
      </x:c>
      <x:c r="E1511" s="23" t="n">
        <x:f>'Parameters'!$B$2*'Parameters'!$B$3*LN(4*PI()*C1511^2)</x:f>
        <x:v>8.44349883027433</x:v>
      </x:c>
      <x:c r="F1511" s="23" t="n">
        <x:f>D1511+E1511</x:f>
        <x:v>2.5622658302743293</x:v>
      </x:c>
      <x:c r="G1511" s="23" t="n">
        <x:f>AVERAGE($F$1544:$F$1567)</x:f>
        <x:v>2.2026151469682635</x:v>
      </x:c>
      <x:c r="H1511" s="24" t="n">
        <x:f>F1511-G1511</x:f>
        <x:v>0.35965068330606575</x:v>
      </x:c>
    </x:row>
    <x:row r="1512">
      <x:c r="A1512" s="2" t="str">
        <x:v>LiD3-Flex</x:v>
      </x:c>
      <x:c r="B1512" s="4" t="str">
        <x:v>NaCl</x:v>
      </x:c>
      <x:c r="C1512" s="23" t="n">
        <x:v>1.561208</x:v>
      </x:c>
      <x:c r="D1512" s="23" t="n">
        <x:v>-6.196853</x:v>
      </x:c>
      <x:c r="E1512" s="23" t="n">
        <x:f>'Parameters'!$B$2*'Parameters'!$B$3*LN(4*PI()*C1512^2)</x:f>
        <x:v>8.482852153831011</x:v>
      </x:c>
      <x:c r="F1512" s="23" t="n">
        <x:f>D1512+E1512</x:f>
        <x:v>2.2859991538310114</x:v>
      </x:c>
      <x:c r="G1512" s="23" t="n">
        <x:f>AVERAGE($F$1544:$F$1567)</x:f>
        <x:v>2.2026151469682635</x:v>
      </x:c>
      <x:c r="H1512" s="24" t="n">
        <x:f>F1512-G1512</x:f>
        <x:v>0.08338400686274783</x:v>
      </x:c>
    </x:row>
    <x:row r="1513">
      <x:c r="A1513" s="2" t="str">
        <x:v>LiD3-Flex</x:v>
      </x:c>
      <x:c r="B1513" s="4" t="str">
        <x:v>NaCl</x:v>
      </x:c>
      <x:c r="C1513" s="23" t="n">
        <x:v>1.573552</x:v>
      </x:c>
      <x:c r="D1513" s="23" t="n">
        <x:v>-6.169889</x:v>
      </x:c>
      <x:c r="E1513" s="23" t="n">
        <x:f>'Parameters'!$B$2*'Parameters'!$B$3*LN(4*PI()*C1513^2)</x:f>
        <x:v>8.521898720379788</x:v>
      </x:c>
      <x:c r="F1513" s="23" t="n">
        <x:f>D1513+E1513</x:f>
        <x:v>2.3520097203797876</x:v>
      </x:c>
      <x:c r="G1513" s="23" t="n">
        <x:f>AVERAGE($F$1544:$F$1567)</x:f>
        <x:v>2.2026151469682635</x:v>
      </x:c>
      <x:c r="H1513" s="24" t="n">
        <x:f>F1513-G1513</x:f>
        <x:v>0.14939457341152407</x:v>
      </x:c>
    </x:row>
    <x:row r="1514">
      <x:c r="A1514" s="2" t="str">
        <x:v>LiD3-Flex</x:v>
      </x:c>
      <x:c r="B1514" s="4" t="str">
        <x:v>NaCl</x:v>
      </x:c>
      <x:c r="C1514" s="23" t="n">
        <x:v>1.585895</x:v>
      </x:c>
      <x:c r="D1514" s="23" t="n">
        <x:v>-6.213425</x:v>
      </x:c>
      <x:c r="E1514" s="23" t="n">
        <x:f>'Parameters'!$B$2*'Parameters'!$B$3*LN(4*PI()*C1514^2)</x:f>
        <x:v>8.560637046778885</x:v>
      </x:c>
      <x:c r="F1514" s="23" t="n">
        <x:f>D1514+E1514</x:f>
        <x:v>2.3472120467788846</x:v>
      </x:c>
      <x:c r="G1514" s="23" t="n">
        <x:f>AVERAGE($F$1544:$F$1567)</x:f>
        <x:v>2.2026151469682635</x:v>
      </x:c>
      <x:c r="H1514" s="24" t="n">
        <x:f>F1514-G1514</x:f>
        <x:v>0.14459689981062107</x:v>
      </x:c>
    </x:row>
    <x:row r="1515">
      <x:c r="A1515" s="2" t="str">
        <x:v>LiD3-Flex</x:v>
      </x:c>
      <x:c r="B1515" s="4" t="str">
        <x:v>NaCl</x:v>
      </x:c>
      <x:c r="C1515" s="23" t="n">
        <x:v>1.598238</x:v>
      </x:c>
      <x:c r="D1515" s="23" t="n">
        <x:v>-6.302101</x:v>
      </x:c>
      <x:c r="E1515" s="23" t="n">
        <x:f>'Parameters'!$B$2*'Parameters'!$B$3*LN(4*PI()*C1515^2)</x:f>
        <x:v>8.599075039007612</x:v>
      </x:c>
      <x:c r="F1515" s="23" t="n">
        <x:f>D1515+E1515</x:f>
        <x:v>2.296974039007612</x:v>
      </x:c>
      <x:c r="G1515" s="23" t="n">
        <x:f>AVERAGE($F$1544:$F$1567)</x:f>
        <x:v>2.2026151469682635</x:v>
      </x:c>
      <x:c r="H1515" s="24" t="n">
        <x:f>F1515-G1515</x:f>
        <x:v>0.09435889203934833</x:v>
      </x:c>
    </x:row>
    <x:row r="1516">
      <x:c r="A1516" s="2" t="str">
        <x:v>LiD3-Flex</x:v>
      </x:c>
      <x:c r="B1516" s="4" t="str">
        <x:v>NaCl</x:v>
      </x:c>
      <x:c r="C1516" s="23" t="n">
        <x:v>1.610581</x:v>
      </x:c>
      <x:c r="D1516" s="23" t="n">
        <x:v>-6.34807</x:v>
      </x:c>
      <x:c r="E1516" s="23" t="n">
        <x:f>'Parameters'!$B$2*'Parameters'!$B$3*LN(4*PI()*C1516^2)</x:f>
        <x:v>8.637217318180397</x:v>
      </x:c>
      <x:c r="F1516" s="23" t="n">
        <x:f>D1516+E1516</x:f>
        <x:v>2.2891473181803974</x:v>
      </x:c>
      <x:c r="G1516" s="23" t="n">
        <x:f>AVERAGE($F$1544:$F$1567)</x:f>
        <x:v>2.2026151469682635</x:v>
      </x:c>
      <x:c r="H1516" s="24" t="n">
        <x:f>F1516-G1516</x:f>
        <x:v>0.08653217121213386</x:v>
      </x:c>
    </x:row>
    <x:row r="1517">
      <x:c r="A1517" s="2" t="str">
        <x:v>LiD3-Flex</x:v>
      </x:c>
      <x:c r="B1517" s="4" t="str">
        <x:v>NaCl</x:v>
      </x:c>
      <x:c r="C1517" s="23" t="n">
        <x:v>1.622925</x:v>
      </x:c>
      <x:c r="D1517" s="23" t="n">
        <x:v>-6.368002</x:v>
      </x:c>
      <x:c r="E1517" s="23" t="n">
        <x:f>'Parameters'!$B$2*'Parameters'!$B$3*LN(4*PI()*C1517^2)</x:f>
        <x:v>8.675071454496601</x:v>
      </x:c>
      <x:c r="F1517" s="23" t="n">
        <x:f>D1517+E1517</x:f>
        <x:v>2.3070694544966015</x:v>
      </x:c>
      <x:c r="G1517" s="23" t="n">
        <x:f>AVERAGE($F$1544:$F$1567)</x:f>
        <x:v>2.2026151469682635</x:v>
      </x:c>
      <x:c r="H1517" s="24" t="n">
        <x:f>F1517-G1517</x:f>
        <x:v>0.10445430752833795</x:v>
      </x:c>
    </x:row>
    <x:row r="1518">
      <x:c r="A1518" s="2" t="str">
        <x:v>LiD3-Flex</x:v>
      </x:c>
      <x:c r="B1518" s="4" t="str">
        <x:v>NaCl</x:v>
      </x:c>
      <x:c r="C1518" s="23" t="n">
        <x:v>1.635268</x:v>
      </x:c>
      <x:c r="D1518" s="23" t="n">
        <x:v>-6.404807</x:v>
      </x:c>
      <x:c r="E1518" s="23" t="n">
        <x:f>'Parameters'!$B$2*'Parameters'!$B$3*LN(4*PI()*C1518^2)</x:f>
        <x:v>8.712635727686157</x:v>
      </x:c>
      <x:c r="F1518" s="23" t="n">
        <x:f>D1518+E1518</x:f>
        <x:v>2.3078287276861573</x:v>
      </x:c>
      <x:c r="G1518" s="23" t="n">
        <x:f>AVERAGE($F$1544:$F$1567)</x:f>
        <x:v>2.2026151469682635</x:v>
      </x:c>
      <x:c r="H1518" s="24" t="n">
        <x:f>F1518-G1518</x:f>
        <x:v>0.10521358071789377</x:v>
      </x:c>
    </x:row>
    <x:row r="1519">
      <x:c r="A1519" s="2" t="str">
        <x:v>LiD3-Flex</x:v>
      </x:c>
      <x:c r="B1519" s="4" t="str">
        <x:v>NaCl</x:v>
      </x:c>
      <x:c r="C1519" s="23" t="n">
        <x:v>1.647611</x:v>
      </x:c>
      <x:c r="D1519" s="23" t="n">
        <x:v>-6.398332</x:v>
      </x:c>
      <x:c r="E1519" s="23" t="n">
        <x:f>'Parameters'!$B$2*'Parameters'!$B$3*LN(4*PI()*C1519^2)</x:f>
        <x:v>8.749917529173201</x:v>
      </x:c>
      <x:c r="F1519" s="23" t="n">
        <x:f>D1519+E1519</x:f>
        <x:v>2.3515855291732013</x:v>
      </x:c>
      <x:c r="G1519" s="23" t="n">
        <x:f>AVERAGE($F$1544:$F$1567)</x:f>
        <x:v>2.2026151469682635</x:v>
      </x:c>
      <x:c r="H1519" s="24" t="n">
        <x:f>F1519-G1519</x:f>
        <x:v>0.14897038220493775</x:v>
      </x:c>
    </x:row>
    <x:row r="1520">
      <x:c r="A1520" s="2" t="str">
        <x:v>LiD3-Flex</x:v>
      </x:c>
      <x:c r="B1520" s="4" t="str">
        <x:v>NaCl</x:v>
      </x:c>
      <x:c r="C1520" s="23" t="n">
        <x:v>1.659954</x:v>
      </x:c>
      <x:c r="D1520" s="23" t="n">
        <x:v>-6.331431</x:v>
      </x:c>
      <x:c r="E1520" s="23" t="n">
        <x:f>'Parameters'!$B$2*'Parameters'!$B$3*LN(4*PI()*C1520^2)</x:f>
        <x:v>8.78692107547006</x:v>
      </x:c>
      <x:c r="F1520" s="23" t="n">
        <x:f>D1520+E1520</x:f>
        <x:v>2.4554900754700597</x:v>
      </x:c>
      <x:c r="G1520" s="23" t="n">
        <x:f>AVERAGE($F$1544:$F$1567)</x:f>
        <x:v>2.2026151469682635</x:v>
      </x:c>
      <x:c r="H1520" s="24" t="n">
        <x:f>F1520-G1520</x:f>
        <x:v>0.25287492850179616</x:v>
      </x:c>
    </x:row>
    <x:row r="1521">
      <x:c r="A1521" s="2" t="str">
        <x:v>LiD3-Flex</x:v>
      </x:c>
      <x:c r="B1521" s="4" t="str">
        <x:v>NaCl</x:v>
      </x:c>
      <x:c r="C1521" s="23" t="n">
        <x:v>1.672298</x:v>
      </x:c>
      <x:c r="D1521" s="23" t="n">
        <x:v>-6.476731</x:v>
      </x:c>
      <x:c r="E1521" s="23" t="n">
        <x:f>'Parameters'!$B$2*'Parameters'!$B$3*LN(4*PI()*C1521^2)</x:f>
        <x:v>8.823653454109044</x:v>
      </x:c>
      <x:c r="F1521" s="23" t="n">
        <x:f>D1521+E1521</x:f>
        <x:v>2.346922454109044</x:v>
      </x:c>
      <x:c r="G1521" s="23" t="n">
        <x:f>AVERAGE($F$1544:$F$1567)</x:f>
        <x:v>2.2026151469682635</x:v>
      </x:c>
      <x:c r="H1521" s="24" t="n">
        <x:f>F1521-G1521</x:f>
        <x:v>0.14430730714078033</x:v>
      </x:c>
    </x:row>
    <x:row r="1522">
      <x:c r="A1522" s="2" t="str">
        <x:v>LiD3-Flex</x:v>
      </x:c>
      <x:c r="B1522" s="4" t="str">
        <x:v>NaCl</x:v>
      </x:c>
      <x:c r="C1522" s="23" t="n">
        <x:v>1.684641</x:v>
      </x:c>
      <x:c r="D1522" s="23" t="n">
        <x:v>-6.40877</x:v>
      </x:c>
      <x:c r="E1522" s="23" t="n">
        <x:f>'Parameters'!$B$2*'Parameters'!$B$3*LN(4*PI()*C1522^2)</x:f>
        <x:v>8.860112745748728</x:v>
      </x:c>
      <x:c r="F1522" s="23" t="n">
        <x:f>D1522+E1522</x:f>
        <x:v>2.451342745748728</x:v>
      </x:c>
      <x:c r="G1522" s="23" t="n">
        <x:f>AVERAGE($F$1544:$F$1567)</x:f>
        <x:v>2.2026151469682635</x:v>
      </x:c>
      <x:c r="H1522" s="24" t="n">
        <x:f>F1522-G1522</x:f>
        <x:v>0.24872759878046447</x:v>
      </x:c>
    </x:row>
    <x:row r="1523">
      <x:c r="A1523" s="2" t="str">
        <x:v>LiD3-Flex</x:v>
      </x:c>
      <x:c r="B1523" s="4" t="str">
        <x:v>NaCl</x:v>
      </x:c>
      <x:c r="C1523" s="23" t="n">
        <x:v>1.696984</x:v>
      </x:c>
      <x:c r="D1523" s="23" t="n">
        <x:v>-6.484283</x:v>
      </x:c>
      <x:c r="E1523" s="23" t="n">
        <x:f>'Parameters'!$B$2*'Parameters'!$B$3*LN(4*PI()*C1523^2)</x:f>
        <x:v>8.896305880704336</x:v>
      </x:c>
      <x:c r="F1523" s="23" t="n">
        <x:f>D1523+E1523</x:f>
        <x:v>2.4120228807043365</x:v>
      </x:c>
      <x:c r="G1523" s="23" t="n">
        <x:f>AVERAGE($F$1544:$F$1567)</x:f>
        <x:v>2.2026151469682635</x:v>
      </x:c>
      <x:c r="H1523" s="24" t="n">
        <x:f>F1523-G1523</x:f>
        <x:v>0.2094077337360729</x:v>
      </x:c>
    </x:row>
    <x:row r="1524">
      <x:c r="A1524" s="2" t="str">
        <x:v>LiD3-Flex</x:v>
      </x:c>
      <x:c r="B1524" s="4" t="str">
        <x:v>NaCl</x:v>
      </x:c>
      <x:c r="C1524" s="23" t="n">
        <x:v>1.709327</x:v>
      </x:c>
      <x:c r="D1524" s="23" t="n">
        <x:v>-6.423767</x:v>
      </x:c>
      <x:c r="E1524" s="23" t="n">
        <x:f>'Parameters'!$B$2*'Parameters'!$B$3*LN(4*PI()*C1524^2)</x:f>
        <x:v>8.932236716774408</x:v>
      </x:c>
      <x:c r="F1524" s="23" t="n">
        <x:f>D1524+E1524</x:f>
        <x:v>2.5084697167744086</x:v>
      </x:c>
      <x:c r="G1524" s="23" t="n">
        <x:f>AVERAGE($F$1544:$F$1567)</x:f>
        <x:v>2.2026151469682635</x:v>
      </x:c>
      <x:c r="H1524" s="24" t="n">
        <x:f>F1524-G1524</x:f>
        <x:v>0.305854569806145</x:v>
      </x:c>
    </x:row>
    <x:row r="1525">
      <x:c r="A1525" s="2" t="str">
        <x:v>LiD3-Flex</x:v>
      </x:c>
      <x:c r="B1525" s="4" t="str">
        <x:v>NaCl</x:v>
      </x:c>
      <x:c r="C1525" s="23" t="n">
        <x:v>1.721671</x:v>
      </x:c>
      <x:c r="D1525" s="23" t="n">
        <x:v>-6.521429</x:v>
      </x:c>
      <x:c r="E1525" s="23" t="n">
        <x:f>'Parameters'!$B$2*'Parameters'!$B$3*LN(4*PI()*C1525^2)</x:f>
        <x:v>8.967911908196875</x:v>
      </x:c>
      <x:c r="F1525" s="23" t="n">
        <x:f>D1525+E1525</x:f>
        <x:v>2.4464829081968746</x:v>
      </x:c>
      <x:c r="G1525" s="23" t="n">
        <x:f>AVERAGE($F$1544:$F$1567)</x:f>
        <x:v>2.2026151469682635</x:v>
      </x:c>
      <x:c r="H1525" s="24" t="n">
        <x:f>F1525-G1525</x:f>
        <x:v>0.2438677612286111</x:v>
      </x:c>
    </x:row>
    <x:row r="1526">
      <x:c r="A1526" s="2" t="str">
        <x:v>LiD3-Flex</x:v>
      </x:c>
      <x:c r="B1526" s="4" t="str">
        <x:v>NaCl</x:v>
      </x:c>
      <x:c r="C1526" s="23" t="n">
        <x:v>1.734014</x:v>
      </x:c>
      <x:c r="D1526" s="23" t="n">
        <x:v>-6.49605</x:v>
      </x:c>
      <x:c r="E1526" s="23" t="n">
        <x:f>'Parameters'!$B$2*'Parameters'!$B$3*LN(4*PI()*C1526^2)</x:f>
        <x:v>9.003329368684915</x:v>
      </x:c>
      <x:c r="F1526" s="23" t="n">
        <x:f>D1526+E1526</x:f>
        <x:v>2.507279368684914</x:v>
      </x:c>
      <x:c r="G1526" s="23" t="n">
        <x:f>AVERAGE($F$1544:$F$1567)</x:f>
        <x:v>2.2026151469682635</x:v>
      </x:c>
      <x:c r="H1526" s="24" t="n">
        <x:f>F1526-G1526</x:f>
        <x:v>0.30466422171665064</x:v>
      </x:c>
    </x:row>
    <x:row r="1527">
      <x:c r="A1527" s="2" t="str">
        <x:v>LiD3-Flex</x:v>
      </x:c>
      <x:c r="B1527" s="4" t="str">
        <x:v>NaCl</x:v>
      </x:c>
      <x:c r="C1527" s="23" t="n">
        <x:v>1.746357</x:v>
      </x:c>
      <x:c r="D1527" s="23" t="n">
        <x:v>-6.621673</x:v>
      </x:c>
      <x:c r="E1527" s="23" t="n">
        <x:f>'Parameters'!$B$2*'Parameters'!$B$3*LN(4*PI()*C1527^2)</x:f>
        <x:v>9.038495613774671</x:v>
      </x:c>
      <x:c r="F1527" s="23" t="n">
        <x:f>D1527+E1527</x:f>
        <x:v>2.416822613774671</x:v>
      </x:c>
      <x:c r="G1527" s="23" t="n">
        <x:f>AVERAGE($F$1544:$F$1567)</x:f>
        <x:v>2.2026151469682635</x:v>
      </x:c>
      <x:c r="H1527" s="24" t="n">
        <x:f>F1527-G1527</x:f>
        <x:v>0.21420746680640734</x:v>
      </x:c>
    </x:row>
    <x:row r="1528">
      <x:c r="A1528" s="2" t="str">
        <x:v>LiD3-Flex</x:v>
      </x:c>
      <x:c r="B1528" s="4" t="str">
        <x:v>NaCl</x:v>
      </x:c>
      <x:c r="C1528" s="23" t="n">
        <x:v>1.7587</x:v>
      </x:c>
      <x:c r="D1528" s="23" t="n">
        <x:v>-6.540314</x:v>
      </x:c>
      <x:c r="E1528" s="23" t="n">
        <x:f>'Parameters'!$B$2*'Parameters'!$B$3*LN(4*PI()*C1528^2)</x:f>
        <x:v>9.073414182113746</x:v>
      </x:c>
      <x:c r="F1528" s="23" t="n">
        <x:f>D1528+E1528</x:f>
        <x:v>2.5331001821137455</x:v>
      </x:c>
      <x:c r="G1528" s="23" t="n">
        <x:f>AVERAGE($F$1544:$F$1567)</x:f>
        <x:v>2.2026151469682635</x:v>
      </x:c>
      <x:c r="H1528" s="24" t="n">
        <x:f>F1528-G1528</x:f>
        <x:v>0.330485035145482</x:v>
      </x:c>
    </x:row>
    <x:row r="1529">
      <x:c r="A1529" s="2" t="str">
        <x:v>LiD3-Flex</x:v>
      </x:c>
      <x:c r="B1529" s="4" t="str">
        <x:v>NaCl</x:v>
      </x:c>
      <x:c r="C1529" s="23" t="n">
        <x:v>1.771044</x:v>
      </x:c>
      <x:c r="D1529" s="23" t="n">
        <x:v>-6.657408</x:v>
      </x:c>
      <x:c r="E1529" s="23" t="n">
        <x:f>'Parameters'!$B$2*'Parameters'!$B$3*LN(4*PI()*C1529^2)</x:f>
        <x:v>9.108091337534681</x:v>
      </x:c>
      <x:c r="F1529" s="23" t="n">
        <x:f>D1529+E1529</x:f>
        <x:v>2.450683337534681</x:v>
      </x:c>
      <x:c r="G1529" s="23" t="n">
        <x:f>AVERAGE($F$1544:$F$1567)</x:f>
        <x:v>2.2026151469682635</x:v>
      </x:c>
      <x:c r="H1529" s="24" t="n">
        <x:f>F1529-G1529</x:f>
        <x:v>0.24806819056641727</x:v>
      </x:c>
    </x:row>
    <x:row r="1530">
      <x:c r="A1530" s="2" t="str">
        <x:v>LiD3-Flex</x:v>
      </x:c>
      <x:c r="B1530" s="4" t="str">
        <x:v>NaCl</x:v>
      </x:c>
      <x:c r="C1530" s="23" t="n">
        <x:v>1.783387</x:v>
      </x:c>
      <x:c r="D1530" s="23" t="n">
        <x:v>-6.633192</x:v>
      </x:c>
      <x:c r="E1530" s="23" t="n">
        <x:f>'Parameters'!$B$2*'Parameters'!$B$3*LN(4*PI()*C1530^2)</x:f>
        <x:v>9.142524854018482</x:v>
      </x:c>
      <x:c r="F1530" s="23" t="n">
        <x:f>D1530+E1530</x:f>
        <x:v>2.5093328540184823</x:v>
      </x:c>
      <x:c r="G1530" s="23" t="n">
        <x:f>AVERAGE($F$1544:$F$1567)</x:f>
        <x:v>2.2026151469682635</x:v>
      </x:c>
      <x:c r="H1530" s="24" t="n">
        <x:f>F1530-G1530</x:f>
        <x:v>0.3067177070502187</x:v>
      </x:c>
    </x:row>
    <x:row r="1531">
      <x:c r="A1531" s="2" t="str">
        <x:v>LiD3-Flex</x:v>
      </x:c>
      <x:c r="B1531" s="4" t="str">
        <x:v>NaCl</x:v>
      </x:c>
      <x:c r="C1531" s="23" t="n">
        <x:v>1.79573</x:v>
      </x:c>
      <x:c r="D1531" s="23" t="n">
        <x:v>-6.670114</x:v>
      </x:c>
      <x:c r="E1531" s="23" t="n">
        <x:f>'Parameters'!$B$2*'Parameters'!$B$3*LN(4*PI()*C1531^2)</x:f>
        <x:v>9.176720872663868</x:v>
      </x:c>
      <x:c r="F1531" s="23" t="n">
        <x:f>D1531+E1531</x:f>
        <x:v>2.506606872663868</x:v>
      </x:c>
      <x:c r="G1531" s="23" t="n">
        <x:f>AVERAGE($F$1544:$F$1567)</x:f>
        <x:v>2.2026151469682635</x:v>
      </x:c>
      <x:c r="H1531" s="24" t="n">
        <x:f>F1531-G1531</x:f>
        <x:v>0.3039917256956044</x:v>
      </x:c>
    </x:row>
    <x:row r="1532">
      <x:c r="A1532" s="2" t="str">
        <x:v>LiD3-Flex</x:v>
      </x:c>
      <x:c r="B1532" s="4" t="str">
        <x:v>NaCl</x:v>
      </x:c>
      <x:c r="C1532" s="23" t="n">
        <x:v>1.808073</x:v>
      </x:c>
      <x:c r="D1532" s="23" t="n">
        <x:v>-6.812288</x:v>
      </x:c>
      <x:c r="E1532" s="23" t="n">
        <x:f>'Parameters'!$B$2*'Parameters'!$B$3*LN(4*PI()*C1532^2)</x:f>
        <x:v>9.210682647222995</x:v>
      </x:c>
      <x:c r="F1532" s="23" t="n">
        <x:f>D1532+E1532</x:f>
        <x:v>2.398394647222996</x:v>
      </x:c>
      <x:c r="G1532" s="23" t="n">
        <x:f>AVERAGE($F$1544:$F$1567)</x:f>
        <x:v>2.2026151469682635</x:v>
      </x:c>
      <x:c r="H1532" s="24" t="n">
        <x:f>F1532-G1532</x:f>
        <x:v>0.19577950025473223</x:v>
      </x:c>
    </x:row>
    <x:row r="1533">
      <x:c r="A1533" s="2" t="str">
        <x:v>LiD3-Flex</x:v>
      </x:c>
      <x:c r="B1533" s="4" t="str">
        <x:v>NaCl</x:v>
      </x:c>
      <x:c r="C1533" s="23" t="n">
        <x:v>1.820417</x:v>
      </x:c>
      <x:c r="D1533" s="23" t="n">
        <x:v>-6.800285</x:v>
      </x:c>
      <x:c r="E1533" s="23" t="n">
        <x:f>'Parameters'!$B$2*'Parameters'!$B$3*LN(4*PI()*C1533^2)</x:f>
        <x:v>9.244416088542758</x:v>
      </x:c>
      <x:c r="F1533" s="23" t="n">
        <x:f>D1533+E1533</x:f>
        <x:v>2.4441310885427585</x:v>
      </x:c>
      <x:c r="G1533" s="23" t="n">
        <x:f>AVERAGE($F$1544:$F$1567)</x:f>
        <x:v>2.2026151469682635</x:v>
      </x:c>
      <x:c r="H1533" s="24" t="n">
        <x:f>F1533-G1533</x:f>
        <x:v>0.24151594157449496</x:v>
      </x:c>
    </x:row>
    <x:row r="1534">
      <x:c r="A1534" s="2" t="str">
        <x:v>LiD3-Flex</x:v>
      </x:c>
      <x:c r="B1534" s="4" t="str">
        <x:v>NaCl</x:v>
      </x:c>
      <x:c r="C1534" s="23" t="n">
        <x:v>1.83276</x:v>
      </x:c>
      <x:c r="D1534" s="23" t="n">
        <x:v>-6.825993</x:v>
      </x:c>
      <x:c r="E1534" s="23" t="n">
        <x:f>'Parameters'!$B$2*'Parameters'!$B$3*LN(4*PI()*C1534^2)</x:f>
        <x:v>9.277918853996658</x:v>
      </x:c>
      <x:c r="F1534" s="23" t="n">
        <x:f>D1534+E1534</x:f>
        <x:v>2.4519258539966575</x:v>
      </x:c>
      <x:c r="G1534" s="23" t="n">
        <x:f>AVERAGE($F$1544:$F$1567)</x:f>
        <x:v>2.2026151469682635</x:v>
      </x:c>
      <x:c r="H1534" s="24" t="n">
        <x:f>F1534-G1534</x:f>
        <x:v>0.24931070702839397</x:v>
      </x:c>
    </x:row>
    <x:row r="1535">
      <x:c r="A1535" s="2" t="str">
        <x:v>LiD3-Flex</x:v>
      </x:c>
      <x:c r="B1535" s="4" t="str">
        <x:v>NaCl</x:v>
      </x:c>
      <x:c r="C1535" s="23" t="n">
        <x:v>1.845103</x:v>
      </x:c>
      <x:c r="D1535" s="23" t="n">
        <x:v>-6.824355</x:v>
      </x:c>
      <x:c r="E1535" s="23" t="n">
        <x:f>'Parameters'!$B$2*'Parameters'!$B$3*LN(4*PI()*C1535^2)</x:f>
        <x:v>9.311196745522677</x:v>
      </x:c>
      <x:c r="F1535" s="23" t="n">
        <x:f>D1535+E1535</x:f>
        <x:v>2.4868417455226774</x:v>
      </x:c>
      <x:c r="G1535" s="23" t="n">
        <x:f>AVERAGE($F$1544:$F$1567)</x:f>
        <x:v>2.2026151469682635</x:v>
      </x:c>
      <x:c r="H1535" s="24" t="n">
        <x:f>F1535-G1535</x:f>
        <x:v>0.2842265985544139</x:v>
      </x:c>
    </x:row>
    <x:row r="1536">
      <x:c r="A1536" s="2" t="str">
        <x:v>LiD3-Flex</x:v>
      </x:c>
      <x:c r="B1536" s="4" t="str">
        <x:v>NaCl</x:v>
      </x:c>
      <x:c r="C1536" s="23" t="n">
        <x:v>1.857446</x:v>
      </x:c>
      <x:c r="D1536" s="23" t="n">
        <x:v>-6.990085</x:v>
      </x:c>
      <x:c r="E1536" s="23" t="n">
        <x:f>'Parameters'!$B$2*'Parameters'!$B$3*LN(4*PI()*C1536^2)</x:f>
        <x:v>9.344252761757641</x:v>
      </x:c>
      <x:c r="F1536" s="23" t="n">
        <x:f>D1536+E1536</x:f>
        <x:v>2.3541677617576413</x:v>
      </x:c>
      <x:c r="G1536" s="23" t="n">
        <x:f>AVERAGE($F$1544:$F$1567)</x:f>
        <x:v>2.2026151469682635</x:v>
      </x:c>
      <x:c r="H1536" s="24" t="n">
        <x:f>F1536-G1536</x:f>
        <x:v>0.15155261478937776</x:v>
      </x:c>
    </x:row>
    <x:row r="1537">
      <x:c r="A1537" s="2" t="str">
        <x:v>LiD3-Flex</x:v>
      </x:c>
      <x:c r="B1537" s="4" t="str">
        <x:v>NaCl</x:v>
      </x:c>
      <x:c r="C1537" s="23" t="n">
        <x:v>1.86979</x:v>
      </x:c>
      <x:c r="D1537" s="23" t="n">
        <x:v>-6.965134</x:v>
      </x:c>
      <x:c r="E1537" s="23" t="n">
        <x:f>'Parameters'!$B$2*'Parameters'!$B$3*LN(4*PI()*C1537^2)</x:f>
        <x:v>9.377092493345742</x:v>
      </x:c>
      <x:c r="F1537" s="23" t="n">
        <x:f>D1537+E1537</x:f>
        <x:v>2.4119584933457423</x:v>
      </x:c>
      <x:c r="G1537" s="23" t="n">
        <x:f>AVERAGE($F$1544:$F$1567)</x:f>
        <x:v>2.2026151469682635</x:v>
      </x:c>
      <x:c r="H1537" s="24" t="n">
        <x:f>F1537-G1537</x:f>
        <x:v>0.20934334637747876</x:v>
      </x:c>
    </x:row>
    <x:row r="1538">
      <x:c r="A1538" s="2" t="str">
        <x:v>LiD3-Flex</x:v>
      </x:c>
      <x:c r="B1538" s="4" t="str">
        <x:v>NaCl</x:v>
      </x:c>
      <x:c r="C1538" s="23" t="n">
        <x:v>1.882133</x:v>
      </x:c>
      <x:c r="D1538" s="23" t="n">
        <x:v>-6.971565</x:v>
      </x:c>
      <x:c r="E1538" s="23" t="n">
        <x:f>'Parameters'!$B$2*'Parameters'!$B$3*LN(4*PI()*C1538^2)</x:f>
        <x:v>9.409713500759887</x:v>
      </x:c>
      <x:c r="F1538" s="23" t="n">
        <x:f>D1538+E1538</x:f>
        <x:v>2.438148500759887</x:v>
      </x:c>
      <x:c r="G1538" s="23" t="n">
        <x:f>AVERAGE($F$1544:$F$1567)</x:f>
        <x:v>2.2026151469682635</x:v>
      </x:c>
      <x:c r="H1538" s="24" t="n">
        <x:f>F1538-G1538</x:f>
        <x:v>0.23553335379162332</x:v>
      </x:c>
    </x:row>
    <x:row r="1539">
      <x:c r="A1539" s="2" t="str">
        <x:v>LiD3-Flex</x:v>
      </x:c>
      <x:c r="B1539" s="4" t="str">
        <x:v>NaCl</x:v>
      </x:c>
      <x:c r="C1539" s="23" t="n">
        <x:v>1.894476</x:v>
      </x:c>
      <x:c r="D1539" s="23" t="n">
        <x:v>-7.139306</x:v>
      </x:c>
      <x:c r="E1539" s="23" t="n">
        <x:f>'Parameters'!$B$2*'Parameters'!$B$3*LN(4*PI()*C1539^2)</x:f>
        <x:v>9.442121277748953</x:v>
      </x:c>
      <x:c r="F1539" s="23" t="n">
        <x:f>D1539+E1539</x:f>
        <x:v>2.3028152777489526</x:v>
      </x:c>
      <x:c r="G1539" s="23" t="n">
        <x:f>AVERAGE($F$1544:$F$1567)</x:f>
        <x:v>2.2026151469682635</x:v>
      </x:c>
      <x:c r="H1539" s="24" t="n">
        <x:f>F1539-G1539</x:f>
        <x:v>0.10020013078068901</x:v>
      </x:c>
    </x:row>
    <x:row r="1540">
      <x:c r="A1540" s="2" t="str">
        <x:v>LiD3-Flex</x:v>
      </x:c>
      <x:c r="B1540" s="4" t="str">
        <x:v>NaCl</x:v>
      </x:c>
      <x:c r="C1540" s="23" t="n">
        <x:v>1.90682</x:v>
      </x:c>
      <x:c r="D1540" s="23" t="n">
        <x:v>-7.201445</x:v>
      </x:c>
      <x:c r="E1540" s="23" t="n">
        <x:f>'Parameters'!$B$2*'Parameters'!$B$3*LN(4*PI()*C1540^2)</x:f>
        <x:v>9.474321193919035</x:v>
      </x:c>
      <x:c r="F1540" s="23" t="n">
        <x:f>D1540+E1540</x:f>
        <x:v>2.2728761939190356</x:v>
      </x:c>
      <x:c r="G1540" s="23" t="n">
        <x:f>AVERAGE($F$1544:$F$1567)</x:f>
        <x:v>2.2026151469682635</x:v>
      </x:c>
      <x:c r="H1540" s="24" t="n">
        <x:f>F1540-G1540</x:f>
        <x:v>0.07026104695077207</x:v>
      </x:c>
    </x:row>
    <x:row r="1541">
      <x:c r="A1541" s="2" t="str">
        <x:v>LiD3-Flex</x:v>
      </x:c>
      <x:c r="B1541" s="4" t="str">
        <x:v>NaCl</x:v>
      </x:c>
      <x:c r="C1541" s="23" t="n">
        <x:v>1.919163</x:v>
      </x:c>
      <x:c r="D1541" s="23" t="n">
        <x:v>-7.172718</x:v>
      </x:c>
      <x:c r="E1541" s="23" t="n">
        <x:f>'Parameters'!$B$2*'Parameters'!$B$3*LN(4*PI()*C1541^2)</x:f>
        <x:v>9.5063107482563</x:v>
      </x:c>
      <x:c r="F1541" s="23" t="n">
        <x:f>D1541+E1541</x:f>
        <x:v>2.333592748256301</x:v>
      </x:c>
      <x:c r="G1541" s="23" t="n">
        <x:f>AVERAGE($F$1544:$F$1567)</x:f>
        <x:v>2.2026151469682635</x:v>
      </x:c>
      <x:c r="H1541" s="24" t="n">
        <x:f>F1541-G1541</x:f>
        <x:v>0.13097760128803726</x:v>
      </x:c>
    </x:row>
    <x:row r="1542">
      <x:c r="A1542" s="2" t="str">
        <x:v>LiD3-Flex</x:v>
      </x:c>
      <x:c r="B1542" s="4" t="str">
        <x:v>NaCl</x:v>
      </x:c>
      <x:c r="C1542" s="23" t="n">
        <x:v>1.931506</x:v>
      </x:c>
      <x:c r="D1542" s="23" t="n">
        <x:v>-7.257826</x:v>
      </x:c>
      <x:c r="E1542" s="23" t="n">
        <x:f>'Parameters'!$B$2*'Parameters'!$B$3*LN(4*PI()*C1542^2)</x:f>
        <x:v>9.538095221459583</x:v>
      </x:c>
      <x:c r="F1542" s="23" t="n">
        <x:f>D1542+E1542</x:f>
        <x:v>2.2802692214595837</x:v>
      </x:c>
      <x:c r="G1542" s="23" t="n">
        <x:f>AVERAGE($F$1544:$F$1567)</x:f>
        <x:v>2.2026151469682635</x:v>
      </x:c>
      <x:c r="H1542" s="24" t="n">
        <x:f>F1542-G1542</x:f>
        <x:v>0.07765407449132011</x:v>
      </x:c>
    </x:row>
    <x:row r="1543">
      <x:c r="A1543" s="2" t="str">
        <x:v>LiD3-Flex</x:v>
      </x:c>
      <x:c r="B1543" s="4" t="str">
        <x:v>NaCl</x:v>
      </x:c>
      <x:c r="C1543" s="23" t="n">
        <x:v>1.943849</x:v>
      </x:c>
      <x:c r="D1543" s="23" t="n">
        <x:v>-7.094475</x:v>
      </x:c>
      <x:c r="E1543" s="23" t="n">
        <x:f>'Parameters'!$B$2*'Parameters'!$B$3*LN(4*PI()*C1543^2)</x:f>
        <x:v>9.569677226288002</x:v>
      </x:c>
      <x:c r="F1543" s="23" t="n">
        <x:f>D1543+E1543</x:f>
        <x:v>2.475202226288002</x:v>
      </x:c>
      <x:c r="G1543" s="23" t="n">
        <x:f>AVERAGE($F$1544:$F$1567)</x:f>
        <x:v>2.2026151469682635</x:v>
      </x:c>
      <x:c r="H1543" s="24" t="n">
        <x:f>F1543-G1543</x:f>
        <x:v>0.27258707931973847</x:v>
      </x:c>
    </x:row>
    <x:row r="1544">
      <x:c r="A1544" s="2" t="str">
        <x:v>LiD3-Flex</x:v>
      </x:c>
      <x:c r="B1544" s="4" t="str">
        <x:v>NaCl</x:v>
      </x:c>
      <x:c r="C1544" s="23" t="n">
        <x:v>1.956193</x:v>
      </x:c>
      <x:c r="D1544" s="23" t="n">
        <x:v>-7.241239</x:v>
      </x:c>
      <x:c r="E1544" s="23" t="n">
        <x:f>'Parameters'!$B$2*'Parameters'!$B$3*LN(4*PI()*C1544^2)</x:f>
        <x:v>9.601061860357705</x:v>
      </x:c>
      <x:c r="F1544" s="23" t="n">
        <x:f>D1544+E1544</x:f>
        <x:v>2.3598228603577045</x:v>
      </x:c>
      <x:c r="G1544" s="23" t="n">
        <x:f>AVERAGE($F$1544:$F$1567)</x:f>
        <x:v>2.2026151469682635</x:v>
      </x:c>
      <x:c r="H1544" s="24" t="n">
        <x:f>F1544-G1544</x:f>
        <x:v>0.15720771338944095</x:v>
      </x:c>
    </x:row>
    <x:row r="1545">
      <x:c r="A1545" s="2" t="str">
        <x:v>LiD3-Flex</x:v>
      </x:c>
      <x:c r="B1545" s="4" t="str">
        <x:v>NaCl</x:v>
      </x:c>
      <x:c r="C1545" s="23" t="n">
        <x:v>1.968536</x:v>
      </x:c>
      <x:c r="D1545" s="23" t="n">
        <x:v>-7.341918</x:v>
      </x:c>
      <x:c r="E1545" s="23" t="n">
        <x:f>'Parameters'!$B$2*'Parameters'!$B$3*LN(4*PI()*C1545^2)</x:f>
        <x:v>9.632246553612822</x:v>
      </x:c>
      <x:c r="F1545" s="23" t="n">
        <x:f>D1545+E1545</x:f>
        <x:v>2.290328553612822</x:v>
      </x:c>
      <x:c r="G1545" s="23" t="n">
        <x:f>AVERAGE($F$1544:$F$1567)</x:f>
        <x:v>2.2026151469682635</x:v>
      </x:c>
      <x:c r="H1545" s="24" t="n">
        <x:f>F1545-G1545</x:f>
        <x:v>0.0877134066445584</x:v>
      </x:c>
    </x:row>
    <x:row r="1546">
      <x:c r="A1546" s="2" t="str">
        <x:v>LiD3-Flex</x:v>
      </x:c>
      <x:c r="B1546" s="4" t="str">
        <x:v>NaCl</x:v>
      </x:c>
      <x:c r="C1546" s="23" t="n">
        <x:v>1.980879</x:v>
      </x:c>
      <x:c r="D1546" s="23" t="n">
        <x:v>-7.407815</x:v>
      </x:c>
      <x:c r="E1546" s="23" t="n">
        <x:f>'Parameters'!$B$2*'Parameters'!$B$3*LN(4*PI()*C1546^2)</x:f>
        <x:v>9.663236324236038</x:v>
      </x:c>
      <x:c r="F1546" s="23" t="n">
        <x:f>D1546+E1546</x:f>
        <x:v>2.255421324236038</x:v>
      </x:c>
      <x:c r="G1546" s="23" t="n">
        <x:f>AVERAGE($F$1544:$F$1567)</x:f>
        <x:v>2.2026151469682635</x:v>
      </x:c>
      <x:c r="H1546" s="24" t="n">
        <x:f>F1546-G1546</x:f>
        <x:v>0.05280617726777459</x:v>
      </x:c>
    </x:row>
    <x:row r="1547">
      <x:c r="A1547" s="2" t="str">
        <x:v>LiD3-Flex</x:v>
      </x:c>
      <x:c r="B1547" s="4" t="str">
        <x:v>NaCl</x:v>
      </x:c>
      <x:c r="C1547" s="23" t="n">
        <x:v>1.993222</x:v>
      </x:c>
      <x:c r="D1547" s="23" t="n">
        <x:v>-7.405701</x:v>
      </x:c>
      <x:c r="E1547" s="23" t="n">
        <x:f>'Parameters'!$B$2*'Parameters'!$B$3*LN(4*PI()*C1547^2)</x:f>
        <x:v>9.694033593860222</x:v>
      </x:c>
      <x:c r="F1547" s="23" t="n">
        <x:f>D1547+E1547</x:f>
        <x:v>2.288332593860223</x:v>
      </x:c>
      <x:c r="G1547" s="23" t="n">
        <x:f>AVERAGE($F$1544:$F$1567)</x:f>
        <x:v>2.2026151469682635</x:v>
      </x:c>
      <x:c r="H1547" s="24" t="n">
        <x:f>F1547-G1547</x:f>
        <x:v>0.08571744689195926</x:v>
      </x:c>
    </x:row>
    <x:row r="1548">
      <x:c r="A1548" s="2" t="str">
        <x:v>LiD3-Flex</x:v>
      </x:c>
      <x:c r="B1548" s="4" t="str">
        <x:v>NaCl</x:v>
      </x:c>
      <x:c r="C1548" s="23" t="n">
        <x:v>2.005566</x:v>
      </x:c>
      <x:c r="D1548" s="23" t="n">
        <x:v>-7.418876</x:v>
      </x:c>
      <x:c r="E1548" s="23" t="n">
        <x:f>'Parameters'!$B$2*'Parameters'!$B$3*LN(4*PI()*C1548^2)</x:f>
        <x:v>9.724643211346601</x:v>
      </x:c>
      <x:c r="F1548" s="23" t="n">
        <x:f>D1548+E1548</x:f>
        <x:v>2.305767211346601</x:v>
      </x:c>
      <x:c r="G1548" s="23" t="n">
        <x:f>AVERAGE($F$1544:$F$1567)</x:f>
        <x:v>2.2026151469682635</x:v>
      </x:c>
      <x:c r="H1548" s="24" t="n">
        <x:f>F1548-G1548</x:f>
        <x:v>0.10315206437833746</x:v>
      </x:c>
    </x:row>
    <x:row r="1549">
      <x:c r="A1549" s="2" t="str">
        <x:v>LiD3-Flex</x:v>
      </x:c>
      <x:c r="B1549" s="4" t="str">
        <x:v>NaCl</x:v>
      </x:c>
      <x:c r="C1549" s="23" t="n">
        <x:v>2.017909</x:v>
      </x:c>
      <x:c r="D1549" s="23" t="n">
        <x:v>-7.506603</x:v>
      </x:c>
      <x:c r="E1549" s="23" t="n">
        <x:f>'Parameters'!$B$2*'Parameters'!$B$3*LN(4*PI()*C1549^2)</x:f>
        <x:v>9.755062550453017</x:v>
      </x:c>
      <x:c r="F1549" s="23" t="n">
        <x:f>D1549+E1549</x:f>
        <x:v>2.248459550453017</x:v>
      </x:c>
      <x:c r="G1549" s="23" t="n">
        <x:f>AVERAGE($F$1544:$F$1567)</x:f>
        <x:v>2.2026151469682635</x:v>
      </x:c>
      <x:c r="H1549" s="24" t="n">
        <x:f>F1549-G1549</x:f>
        <x:v>0.04584440348475338</x:v>
      </x:c>
    </x:row>
    <x:row r="1550">
      <x:c r="A1550" s="2" t="str">
        <x:v>LiD3-Flex</x:v>
      </x:c>
      <x:c r="B1550" s="4" t="str">
        <x:v>NaCl</x:v>
      </x:c>
      <x:c r="C1550" s="23" t="n">
        <x:v>2.030252</x:v>
      </x:c>
      <x:c r="D1550" s="23" t="n">
        <x:v>-7.567497</x:v>
      </x:c>
      <x:c r="E1550" s="23" t="n">
        <x:f>'Parameters'!$B$2*'Parameters'!$B$3*LN(4*PI()*C1550^2)</x:f>
        <x:v>9.785296388915167</x:v>
      </x:c>
      <x:c r="F1550" s="23" t="n">
        <x:f>D1550+E1550</x:f>
        <x:v>2.217799388915167</x:v>
      </x:c>
      <x:c r="G1550" s="23" t="n">
        <x:f>AVERAGE($F$1544:$F$1567)</x:f>
        <x:v>2.2026151469682635</x:v>
      </x:c>
      <x:c r="H1550" s="24" t="n">
        <x:f>F1550-G1550</x:f>
        <x:v>0.015184241946903487</x:v>
      </x:c>
    </x:row>
    <x:row r="1551">
      <x:c r="A1551" s="2" t="str">
        <x:v>LiD3-Flex</x:v>
      </x:c>
      <x:c r="B1551" s="4" t="str">
        <x:v>NaCl</x:v>
      </x:c>
      <x:c r="C1551" s="23" t="n">
        <x:v>2.042595</x:v>
      </x:c>
      <x:c r="D1551" s="23" t="n">
        <x:v>-7.512092</x:v>
      </x:c>
      <x:c r="E1551" s="23" t="n">
        <x:f>'Parameters'!$B$2*'Parameters'!$B$3*LN(4*PI()*C1551^2)</x:f>
        <x:v>9.81534697543585</x:v>
      </x:c>
      <x:c r="F1551" s="23" t="n">
        <x:f>D1551+E1551</x:f>
        <x:v>2.3032549754358493</x:v>
      </x:c>
      <x:c r="G1551" s="23" t="n">
        <x:f>AVERAGE($F$1544:$F$1567)</x:f>
        <x:v>2.2026151469682635</x:v>
      </x:c>
      <x:c r="H1551" s="24" t="n">
        <x:f>F1551-G1551</x:f>
        <x:v>0.10063982846758579</x:v>
      </x:c>
    </x:row>
    <x:row r="1552">
      <x:c r="A1552" s="2" t="str">
        <x:v>LiD3-Flex</x:v>
      </x:c>
      <x:c r="B1552" s="4" t="str">
        <x:v>NaCl</x:v>
      </x:c>
      <x:c r="C1552" s="23" t="n">
        <x:v>2.054939</x:v>
      </x:c>
      <x:c r="D1552" s="23" t="n">
        <x:v>-7.504196</x:v>
      </x:c>
      <x:c r="E1552" s="23" t="n">
        <x:f>'Parameters'!$B$2*'Parameters'!$B$3*LN(4*PI()*C1552^2)</x:f>
        <x:v>9.845218930757207</x:v>
      </x:c>
      <x:c r="F1552" s="23" t="n">
        <x:f>D1552+E1552</x:f>
        <x:v>2.341022930757207</x:v>
      </x:c>
      <x:c r="G1552" s="23" t="n">
        <x:f>AVERAGE($F$1544:$F$1567)</x:f>
        <x:v>2.2026151469682635</x:v>
      </x:c>
      <x:c r="H1552" s="24" t="n">
        <x:f>F1552-G1552</x:f>
        <x:v>0.13840778378894347</x:v>
      </x:c>
    </x:row>
    <x:row r="1553">
      <x:c r="A1553" s="2" t="str">
        <x:v>LiD3-Flex</x:v>
      </x:c>
      <x:c r="B1553" s="4" t="str">
        <x:v>NaCl</x:v>
      </x:c>
      <x:c r="C1553" s="23" t="n">
        <x:v>2.067282</x:v>
      </x:c>
      <x:c r="D1553" s="23" t="n">
        <x:v>-7.769931</x:v>
      </x:c>
      <x:c r="E1553" s="23" t="n">
        <x:f>'Parameters'!$B$2*'Parameters'!$B$3*LN(4*PI()*C1553^2)</x:f>
        <x:v>9.874909583499237</x:v>
      </x:c>
      <x:c r="F1553" s="23" t="n">
        <x:f>D1553+E1553</x:f>
        <x:v>2.1049785834992374</x:v>
      </x:c>
      <x:c r="G1553" s="23" t="n">
        <x:f>AVERAGE($F$1544:$F$1567)</x:f>
        <x:v>2.2026151469682635</x:v>
      </x:c>
      <x:c r="H1553" s="24" t="n">
        <x:f>F1553-G1553</x:f>
        <x:v>-0.09763656346902616</x:v>
      </x:c>
    </x:row>
    <x:row r="1554">
      <x:c r="A1554" s="2" t="str">
        <x:v>LiD3-Flex</x:v>
      </x:c>
      <x:c r="B1554" s="4" t="str">
        <x:v>NaCl</x:v>
      </x:c>
      <x:c r="C1554" s="23" t="n">
        <x:v>2.079625</x:v>
      </x:c>
      <x:c r="D1554" s="23" t="n">
        <x:v>-7.600683</x:v>
      </x:c>
      <x:c r="E1554" s="23" t="n">
        <x:f>'Parameters'!$B$2*'Parameters'!$B$3*LN(4*PI()*C1554^2)</x:f>
        <x:v>9.904423490585907</x:v>
      </x:c>
      <x:c r="F1554" s="23" t="n">
        <x:f>D1554+E1554</x:f>
        <x:v>2.3037404905859074</x:v>
      </x:c>
      <x:c r="G1554" s="23" t="n">
        <x:f>AVERAGE($F$1544:$F$1567)</x:f>
        <x:v>2.2026151469682635</x:v>
      </x:c>
      <x:c r="H1554" s="24" t="n">
        <x:f>F1554-G1554</x:f>
        <x:v>0.1011253436176438</x:v>
      </x:c>
    </x:row>
    <x:row r="1555">
      <x:c r="A1555" s="2" t="str">
        <x:v>LiD3-Flex</x:v>
      </x:c>
      <x:c r="B1555" s="4" t="str">
        <x:v>NaCl</x:v>
      </x:c>
      <x:c r="C1555" s="23" t="n">
        <x:v>2.091968</x:v>
      </x:c>
      <x:c r="D1555" s="23" t="n">
        <x:v>-7.701906</x:v>
      </x:c>
      <x:c r="E1555" s="23" t="n">
        <x:f>'Parameters'!$B$2*'Parameters'!$B$3*LN(4*PI()*C1555^2)</x:f>
        <x:v>9.93376274387118</x:v>
      </x:c>
      <x:c r="F1555" s="23" t="n">
        <x:f>D1555+E1555</x:f>
        <x:v>2.2318567438711794</x:v>
      </x:c>
      <x:c r="G1555" s="23" t="n">
        <x:f>AVERAGE($F$1544:$F$1567)</x:f>
        <x:v>2.2026151469682635</x:v>
      </x:c>
      <x:c r="H1555" s="24" t="n">
        <x:f>F1555-G1555</x:f>
        <x:v>0.029241596902915834</x:v>
      </x:c>
    </x:row>
    <x:row r="1556">
      <x:c r="A1556" s="2" t="str">
        <x:v>LiD3-Flex</x:v>
      </x:c>
      <x:c r="B1556" s="4" t="str">
        <x:v>NaCl</x:v>
      </x:c>
      <x:c r="C1556" s="23" t="n">
        <x:v>2.104312</x:v>
      </x:c>
      <x:c r="D1556" s="23" t="n">
        <x:v>-7.558285</x:v>
      </x:c>
      <x:c r="E1556" s="23" t="n">
        <x:f>'Parameters'!$B$2*'Parameters'!$B$3*LN(4*PI()*C1556^2)</x:f>
        <x:v>9.962931754364734</x:v>
      </x:c>
      <x:c r="F1556" s="23" t="n">
        <x:f>D1556+E1556</x:f>
        <x:v>2.404646754364734</x:v>
      </x:c>
      <x:c r="G1556" s="23" t="n">
        <x:f>AVERAGE($F$1544:$F$1567)</x:f>
        <x:v>2.2026151469682635</x:v>
      </x:c>
      <x:c r="H1556" s="24" t="n">
        <x:f>F1556-G1556</x:f>
        <x:v>0.2020316073964703</x:v>
      </x:c>
    </x:row>
    <x:row r="1557">
      <x:c r="A1557" s="2" t="str">
        <x:v>LiD3-Flex</x:v>
      </x:c>
      <x:c r="B1557" s="4" t="str">
        <x:v>NaCl</x:v>
      </x:c>
      <x:c r="C1557" s="23" t="n">
        <x:v>2.116655</x:v>
      </x:c>
      <x:c r="D1557" s="23" t="n">
        <x:v>-7.644536</x:v>
      </x:c>
      <x:c r="E1557" s="23" t="n">
        <x:f>'Parameters'!$B$2*'Parameters'!$B$3*LN(4*PI()*C1557^2)</x:f>
        <x:v>9.991927815059634</x:v>
      </x:c>
      <x:c r="F1557" s="23" t="n">
        <x:f>D1557+E1557</x:f>
        <x:v>2.347391815059634</x:v>
      </x:c>
      <x:c r="G1557" s="23" t="n">
        <x:f>AVERAGE($F$1544:$F$1567)</x:f>
        <x:v>2.2026151469682635</x:v>
      </x:c>
      <x:c r="H1557" s="24" t="n">
        <x:f>F1557-G1557</x:f>
        <x:v>0.14477666809137046</x:v>
      </x:c>
    </x:row>
    <x:row r="1558">
      <x:c r="A1558" s="2" t="str">
        <x:v>LiD3-Flex</x:v>
      </x:c>
      <x:c r="B1558" s="4" t="str">
        <x:v>NaCl</x:v>
      </x:c>
      <x:c r="C1558" s="23" t="n">
        <x:v>2.128998</x:v>
      </x:c>
      <x:c r="D1558" s="23" t="n">
        <x:v>-7.833327</x:v>
      </x:c>
      <x:c r="E1558" s="23" t="n">
        <x:f>'Parameters'!$B$2*'Parameters'!$B$3*LN(4*PI()*C1558^2)</x:f>
        <x:v>10.020755279592919</x:v>
      </x:c>
      <x:c r="F1558" s="23" t="n">
        <x:f>D1558+E1558</x:f>
        <x:v>2.187428279592919</x:v>
      </x:c>
      <x:c r="G1558" s="23" t="n">
        <x:f>AVERAGE($F$1544:$F$1567)</x:f>
        <x:v>2.2026151469682635</x:v>
      </x:c>
      <x:c r="H1558" s="24" t="n">
        <x:f>F1558-G1558</x:f>
        <x:v>-0.01518686737534436</x:v>
      </x:c>
    </x:row>
    <x:row r="1559">
      <x:c r="A1559" s="2" t="str">
        <x:v>LiD3-Flex</x:v>
      </x:c>
      <x:c r="B1559" s="4" t="str">
        <x:v>NaCl</x:v>
      </x:c>
      <x:c r="C1559" s="23" t="n">
        <x:v>2.141341</x:v>
      </x:c>
      <x:c r="D1559" s="23" t="n">
        <x:v>-7.7898</x:v>
      </x:c>
      <x:c r="E1559" s="23" t="n">
        <x:f>'Parameters'!$B$2*'Parameters'!$B$3*LN(4*PI()*C1559^2)</x:f>
        <x:v>10.049416097224269</x:v>
      </x:c>
      <x:c r="F1559" s="23" t="n">
        <x:f>D1559+E1559</x:f>
        <x:v>2.259616097224269</x:v>
      </x:c>
      <x:c r="G1559" s="23" t="n">
        <x:f>AVERAGE($F$1544:$F$1567)</x:f>
        <x:v>2.2026151469682635</x:v>
      </x:c>
      <x:c r="H1559" s="24" t="n">
        <x:f>F1559-G1559</x:f>
        <x:v>0.05700095025600538</x:v>
      </x:c>
    </x:row>
    <x:row r="1560">
      <x:c r="A1560" s="2" t="str">
        <x:v>LiD3-Flex</x:v>
      </x:c>
      <x:c r="B1560" s="4" t="str">
        <x:v>NaCl</x:v>
      </x:c>
      <x:c r="C1560" s="23" t="n">
        <x:v>2.153685</x:v>
      </x:c>
      <x:c r="D1560" s="23" t="n">
        <x:v>-7.97611</x:v>
      </x:c>
      <x:c r="E1560" s="23" t="n">
        <x:f>'Parameters'!$B$2*'Parameters'!$B$3*LN(4*PI()*C1560^2)</x:f>
        <x:v>10.077914485663864</x:v>
      </x:c>
      <x:c r="F1560" s="23" t="n">
        <x:f>D1560+E1560</x:f>
        <x:v>2.1018044856638642</x:v>
      </x:c>
      <x:c r="G1560" s="23" t="n">
        <x:f>AVERAGE($F$1544:$F$1567)</x:f>
        <x:v>2.2026151469682635</x:v>
      </x:c>
      <x:c r="H1560" s="24" t="n">
        <x:f>F1560-G1560</x:f>
        <x:v>-0.10081066130439931</x:v>
      </x:c>
    </x:row>
    <x:row r="1561">
      <x:c r="A1561" s="2" t="str">
        <x:v>LiD3-Flex</x:v>
      </x:c>
      <x:c r="B1561" s="4" t="str">
        <x:v>NaCl</x:v>
      </x:c>
      <x:c r="C1561" s="23" t="n">
        <x:v>2.166028</x:v>
      </x:c>
      <x:c r="D1561" s="23" t="n">
        <x:v>-7.99649</x:v>
      </x:c>
      <x:c r="E1561" s="23" t="n">
        <x:f>'Parameters'!$B$2*'Parameters'!$B$3*LN(4*PI()*C1561^2)</x:f>
        <x:v>10.106247710476728</x:v>
      </x:c>
      <x:c r="F1561" s="23" t="n">
        <x:f>D1561+E1561</x:f>
        <x:v>2.109757710476728</x:v>
      </x:c>
      <x:c r="G1561" s="23" t="n">
        <x:f>AVERAGE($F$1544:$F$1567)</x:f>
        <x:v>2.2026151469682635</x:v>
      </x:c>
      <x:c r="H1561" s="24" t="n">
        <x:f>F1561-G1561</x:f>
        <x:v>-0.09285743649153533</x:v>
      </x:c>
    </x:row>
    <x:row r="1562">
      <x:c r="A1562" s="2" t="str">
        <x:v>LiD3-Flex</x:v>
      </x:c>
      <x:c r="B1562" s="4" t="str">
        <x:v>NaCl</x:v>
      </x:c>
      <x:c r="C1562" s="23" t="n">
        <x:v>2.178371</x:v>
      </x:c>
      <x:c r="D1562" s="23" t="n">
        <x:v>-8.075791</x:v>
      </x:c>
      <x:c r="E1562" s="23" t="n">
        <x:f>'Parameters'!$B$2*'Parameters'!$B$3*LN(4*PI()*C1562^2)</x:f>
        <x:v>10.134419937701105</x:v>
      </x:c>
      <x:c r="F1562" s="23" t="n">
        <x:f>D1562+E1562</x:f>
        <x:v>2.058628937701105</x:v>
      </x:c>
      <x:c r="G1562" s="23" t="n">
        <x:f>AVERAGE($F$1544:$F$1567)</x:f>
        <x:v>2.2026151469682635</x:v>
      </x:c>
      <x:c r="H1562" s="24" t="n">
        <x:f>F1562-G1562</x:f>
        <x:v>-0.14398620926715866</x:v>
      </x:c>
    </x:row>
    <x:row r="1563">
      <x:c r="A1563" s="2" t="str">
        <x:v>LiD3-Flex</x:v>
      </x:c>
      <x:c r="B1563" s="4" t="str">
        <x:v>NaCl</x:v>
      </x:c>
      <x:c r="C1563" s="23" t="n">
        <x:v>2.190715</x:v>
      </x:c>
      <x:c r="D1563" s="23" t="n">
        <x:v>-8.073593</x:v>
      </x:c>
      <x:c r="E1563" s="23" t="n">
        <x:f>'Parameters'!$B$2*'Parameters'!$B$3*LN(4*PI()*C1563^2)</x:f>
        <x:v>10.162435249823048</x:v>
      </x:c>
      <x:c r="F1563" s="23" t="n">
        <x:f>D1563+E1563</x:f>
        <x:v>2.0888422498230472</x:v>
      </x:c>
      <x:c r="G1563" s="23" t="n">
        <x:f>AVERAGE($F$1544:$F$1567)</x:f>
        <x:v>2.2026151469682635</x:v>
      </x:c>
      <x:c r="H1563" s="24" t="n">
        <x:f>F1563-G1563</x:f>
        <x:v>-0.11377289714521632</x:v>
      </x:c>
    </x:row>
    <x:row r="1564">
      <x:c r="A1564" s="2" t="str">
        <x:v>LiD3-Flex</x:v>
      </x:c>
      <x:c r="B1564" s="4" t="str">
        <x:v>NaCl</x:v>
      </x:c>
      <x:c r="C1564" s="23" t="n">
        <x:v>2.203058</x:v>
      </x:c>
      <x:c r="D1564" s="23" t="n">
        <x:v>-8.14162</x:v>
      </x:c>
      <x:c r="E1564" s="23" t="n">
        <x:f>'Parameters'!$B$2*'Parameters'!$B$3*LN(4*PI()*C1564^2)</x:f>
        <x:v>10.19029089653527</x:v>
      </x:c>
      <x:c r="F1564" s="23" t="n">
        <x:f>D1564+E1564</x:f>
        <x:v>2.0486708965352705</x:v>
      </x:c>
      <x:c r="G1564" s="23" t="n">
        <x:f>AVERAGE($F$1544:$F$1567)</x:f>
        <x:v>2.2026151469682635</x:v>
      </x:c>
      <x:c r="H1564" s="24" t="n">
        <x:f>F1564-G1564</x:f>
        <x:v>-0.1539442504329931</x:v>
      </x:c>
    </x:row>
    <x:row r="1565">
      <x:c r="A1565" s="2" t="str">
        <x:v>LiD3-Flex</x:v>
      </x:c>
      <x:c r="B1565" s="4" t="str">
        <x:v>NaCl</x:v>
      </x:c>
      <x:c r="C1565" s="23" t="n">
        <x:v>2.215401</x:v>
      </x:c>
      <x:c r="D1565" s="23" t="n">
        <x:v>-8.286131</x:v>
      </x:c>
      <x:c r="E1565" s="23" t="n">
        <x:f>'Parameters'!$B$2*'Parameters'!$B$3*LN(4*PI()*C1565^2)</x:f>
        <x:v>10.217990912498795</x:v>
      </x:c>
      <x:c r="F1565" s="23" t="n">
        <x:f>D1565+E1565</x:f>
        <x:v>1.9318599124987959</x:v>
      </x:c>
      <x:c r="G1565" s="23" t="n">
        <x:f>AVERAGE($F$1544:$F$1567)</x:f>
        <x:v>2.2026151469682635</x:v>
      </x:c>
      <x:c r="H1565" s="24" t="n">
        <x:f>F1565-G1565</x:f>
        <x:v>-0.2707552344694677</x:v>
      </x:c>
    </x:row>
    <x:row r="1566">
      <x:c r="A1566" s="2" t="str">
        <x:v>LiD3-Flex</x:v>
      </x:c>
      <x:c r="B1566" s="4" t="str">
        <x:v>NaCl</x:v>
      </x:c>
      <x:c r="C1566" s="23" t="n">
        <x:v>2.227744</x:v>
      </x:c>
      <x:c r="D1566" s="23" t="n">
        <x:v>-8.204419</x:v>
      </x:c>
      <x:c r="E1566" s="23" t="n">
        <x:f>'Parameters'!$B$2*'Parameters'!$B$3*LN(4*PI()*C1566^2)</x:f>
        <x:v>10.245537027087963</x:v>
      </x:c>
      <x:c r="F1566" s="23" t="n">
        <x:f>D1566+E1566</x:f>
        <x:v>2.041118027087963</x:v>
      </x:c>
      <x:c r="G1566" s="23" t="n">
        <x:f>AVERAGE($F$1544:$F$1567)</x:f>
        <x:v>2.2026151469682635</x:v>
      </x:c>
      <x:c r="H1566" s="24" t="n">
        <x:f>F1566-G1566</x:f>
        <x:v>-0.16149711988030058</x:v>
      </x:c>
    </x:row>
    <x:row r="1567">
      <x:c r="A1567" s="2" t="str">
        <x:v>LiD3-Flex</x:v>
      </x:c>
      <x:c r="B1567" s="4" t="str">
        <x:v>NaCl</x:v>
      </x:c>
      <x:c r="C1567" s="23" t="n">
        <x:v>2.240088</x:v>
      </x:c>
      <x:c r="D1567" s="23" t="n">
        <x:v>-8.24072</x:v>
      </x:c>
      <x:c r="E1567" s="23" t="n">
        <x:f>'Parameters'!$B$2*'Parameters'!$B$3*LN(4*PI()*C1567^2)</x:f>
        <x:v>10.272933154279047</x:v>
      </x:c>
      <x:c r="F1567" s="23" t="n">
        <x:f>D1567+E1567</x:f>
        <x:v>2.032213154279047</x:v>
      </x:c>
      <x:c r="G1567" s="23" t="n">
        <x:f>AVERAGE($F$1544:$F$1567)</x:f>
        <x:v>2.2026151469682635</x:v>
      </x:c>
      <x:c r="H1567" s="24" t="n">
        <x:f>F1567-G1567</x:f>
        <x:v>-0.17040199268921663</x:v>
      </x:c>
    </x:row>
    <x:row r="1568">
      <x:c r="A1568" s="2" t="str">
        <x:v>LiD3-Flex</x:v>
      </x:c>
      <x:c r="B1568" s="4" t="str">
        <x:v>NaCl</x:v>
      </x:c>
      <x:c r="C1568" s="23" t="n">
        <x:v>2.252431</x:v>
      </x:c>
      <x:c r="D1568" s="23" t="n">
        <x:v>-8.372733</x:v>
      </x:c>
      <x:c r="E1568" s="23" t="n">
        <x:f>'Parameters'!$B$2*'Parameters'!$B$3*LN(4*PI()*C1568^2)</x:f>
        <x:v>10.300176528079787</x:v>
      </x:c>
      <x:c r="F1568" s="23" t="n">
        <x:f>D1568+E1568</x:f>
        <x:v>1.9274435280797864</x:v>
      </x:c>
      <x:c r="G1568" s="23" t="n">
        <x:f>AVERAGE($F$1544:$F$1567)</x:f>
        <x:v>2.2026151469682635</x:v>
      </x:c>
      <x:c r="H1568" s="24" t="n">
        <x:f>F1568-G1568</x:f>
        <x:v>-0.2751716188884772</x:v>
      </x:c>
    </x:row>
    <x:row r="1569">
      <x:c r="A1569" s="2" t="str">
        <x:v>LiD3-Flex</x:v>
      </x:c>
      <x:c r="B1569" s="4" t="str">
        <x:v>NaCl</x:v>
      </x:c>
      <x:c r="C1569" s="23" t="n">
        <x:v>2.264774</x:v>
      </x:c>
      <x:c r="D1569" s="23" t="n">
        <x:v>-8.314851</x:v>
      </x:c>
      <x:c r="E1569" s="23" t="n">
        <x:f>'Parameters'!$B$2*'Parameters'!$B$3*LN(4*PI()*C1569^2)</x:f>
        <x:v>10.327271019267853</x:v>
      </x:c>
      <x:c r="F1569" s="23" t="n">
        <x:f>D1569+E1569</x:f>
        <x:v>2.012420019267852</x:v>
      </x:c>
      <x:c r="G1569" s="23" t="n">
        <x:f>AVERAGE($F$1544:$F$1567)</x:f>
        <x:v>2.2026151469682635</x:v>
      </x:c>
      <x:c r="H1569" s="24" t="n">
        <x:f>F1569-G1569</x:f>
        <x:v>-0.1901951277004117</x:v>
      </x:c>
    </x:row>
    <x:row r="1570">
      <x:c r="A1570" s="2" t="str">
        <x:v>LiD3-Flex</x:v>
      </x:c>
      <x:c r="B1570" s="4" t="str">
        <x:v>NaCl</x:v>
      </x:c>
      <x:c r="C1570" s="23" t="n">
        <x:v>2.277117</x:v>
      </x:c>
      <x:c r="D1570" s="23" t="n">
        <x:v>-8.264773</x:v>
      </x:c>
      <x:c r="E1570" s="23" t="n">
        <x:f>'Parameters'!$B$2*'Parameters'!$B$3*LN(4*PI()*C1570^2)</x:f>
        <x:v>10.354218246263182</x:v>
      </x:c>
      <x:c r="F1570" s="23" t="n">
        <x:f>D1570+E1570</x:f>
        <x:v>2.089445246263182</x:v>
      </x:c>
      <x:c r="G1570" s="23" t="n">
        <x:f>AVERAGE($F$1544:$F$1567)</x:f>
        <x:v>2.2026151469682635</x:v>
      </x:c>
      <x:c r="H1570" s="24" t="n">
        <x:f>F1570-G1570</x:f>
        <x:v>-0.1131699007050817</x:v>
      </x:c>
    </x:row>
    <x:row r="1571">
      <x:c r="A1571" s="2" t="str">
        <x:v>LiD3-Flex</x:v>
      </x:c>
      <x:c r="B1571" s="4" t="str">
        <x:v>NaCl</x:v>
      </x:c>
      <x:c r="C1571" s="23" t="n">
        <x:v>2.289461</x:v>
      </x:c>
      <x:c r="D1571" s="23" t="n">
        <x:v>-8.44932</x:v>
      </x:c>
      <x:c r="E1571" s="23" t="n">
        <x:f>'Parameters'!$B$2*'Parameters'!$B$3*LN(4*PI()*C1571^2)</x:f>
        <x:v>10.381021966777041</x:v>
      </x:c>
      <x:c r="F1571" s="23" t="n">
        <x:f>D1571+E1571</x:f>
        <x:v>1.931701966777041</x:v>
      </x:c>
      <x:c r="G1571" s="23" t="n">
        <x:f>AVERAGE($F$1544:$F$1567)</x:f>
        <x:v>2.2026151469682635</x:v>
      </x:c>
      <x:c r="H1571" s="24" t="n">
        <x:f>F1571-G1571</x:f>
        <x:v>-0.27091318019122257</x:v>
      </x:c>
    </x:row>
    <x:row r="1572">
      <x:c r="A1572" s="2" t="str">
        <x:v>LiD3-Flex</x:v>
      </x:c>
      <x:c r="B1572" s="4" t="str">
        <x:v>NaCl</x:v>
      </x:c>
      <x:c r="C1572" s="23" t="n">
        <x:v>2.301804</x:v>
      </x:c>
      <x:c r="D1572" s="23" t="n">
        <x:v>-8.288436</x:v>
      </x:c>
      <x:c r="E1572" s="23" t="n">
        <x:f>'Parameters'!$B$2*'Parameters'!$B$3*LN(4*PI()*C1572^2)</x:f>
        <x:v>10.407679404611619</x:v>
      </x:c>
      <x:c r="F1572" s="23" t="n">
        <x:f>D1572+E1572</x:f>
        <x:v>2.119243404611618</x:v>
      </x:c>
      <x:c r="G1572" s="23" t="n">
        <x:f>AVERAGE($F$1544:$F$1567)</x:f>
        <x:v>2.2026151469682635</x:v>
      </x:c>
      <x:c r="H1572" s="24" t="n">
        <x:f>F1572-G1572</x:f>
        <x:v>-0.08337174235664557</x:v>
      </x:c>
    </x:row>
    <x:row r="1573">
      <x:c r="A1573" s="2" t="str">
        <x:v>LiD3-Flex</x:v>
      </x:c>
      <x:c r="B1573" s="4" t="str">
        <x:v>NaCl</x:v>
      </x:c>
      <x:c r="C1573" s="23" t="n">
        <x:v>2.314147</x:v>
      </x:c>
      <x:c r="D1573" s="23" t="n">
        <x:v>-8.374212</x:v>
      </x:c>
      <x:c r="E1573" s="23" t="n">
        <x:f>'Parameters'!$B$2*'Parameters'!$B$3*LN(4*PI()*C1573^2)</x:f>
        <x:v>10.434194278399112</x:v>
      </x:c>
      <x:c r="F1573" s="23" t="n">
        <x:f>D1573+E1573</x:f>
        <x:v>2.0599822783991115</x:v>
      </x:c>
      <x:c r="G1573" s="23" t="n">
        <x:f>AVERAGE($F$1544:$F$1567)</x:f>
        <x:v>2.2026151469682635</x:v>
      </x:c>
      <x:c r="H1573" s="24" t="n">
        <x:f>F1573-G1573</x:f>
        <x:v>-0.14263286856915203</x:v>
      </x:c>
    </x:row>
    <x:row r="1574">
      <x:c r="A1574" s="2" t="str">
        <x:v>LiD3-Flex</x:v>
      </x:c>
      <x:c r="B1574" s="4" t="str">
        <x:v>NaCl</x:v>
      </x:c>
      <x:c r="C1574" s="23" t="n">
        <x:v>2.32649</x:v>
      </x:c>
      <x:c r="D1574" s="23" t="n">
        <x:v>-8.341428</x:v>
      </x:c>
      <x:c r="E1574" s="23" t="n">
        <x:f>'Parameters'!$B$2*'Parameters'!$B$3*LN(4*PI()*C1574^2)</x:f>
        <x:v>10.460568104897279</x:v>
      </x:c>
      <x:c r="F1574" s="23" t="n">
        <x:f>D1574+E1574</x:f>
        <x:v>2.119140104897278</x:v>
      </x:c>
      <x:c r="G1574" s="23" t="n">
        <x:f>AVERAGE($F$1544:$F$1567)</x:f>
        <x:v>2.2026151469682635</x:v>
      </x:c>
      <x:c r="H1574" s="24" t="n">
        <x:f>F1574-G1574</x:f>
        <x:v>-0.08347504207098533</x:v>
      </x:c>
    </x:row>
    <x:row r="1575">
      <x:c r="A1575" s="2" t="str">
        <x:v>LiD3-Flex</x:v>
      </x:c>
      <x:c r="B1575" s="4" t="str">
        <x:v>NaCl</x:v>
      </x:c>
      <x:c r="C1575" s="23" t="n">
        <x:v>2.338834</x:v>
      </x:c>
      <x:c r="D1575" s="23" t="n">
        <x:v>-8.30822</x:v>
      </x:c>
      <x:c r="E1575" s="23" t="n">
        <x:f>'Parameters'!$B$2*'Parameters'!$B$3*LN(4*PI()*C1575^2)</x:f>
        <x:v>10.486804496609864</x:v>
      </x:c>
      <x:c r="F1575" s="23" t="n">
        <x:f>D1575+E1575</x:f>
        <x:v>2.1785844966098633</x:v>
      </x:c>
      <x:c r="G1575" s="23" t="n">
        <x:f>AVERAGE($F$1544:$F$1567)</x:f>
        <x:v>2.2026151469682635</x:v>
      </x:c>
      <x:c r="H1575" s="24" t="n">
        <x:f>F1575-G1575</x:f>
        <x:v>-0.02403065035840024</x:v>
      </x:c>
    </x:row>
    <x:row r="1576">
      <x:c r="A1576" s="2" t="str">
        <x:v>LiD3-Flex</x:v>
      </x:c>
      <x:c r="B1576" s="4" t="str">
        <x:v>NaCl</x:v>
      </x:c>
      <x:c r="C1576" s="23" t="n">
        <x:v>2.351177</x:v>
      </x:c>
      <x:c r="D1576" s="23" t="n">
        <x:v>-8.268978</x:v>
      </x:c>
      <x:c r="E1576" s="23" t="n">
        <x:f>'Parameters'!$B$2*'Parameters'!$B$3*LN(4*PI()*C1576^2)</x:f>
        <x:v>10.512900671871328</x:v>
      </x:c>
      <x:c r="F1576" s="23" t="n">
        <x:f>D1576+E1576</x:f>
        <x:v>2.243922671871328</x:v>
      </x:c>
      <x:c r="G1576" s="23" t="n">
        <x:f>AVERAGE($F$1544:$F$1567)</x:f>
        <x:v>2.2026151469682635</x:v>
      </x:c>
      <x:c r="H1576" s="24" t="n">
        <x:f>F1576-G1576</x:f>
        <x:v>0.04130752490306433</x:v>
      </x:c>
    </x:row>
    <x:row r="1577">
      <x:c r="A1577" s="2" t="str">
        <x:v>LiD3-Flex</x:v>
      </x:c>
      <x:c r="B1577" s="4" t="str">
        <x:v>NaCl</x:v>
      </x:c>
      <x:c r="C1577" s="23" t="n">
        <x:v>2.36352</x:v>
      </x:c>
      <x:c r="D1577" s="23" t="n">
        <x:v>-8.363601</x:v>
      </x:c>
      <x:c r="E1577" s="23" t="n">
        <x:f>'Parameters'!$B$2*'Parameters'!$B$3*LN(4*PI()*C1577^2)</x:f>
        <x:v>10.538860207782735</x:v>
      </x:c>
      <x:c r="F1577" s="23" t="n">
        <x:f>D1577+E1577</x:f>
        <x:v>2.1752592077827355</x:v>
      </x:c>
      <x:c r="G1577" s="23" t="n">
        <x:f>AVERAGE($F$1544:$F$1567)</x:f>
        <x:v>2.2026151469682635</x:v>
      </x:c>
      <x:c r="H1577" s="24" t="n">
        <x:f>F1577-G1577</x:f>
        <x:v>-0.027355939185528033</x:v>
      </x:c>
    </x:row>
    <x:row r="1578">
      <x:c r="A1578" s="2" t="str">
        <x:v>LiD3-Flex</x:v>
      </x:c>
      <x:c r="B1578" s="4" t="str">
        <x:v>NaCl</x:v>
      </x:c>
      <x:c r="C1578" s="23" t="n">
        <x:v>2.375863</x:v>
      </x:c>
      <x:c r="D1578" s="23" t="n">
        <x:v>-8.36338</x:v>
      </x:c>
      <x:c r="E1578" s="23" t="n">
        <x:f>'Parameters'!$B$2*'Parameters'!$B$3*LN(4*PI()*C1578^2)</x:f>
        <x:v>10.56468452777915</x:v>
      </x:c>
      <x:c r="F1578" s="23" t="n">
        <x:f>D1578+E1578</x:f>
        <x:v>2.2013045277791505</x:v>
      </x:c>
      <x:c r="G1578" s="23" t="n">
        <x:f>AVERAGE($F$1544:$F$1567)</x:f>
        <x:v>2.2026151469682635</x:v>
      </x:c>
      <x:c r="H1578" s="24" t="n">
        <x:f>F1578-G1578</x:f>
        <x:v>-0.001310619189113016</x:v>
      </x:c>
    </x:row>
    <x:row r="1579">
      <x:c r="A1579" s="2" t="str">
        <x:v>LiD3-Flex</x:v>
      </x:c>
      <x:c r="B1579" s="4" t="str">
        <x:v>NaCl</x:v>
      </x:c>
      <x:c r="C1579" s="23" t="n">
        <x:v>2.388207</x:v>
      </x:c>
      <x:c r="D1579" s="23" t="n">
        <x:v>-8.465678</x:v>
      </x:c>
      <x:c r="E1579" s="23" t="n">
        <x:f>'Parameters'!$B$2*'Parameters'!$B$3*LN(4*PI()*C1579^2)</x:f>
        <x:v>10.590377109166893</x:v>
      </x:c>
      <x:c r="F1579" s="23" t="n">
        <x:f>D1579+E1579</x:f>
        <x:v>2.124699109166892</x:v>
      </x:c>
      <x:c r="G1579" s="23" t="n">
        <x:f>AVERAGE($F$1544:$F$1567)</x:f>
        <x:v>2.2026151469682635</x:v>
      </x:c>
      <x:c r="H1579" s="24" t="n">
        <x:f>F1579-G1579</x:f>
        <x:v>-0.07791603780137146</x:v>
      </x:c>
    </x:row>
    <x:row r="1580">
      <x:c r="A1580" s="2" t="str">
        <x:v>LiD3-Flex</x:v>
      </x:c>
      <x:c r="B1580" s="4" t="str">
        <x:v>NaCl</x:v>
      </x:c>
      <x:c r="C1580" s="23" t="n">
        <x:v>2.40055</x:v>
      </x:c>
      <x:c r="D1580" s="23" t="n">
        <x:v>-8.62181</x:v>
      </x:c>
      <x:c r="E1580" s="23" t="n">
        <x:f>'Parameters'!$B$2*'Parameters'!$B$3*LN(4*PI()*C1580^2)</x:f>
        <x:v>10.615935168909942</x:v>
      </x:c>
      <x:c r="F1580" s="23" t="n">
        <x:f>D1580+E1580</x:f>
        <x:v>1.9941251689099424</x:v>
      </x:c>
      <x:c r="G1580" s="23" t="n">
        <x:f>AVERAGE($F$1544:$F$1567)</x:f>
        <x:v>2.2026151469682635</x:v>
      </x:c>
      <x:c r="H1580" s="24" t="n">
        <x:f>F1580-G1580</x:f>
        <x:v>-0.20848997805832115</x:v>
      </x:c>
    </x:row>
    <x:row r="1581">
      <x:c r="A1581" s="2" t="str">
        <x:v>LiD3-Flex</x:v>
      </x:c>
      <x:c r="B1581" s="4" t="str">
        <x:v>NaCl</x:v>
      </x:c>
      <x:c r="C1581" s="23" t="n">
        <x:v>2.412893</x:v>
      </x:c>
      <x:c r="D1581" s="23" t="n">
        <x:v>-8.503765</x:v>
      </x:c>
      <x:c r="E1581" s="23" t="n">
        <x:f>'Parameters'!$B$2*'Parameters'!$B$3*LN(4*PI()*C1581^2)</x:f>
        <x:v>10.641362152199873</x:v>
      </x:c>
      <x:c r="F1581" s="23" t="n">
        <x:f>D1581+E1581</x:f>
        <x:v>2.1375971521998736</x:v>
      </x:c>
      <x:c r="G1581" s="23" t="n">
        <x:f>AVERAGE($F$1544:$F$1567)</x:f>
        <x:v>2.2026151469682635</x:v>
      </x:c>
      <x:c r="H1581" s="24" t="n">
        <x:f>F1581-G1581</x:f>
        <x:v>-0.06501799476838999</x:v>
      </x:c>
    </x:row>
    <x:row r="1582">
      <x:c r="A1582" s="2" t="str">
        <x:v>LiD3-Flex</x:v>
      </x:c>
      <x:c r="B1582" s="4" t="str">
        <x:v>NaCl</x:v>
      </x:c>
      <x:c r="C1582" s="23" t="n">
        <x:v>2.425236</x:v>
      </x:c>
      <x:c r="D1582" s="23" t="n">
        <x:v>-8.56585</x:v>
      </x:c>
      <x:c r="E1582" s="23" t="n">
        <x:f>'Parameters'!$B$2*'Parameters'!$B$3*LN(4*PI()*C1582^2)</x:f>
        <x:v>10.66665939665066</x:v>
      </x:c>
      <x:c r="F1582" s="23" t="n">
        <x:f>D1582+E1582</x:f>
        <x:v>2.1008093966506607</x:v>
      </x:c>
      <x:c r="G1582" s="23" t="n">
        <x:f>AVERAGE($F$1544:$F$1567)</x:f>
        <x:v>2.2026151469682635</x:v>
      </x:c>
      <x:c r="H1582" s="24" t="n">
        <x:f>F1582-G1582</x:f>
        <x:v>-0.10180575031760286</x:v>
      </x:c>
    </x:row>
    <x:row r="1583">
      <x:c r="A1583" s="2" t="str">
        <x:v>LiD3-Flex</x:v>
      </x:c>
      <x:c r="B1583" s="4" t="str">
        <x:v>NaCl</x:v>
      </x:c>
      <x:c r="C1583" s="23" t="n">
        <x:v>2.43758</x:v>
      </x:c>
      <x:c r="D1583" s="23" t="n">
        <x:v>-8.690415</x:v>
      </x:c>
      <x:c r="E1583" s="23" t="n">
        <x:f>'Parameters'!$B$2*'Parameters'!$B$3*LN(4*PI()*C1583^2)</x:f>
        <x:v>10.691830253454668</x:v>
      </x:c>
      <x:c r="F1583" s="23" t="n">
        <x:f>D1583+E1583</x:f>
        <x:v>2.0014152534546685</x:v>
      </x:c>
      <x:c r="G1583" s="23" t="n">
        <x:f>AVERAGE($F$1544:$F$1567)</x:f>
        <x:v>2.2026151469682635</x:v>
      </x:c>
      <x:c r="H1583" s="24" t="n">
        <x:f>F1583-G1583</x:f>
        <x:v>-0.20119989351359502</x:v>
      </x:c>
    </x:row>
    <x:row r="1584">
      <x:c r="A1584" s="2" t="str">
        <x:v>LiD3-Flex</x:v>
      </x:c>
      <x:c r="B1584" s="4" t="str">
        <x:v>NaCl</x:v>
      </x:c>
      <x:c r="C1584" s="23" t="n">
        <x:v>2.449923</x:v>
      </x:c>
      <x:c r="D1584" s="23" t="n">
        <x:v>-8.659436</x:v>
      </x:c>
      <x:c r="E1584" s="23" t="n">
        <x:f>'Parameters'!$B$2*'Parameters'!$B$3*LN(4*PI()*C1584^2)</x:f>
        <x:v>10.716871941748193</x:v>
      </x:c>
      <x:c r="F1584" s="23" t="n">
        <x:f>D1584+E1584</x:f>
        <x:v>2.057435941748194</x:v>
      </x:c>
      <x:c r="G1584" s="23" t="n">
        <x:f>AVERAGE($F$1544:$F$1567)</x:f>
        <x:v>2.2026151469682635</x:v>
      </x:c>
      <x:c r="H1584" s="24" t="n">
        <x:f>F1584-G1584</x:f>
        <x:v>-0.14517920522006955</x:v>
      </x:c>
    </x:row>
    <x:row r="1585">
      <x:c r="A1585" s="2" t="str">
        <x:v>LiD3-Flex</x:v>
      </x:c>
      <x:c r="B1585" s="4" t="str">
        <x:v>NaCl</x:v>
      </x:c>
      <x:c r="C1585" s="23" t="n">
        <x:v>2.462266</x:v>
      </x:c>
      <x:c r="D1585" s="23" t="n">
        <x:v>-8.673736</x:v>
      </x:c>
      <x:c r="E1585" s="23" t="n">
        <x:f>'Parameters'!$B$2*'Parameters'!$B$3*LN(4*PI()*C1585^2)</x:f>
        <x:v>10.74178778355539</x:v>
      </x:c>
      <x:c r="F1585" s="23" t="n">
        <x:f>D1585+E1585</x:f>
        <x:v>2.06805178355539</x:v>
      </x:c>
      <x:c r="G1585" s="23" t="n">
        <x:f>AVERAGE($F$1544:$F$1567)</x:f>
        <x:v>2.2026151469682635</x:v>
      </x:c>
      <x:c r="H1585" s="24" t="n">
        <x:f>F1585-G1585</x:f>
        <x:v>-0.13456336341287356</x:v>
      </x:c>
    </x:row>
    <x:row r="1586">
      <x:c r="A1586" s="2" t="str">
        <x:v>LiD3-Flex</x:v>
      </x:c>
      <x:c r="B1586" s="4" t="str">
        <x:v>NaCl</x:v>
      </x:c>
      <x:c r="C1586" s="23" t="n">
        <x:v>2.474609</x:v>
      </x:c>
      <x:c r="D1586" s="23" t="n">
        <x:v>-8.818798</x:v>
      </x:c>
      <x:c r="E1586" s="23" t="n">
        <x:f>'Parameters'!$B$2*'Parameters'!$B$3*LN(4*PI()*C1586^2)</x:f>
        <x:v>10.766579037431868</x:v>
      </x:c>
      <x:c r="F1586" s="23" t="n">
        <x:f>D1586+E1586</x:f>
        <x:v>1.9477810374318683</x:v>
      </x:c>
      <x:c r="G1586" s="23" t="n">
        <x:f>AVERAGE($F$1544:$F$1567)</x:f>
        <x:v>2.2026151469682635</x:v>
      </x:c>
      <x:c r="H1586" s="24" t="n">
        <x:f>F1586-G1586</x:f>
        <x:v>-0.2548341095363953</x:v>
      </x:c>
    </x:row>
    <x:row r="1587">
      <x:c r="A1587" s="2" t="str">
        <x:v>LiD3-Flex</x:v>
      </x:c>
      <x:c r="B1587" s="4" t="str">
        <x:v>NaCl</x:v>
      </x:c>
      <x:c r="C1587" s="23" t="n">
        <x:v>2.486953</x:v>
      </x:c>
      <x:c r="D1587" s="23" t="n">
        <x:v>-8.607466</x:v>
      </x:c>
      <x:c r="E1587" s="23" t="n">
        <x:f>'Parameters'!$B$2*'Parameters'!$B$3*LN(4*PI()*C1587^2)</x:f>
        <x:v>10.791248936717517</x:v>
      </x:c>
      <x:c r="F1587" s="23" t="n">
        <x:f>D1587+E1587</x:f>
        <x:v>2.1837829367175168</x:v>
      </x:c>
      <x:c r="G1587" s="23" t="n">
        <x:f>AVERAGE($F$1544:$F$1567)</x:f>
        <x:v>2.2026151469682635</x:v>
      </x:c>
      <x:c r="H1587" s="24" t="n">
        <x:f>F1587-G1587</x:f>
        <x:v>-0.018832210250746773</x:v>
      </x:c>
    </x:row>
    <x:row r="1588">
      <x:c r="A1588" s="2" t="str">
        <x:v>LiD3-Flex</x:v>
      </x:c>
      <x:c r="B1588" s="4" t="str">
        <x:v>NaCl</x:v>
      </x:c>
      <x:c r="C1588" s="23" t="n">
        <x:v>2.499296</x:v>
      </x:c>
      <x:c r="D1588" s="23" t="n">
        <x:v>-8.626772</x:v>
      </x:c>
      <x:c r="E1588" s="23" t="n">
        <x:f>'Parameters'!$B$2*'Parameters'!$B$3*LN(4*PI()*C1588^2)</x:f>
        <x:v>10.815794705782816</x:v>
      </x:c>
      <x:c r="F1588" s="23" t="n">
        <x:f>D1588+E1588</x:f>
        <x:v>2.189022705782815</x:v>
      </x:c>
      <x:c r="G1588" s="23" t="n">
        <x:f>AVERAGE($F$1544:$F$1567)</x:f>
        <x:v>2.2026151469682635</x:v>
      </x:c>
      <x:c r="H1588" s="24" t="n">
        <x:f>F1588-G1588</x:f>
        <x:v>-0.013592441185448667</x:v>
      </x:c>
    </x:row>
    <x:row r="1589">
      <x:c r="A1589" s="2" t="str">
        <x:v>LiD3-Flex</x:v>
      </x:c>
      <x:c r="B1589" s="4" t="str">
        <x:v>NaCl</x:v>
      </x:c>
      <x:c r="C1589" s="23" t="n">
        <x:v>2.511639</x:v>
      </x:c>
      <x:c r="D1589" s="23" t="n">
        <x:v>-8.632822</x:v>
      </x:c>
      <x:c r="E1589" s="23" t="n">
        <x:f>'Parameters'!$B$2*'Parameters'!$B$3*LN(4*PI()*C1589^2)</x:f>
        <x:v>10.840219551445157</x:v>
      </x:c>
      <x:c r="F1589" s="23" t="n">
        <x:f>D1589+E1589</x:f>
        <x:v>2.2073975514451565</x:v>
      </x:c>
      <x:c r="G1589" s="23" t="n">
        <x:f>AVERAGE($F$1544:$F$1567)</x:f>
        <x:v>2.2026151469682635</x:v>
      </x:c>
      <x:c r="H1589" s="24" t="n">
        <x:f>F1589-G1589</x:f>
        <x:v>0.004782404476892932</x:v>
      </x:c>
    </x:row>
    <x:row r="1590">
      <x:c r="A1590" s="2" t="str">
        <x:v>LiD3-Flex</x:v>
      </x:c>
      <x:c r="B1590" s="4" t="str">
        <x:v>NaCl</x:v>
      </x:c>
      <x:c r="C1590" s="23" t="n">
        <x:v>2.523983</x:v>
      </x:c>
      <x:c r="D1590" s="23" t="n">
        <x:v>-8.543962</x:v>
      </x:c>
      <x:c r="E1590" s="23" t="n">
        <x:f>'Parameters'!$B$2*'Parameters'!$B$3*LN(4*PI()*C1590^2)</x:f>
        <x:v>10.864526623633182</x:v>
      </x:c>
      <x:c r="F1590" s="23" t="n">
        <x:f>D1590+E1590</x:f>
        <x:v>2.3205646236331816</x:v>
      </x:c>
      <x:c r="G1590" s="23" t="n">
        <x:f>AVERAGE($F$1544:$F$1567)</x:f>
        <x:v>2.2026151469682635</x:v>
      </x:c>
      <x:c r="H1590" s="24" t="n">
        <x:f>F1590-G1590</x:f>
        <x:v>0.11794947666491806</x:v>
      </x:c>
    </x:row>
    <x:row r="1591">
      <x:c r="A1591" s="2" t="str">
        <x:v>LiD3-Flex</x:v>
      </x:c>
      <x:c r="B1591" s="4" t="str">
        <x:v>NaCl</x:v>
      </x:c>
      <x:c r="C1591" s="23" t="n">
        <x:v>2.536326</x:v>
      </x:c>
      <x:c r="D1591" s="23" t="n">
        <x:v>-8.405012</x:v>
      </x:c>
      <x:c r="E1591" s="23" t="n">
        <x:f>'Parameters'!$B$2*'Parameters'!$B$3*LN(4*PI()*C1591^2)</x:f>
        <x:v>10.888713152398942</x:v>
      </x:c>
      <x:c r="F1591" s="23" t="n">
        <x:f>D1591+E1591</x:f>
        <x:v>2.483701152398943</x:v>
      </x:c>
      <x:c r="G1591" s="23" t="n">
        <x:f>AVERAGE($F$1544:$F$1567)</x:f>
        <x:v>2.2026151469682635</x:v>
      </x:c>
      <x:c r="H1591" s="24" t="n">
        <x:f>F1591-G1591</x:f>
        <x:v>0.28108600543067963</x:v>
      </x:c>
    </x:row>
    <x:row r="1592">
      <x:c r="A1592" s="2" t="str">
        <x:v>LiD3-Flex</x:v>
      </x:c>
      <x:c r="B1592" s="4" t="str">
        <x:v>NaCl</x:v>
      </x:c>
      <x:c r="C1592" s="23" t="n">
        <x:v>2.548669</x:v>
      </x:c>
      <x:c r="D1592" s="23" t="n">
        <x:v>-8.214468</x:v>
      </x:c>
      <x:c r="E1592" s="23" t="n">
        <x:f>'Parameters'!$B$2*'Parameters'!$B$3*LN(4*PI()*C1592^2)</x:f>
        <x:v>10.912782262956798</x:v>
      </x:c>
      <x:c r="F1592" s="23" t="n">
        <x:f>D1592+E1592</x:f>
        <x:v>2.6983142629567975</x:v>
      </x:c>
      <x:c r="G1592" s="23" t="n">
        <x:f>AVERAGE($F$1544:$F$1567)</x:f>
        <x:v>2.2026151469682635</x:v>
      </x:c>
      <x:c r="H1592" s="24" t="n">
        <x:f>F1592-G1592</x:f>
        <x:v>0.495699115988534</x:v>
      </x:c>
    </x:row>
    <x:row r="1593">
      <x:c r="A1593" s="2" t="str">
        <x:v>LiD3-Flex</x:v>
      </x:c>
      <x:c r="B1593" s="4" t="str">
        <x:v>NaCl</x:v>
      </x:c>
      <x:c r="C1593" s="23" t="n">
        <x:v>2.561012</x:v>
      </x:c>
      <x:c r="D1593" s="23" t="n">
        <x:v>-8.054046</x:v>
      </x:c>
      <x:c r="E1593" s="23" t="n">
        <x:f>'Parameters'!$B$2*'Parameters'!$B$3*LN(4*PI()*C1593^2)</x:f>
        <x:v>10.936735089860106</x:v>
      </x:c>
      <x:c r="F1593" s="23" t="n">
        <x:f>D1593+E1593</x:f>
        <x:v>2.882689089860106</x:v>
      </x:c>
      <x:c r="G1593" s="23" t="n">
        <x:f>AVERAGE($F$1544:$F$1567)</x:f>
        <x:v>2.2026151469682635</x:v>
      </x:c>
      <x:c r="H1593" s="24" t="n">
        <x:f>F1593-G1593</x:f>
        <x:v>0.6800739428918425</x:v>
      </x:c>
    </x:row>
    <x:row r="1594">
      <x:c r="A1594" s="2" t="str">
        <x:v>LiD3-Flex</x:v>
      </x:c>
      <x:c r="B1594" s="4" t="str">
        <x:v>NaCl</x:v>
      </x:c>
      <x:c r="C1594" s="23" t="n">
        <x:v>2.573356</x:v>
      </x:c>
      <x:c r="D1594" s="23" t="n">
        <x:v>-7.837141</x:v>
      </x:c>
      <x:c r="E1594" s="23" t="n">
        <x:f>'Parameters'!$B$2*'Parameters'!$B$3*LN(4*PI()*C1594^2)</x:f>
        <x:v>10.960574677931275</x:v>
      </x:c>
      <x:c r="F1594" s="23" t="n">
        <x:f>D1594+E1594</x:f>
        <x:v>3.123433677931275</x:v>
      </x:c>
      <x:c r="G1594" s="23" t="n">
        <x:f>AVERAGE($F$1544:$F$1567)</x:f>
        <x:v>2.2026151469682635</x:v>
      </x:c>
      <x:c r="H1594" s="24" t="n">
        <x:f>F1594-G1594</x:f>
        <x:v>0.9208185309630115</x:v>
      </x:c>
    </x:row>
    <x:row r="1595">
      <x:c r="A1595" s="2" t="str">
        <x:v>LiD3-Flex</x:v>
      </x:c>
      <x:c r="B1595" s="4" t="str">
        <x:v>NaCl</x:v>
      </x:c>
      <x:c r="C1595" s="23" t="n">
        <x:v>2.585699</x:v>
      </x:c>
      <x:c r="D1595" s="23" t="n">
        <x:v>-7.546281</x:v>
      </x:c>
      <x:c r="E1595" s="23" t="n">
        <x:f>'Parameters'!$B$2*'Parameters'!$B$3*LN(4*PI()*C1595^2)</x:f>
        <x:v>10.984298266842286</x:v>
      </x:c>
      <x:c r="F1595" s="23" t="n">
        <x:f>D1595+E1595</x:f>
        <x:v>3.4380172668422864</x:v>
      </x:c>
      <x:c r="G1595" s="23" t="n">
        <x:f>AVERAGE($F$1544:$F$1567)</x:f>
        <x:v>2.2026151469682635</x:v>
      </x:c>
      <x:c r="H1595" s="24" t="n">
        <x:f>F1595-G1595</x:f>
        <x:v>1.2354021198740228</x:v>
      </x:c>
    </x:row>
    <x:row r="1596">
      <x:c r="A1596" s="2" t="str">
        <x:v>LiD3-Flex</x:v>
      </x:c>
      <x:c r="B1596" s="4" t="str">
        <x:v>NaCl</x:v>
      </x:c>
      <x:c r="C1596" s="23" t="n">
        <x:v>2.598042</x:v>
      </x:c>
      <x:c r="D1596" s="23" t="n">
        <x:v>-7.413819</x:v>
      </x:c>
      <x:c r="E1596" s="23" t="n">
        <x:f>'Parameters'!$B$2*'Parameters'!$B$3*LN(4*PI()*C1596^2)</x:f>
        <x:v>11.007908878902267</x:v>
      </x:c>
      <x:c r="F1596" s="23" t="n">
        <x:f>D1596+E1596</x:f>
        <x:v>3.594089878902267</x:v>
      </x:c>
      <x:c r="G1596" s="23" t="n">
        <x:f>AVERAGE($F$1544:$F$1567)</x:f>
        <x:v>2.2026151469682635</x:v>
      </x:c>
      <x:c r="H1596" s="24" t="n">
        <x:f>F1596-G1596</x:f>
        <x:v>1.3914747319340033</x:v>
      </x:c>
    </x:row>
    <x:row r="1597">
      <x:c r="A1597" s="2" t="str">
        <x:v>LiD3-Flex</x:v>
      </x:c>
      <x:c r="B1597" s="4" t="str">
        <x:v>NaCl</x:v>
      </x:c>
      <x:c r="C1597" s="23" t="n">
        <x:v>2.610385</x:v>
      </x:c>
      <x:c r="D1597" s="23" t="n">
        <x:v>-7.101298</x:v>
      </x:c>
      <x:c r="E1597" s="23" t="n">
        <x:f>'Parameters'!$B$2*'Parameters'!$B$3*LN(4*PI()*C1597^2)</x:f>
        <x:v>11.031407585053474</x:v>
      </x:c>
      <x:c r="F1597" s="23" t="n">
        <x:f>D1597+E1597</x:f>
        <x:v>3.930109585053474</x:v>
      </x:c>
      <x:c r="G1597" s="23" t="n">
        <x:f>AVERAGE($F$1544:$F$1567)</x:f>
        <x:v>2.2026151469682635</x:v>
      </x:c>
      <x:c r="H1597" s="24" t="n">
        <x:f>F1597-G1597</x:f>
        <x:v>1.7274944380852104</x:v>
      </x:c>
    </x:row>
    <x:row r="1598">
      <x:c r="A1598" s="2" t="str">
        <x:v>LiD3-Flex</x:v>
      </x:c>
      <x:c r="B1598" s="4" t="str">
        <x:v>NaCl</x:v>
      </x:c>
      <x:c r="C1598" s="23" t="n">
        <x:v>2.622729</x:v>
      </x:c>
      <x:c r="D1598" s="23" t="n">
        <x:v>-7.007768</x:v>
      </x:c>
      <x:c r="E1598" s="23" t="n">
        <x:f>'Parameters'!$B$2*'Parameters'!$B$3*LN(4*PI()*C1598^2)</x:f>
        <x:v>11.054797331447244</x:v>
      </x:c>
      <x:c r="F1598" s="23" t="n">
        <x:f>D1598+E1598</x:f>
        <x:v>4.047029331447243</x:v>
      </x:c>
      <x:c r="G1598" s="23" t="n">
        <x:f>AVERAGE($F$1544:$F$1567)</x:f>
        <x:v>2.2026151469682635</x:v>
      </x:c>
      <x:c r="H1598" s="24" t="n">
        <x:f>F1598-G1598</x:f>
        <x:v>1.8444141844789796</x:v>
      </x:c>
    </x:row>
    <x:row r="1599">
      <x:c r="A1599" s="2" t="str">
        <x:v>LiD3-Flex</x:v>
      </x:c>
      <x:c r="B1599" s="4" t="str">
        <x:v>NaCl</x:v>
      </x:c>
      <x:c r="C1599" s="23" t="n">
        <x:v>2.635072</x:v>
      </x:c>
      <x:c r="D1599" s="23" t="n">
        <x:v>-5.885666</x:v>
      </x:c>
      <x:c r="E1599" s="23" t="n">
        <x:f>'Parameters'!$B$2*'Parameters'!$B$3*LN(4*PI()*C1599^2)</x:f>
        <x:v>11.078075369414083</x:v>
      </x:c>
      <x:c r="F1599" s="23" t="n">
        <x:f>D1599+E1599</x:f>
        <x:v>5.192409369414084</x:v>
      </x:c>
      <x:c r="G1599" s="23" t="n">
        <x:f>AVERAGE($F$1544:$F$1567)</x:f>
        <x:v>2.2026151469682635</x:v>
      </x:c>
      <x:c r="H1599" s="24" t="n">
        <x:f>F1599-G1599</x:f>
        <x:v>2.9897942224458203</x:v>
      </x:c>
    </x:row>
    <x:row r="1600">
      <x:c r="A1600" s="2" t="str">
        <x:v>LiD3-Flex</x:v>
      </x:c>
      <x:c r="B1600" s="4" t="str">
        <x:v>NaCl</x:v>
      </x:c>
      <x:c r="C1600" s="23" t="n">
        <x:v>2.647415</x:v>
      </x:c>
      <x:c r="D1600" s="23" t="n">
        <x:v>-5.874951</x:v>
      </x:c>
      <x:c r="E1600" s="23" t="n">
        <x:f>'Parameters'!$B$2*'Parameters'!$B$3*LN(4*PI()*C1600^2)</x:f>
        <x:v>11.1012446245781</x:v>
      </x:c>
      <x:c r="F1600" s="23" t="n">
        <x:f>D1600+E1600</x:f>
        <x:v>5.2262936245781</x:v>
      </x:c>
      <x:c r="G1600" s="23" t="n">
        <x:f>AVERAGE($F$1544:$F$1567)</x:f>
        <x:v>2.2026151469682635</x:v>
      </x:c>
      <x:c r="H1600" s="24" t="n">
        <x:f>F1600-G1600</x:f>
        <x:v>3.023678477609837</x:v>
      </x:c>
    </x:row>
    <x:row r="1601">
      <x:c r="A1601" s="2" t="str">
        <x:v>LiD3-Flex</x:v>
      </x:c>
      <x:c r="B1601" s="4" t="str">
        <x:v>NaCl</x:v>
      </x:c>
      <x:c r="C1601" s="23" t="n">
        <x:v>2.659758</x:v>
      </x:c>
      <x:c r="D1601" s="23" t="n">
        <x:v>-5.214759</x:v>
      </x:c>
      <x:c r="E1601" s="23" t="n">
        <x:f>'Parameters'!$B$2*'Parameters'!$B$3*LN(4*PI()*C1601^2)</x:f>
        <x:v>11.12430610893829</x:v>
      </x:c>
      <x:c r="F1601" s="23" t="n">
        <x:f>D1601+E1601</x:f>
        <x:v>5.90954710893829</x:v>
      </x:c>
      <x:c r="G1601" s="23" t="n">
        <x:f>AVERAGE($F$1544:$F$1567)</x:f>
        <x:v>2.2026151469682635</x:v>
      </x:c>
      <x:c r="H1601" s="24" t="n">
        <x:f>F1601-G1601</x:f>
        <x:v>3.7069319619700267</x:v>
      </x:c>
    </x:row>
    <x:row r="1602">
      <x:c r="A1602" s="2" t="str">
        <x:v>LiND-Hybrid</x:v>
      </x:c>
      <x:c r="B1602" s="4" t="str">
        <x:v>LiCl</x:v>
      </x:c>
      <x:c r="C1602" s="23" t="n">
        <x:v>0.3114819</x:v>
      </x:c>
      <x:c r="D1602" s="23" t="n">
        <x:v>0</x:v>
      </x:c>
      <x:c r="E1602" s="23" t="n">
        <x:f>'Parameters'!$B$2*'Parameters'!$B$3*LN(4*PI()*C1602^2)</x:f>
        <x:v>0.49131973979228183</x:v>
      </x:c>
      <x:c r="F1602" s="23" t="n">
        <x:f>D1602+E1602</x:f>
        <x:v>0.49131973979228183</x:v>
      </x:c>
      <x:c r="G1602" s="23" t="n">
        <x:f>AVERAGE($F$1742:$F$1766)</x:f>
        <x:v>7.973833075519117</x:v>
      </x:c>
      <x:c r="H1602" s="24" t="n">
        <x:f>F1602-G1602</x:f>
        <x:v>-7.482513335726836</x:v>
      </x:c>
    </x:row>
    <x:row r="1603">
      <x:c r="A1603" s="2" t="str">
        <x:v>LiND-Hybrid</x:v>
      </x:c>
      <x:c r="B1603" s="4" t="str">
        <x:v>LiCl</x:v>
      </x:c>
      <x:c r="C1603" s="23" t="n">
        <x:v>0.3238156</x:v>
      </x:c>
      <x:c r="D1603" s="23" t="n">
        <x:v>-2.135563</x:v>
      </x:c>
      <x:c r="E1603" s="23" t="n">
        <x:f>'Parameters'!$B$2*'Parameters'!$B$3*LN(4*PI()*C1603^2)</x:f>
        <x:v>0.6838503538364884</x:v>
      </x:c>
      <x:c r="F1603" s="23" t="n">
        <x:f>D1603+E1603</x:f>
        <x:v>-1.4517126461635115</x:v>
      </x:c>
      <x:c r="G1603" s="23" t="n">
        <x:f>AVERAGE($F$1742:$F$1766)</x:f>
        <x:v>7.973833075519117</x:v>
      </x:c>
      <x:c r="H1603" s="24" t="n">
        <x:f>F1603-G1603</x:f>
        <x:v>-9.425545721682628</x:v>
      </x:c>
    </x:row>
    <x:row r="1604">
      <x:c r="A1604" s="2" t="str">
        <x:v>LiND-Hybrid</x:v>
      </x:c>
      <x:c r="B1604" s="4" t="str">
        <x:v>LiCl</x:v>
      </x:c>
      <x:c r="C1604" s="23" t="n">
        <x:v>0.3361494</x:v>
      </x:c>
      <x:c r="D1604" s="23" t="n">
        <x:v>-5.070891</x:v>
      </x:c>
      <x:c r="E1604" s="23" t="n">
        <x:f>'Parameters'!$B$2*'Parameters'!$B$3*LN(4*PI()*C1604^2)</x:f>
        <x:v>0.8691845489557991</x:v>
      </x:c>
      <x:c r="F1604" s="23" t="n">
        <x:f>D1604+E1604</x:f>
        <x:v>-4.201706451044201</x:v>
      </x:c>
      <x:c r="G1604" s="23" t="n">
        <x:f>AVERAGE($F$1742:$F$1766)</x:f>
        <x:v>7.973833075519117</x:v>
      </x:c>
      <x:c r="H1604" s="24" t="n">
        <x:f>F1604-G1604</x:f>
        <x:v>-12.175539526563318</x:v>
      </x:c>
    </x:row>
    <x:row r="1605">
      <x:c r="A1605" s="2" t="str">
        <x:v>LiND-Hybrid</x:v>
      </x:c>
      <x:c r="B1605" s="4" t="str">
        <x:v>LiCl</x:v>
      </x:c>
      <x:c r="C1605" s="23" t="n">
        <x:v>0.3484831</x:v>
      </x:c>
      <x:c r="D1605" s="23" t="n">
        <x:v>-6.094446</x:v>
      </x:c>
      <x:c r="E1605" s="23" t="n">
        <x:f>'Parameters'!$B$2*'Parameters'!$B$3*LN(4*PI()*C1605^2)</x:f>
        <x:v>1.0478381802649324</x:v>
      </x:c>
      <x:c r="F1605" s="23" t="n">
        <x:f>D1605+E1605</x:f>
        <x:v>-5.046607819735067</x:v>
      </x:c>
      <x:c r="G1605" s="23" t="n">
        <x:f>AVERAGE($F$1742:$F$1766)</x:f>
        <x:v>7.973833075519117</x:v>
      </x:c>
      <x:c r="H1605" s="24" t="n">
        <x:f>F1605-G1605</x:f>
        <x:v>-13.020440895254184</x:v>
      </x:c>
    </x:row>
    <x:row r="1606">
      <x:c r="A1606" s="2" t="str">
        <x:v>LiND-Hybrid</x:v>
      </x:c>
      <x:c r="B1606" s="4" t="str">
        <x:v>LiCl</x:v>
      </x:c>
      <x:c r="C1606" s="23" t="n">
        <x:v>0.3608169</x:v>
      </x:c>
      <x:c r="D1606" s="23" t="n">
        <x:v>-5.4647</x:v>
      </x:c>
      <x:c r="E1606" s="23" t="n">
        <x:f>'Parameters'!$B$2*'Parameters'!$B$3*LN(4*PI()*C1606^2)</x:f>
        <x:v>1.2202788535313307</x:v>
      </x:c>
      <x:c r="F1606" s="23" t="n">
        <x:f>D1606+E1606</x:f>
        <x:v>-4.244421146468669</x:v>
      </x:c>
      <x:c r="G1606" s="23" t="n">
        <x:f>AVERAGE($F$1742:$F$1766)</x:f>
        <x:v>7.973833075519117</x:v>
      </x:c>
      <x:c r="H1606" s="24" t="n">
        <x:f>F1606-G1606</x:f>
        <x:v>-12.218254221987786</x:v>
      </x:c>
    </x:row>
    <x:row r="1607">
      <x:c r="A1607" s="2" t="str">
        <x:v>LiND-Hybrid</x:v>
      </x:c>
      <x:c r="B1607" s="4" t="str">
        <x:v>LiCl</x:v>
      </x:c>
      <x:c r="C1607" s="23" t="n">
        <x:v>0.3731506</x:v>
      </x:c>
      <x:c r="D1607" s="23" t="n">
        <x:v>-5.026653</x:v>
      </x:c>
      <x:c r="E1607" s="23" t="n">
        <x:f>'Parameters'!$B$2*'Parameters'!$B$3*LN(4*PI()*C1607^2)</x:f>
        <x:v>1.3869216037563132</x:v>
      </x:c>
      <x:c r="F1607" s="23" t="n">
        <x:f>D1607+E1607</x:f>
        <x:v>-3.639731396243686</x:v>
      </x:c>
      <x:c r="G1607" s="23" t="n">
        <x:f>AVERAGE($F$1742:$F$1766)</x:f>
        <x:v>7.973833075519117</x:v>
      </x:c>
      <x:c r="H1607" s="24" t="n">
        <x:f>F1607-G1607</x:f>
        <x:v>-11.613564471762803</x:v>
      </x:c>
    </x:row>
    <x:row r="1608">
      <x:c r="A1608" s="2" t="str">
        <x:v>LiND-Hybrid</x:v>
      </x:c>
      <x:c r="B1608" s="4" t="str">
        <x:v>LiCl</x:v>
      </x:c>
      <x:c r="C1608" s="23" t="n">
        <x:v>0.3854844</x:v>
      </x:c>
      <x:c r="D1608" s="23" t="n">
        <x:v>-5.751144</x:v>
      </x:c>
      <x:c r="E1608" s="23" t="n">
        <x:f>'Parameters'!$B$2*'Parameters'!$B$3*LN(4*PI()*C1608^2)</x:f>
        <x:v>1.5481461952112496</x:v>
      </x:c>
      <x:c r="F1608" s="23" t="n">
        <x:f>D1608+E1608</x:f>
        <x:v>-4.20299780478875</x:v>
      </x:c>
      <x:c r="G1608" s="23" t="n">
        <x:f>AVERAGE($F$1742:$F$1766)</x:f>
        <x:v>7.973833075519117</x:v>
      </x:c>
      <x:c r="H1608" s="24" t="n">
        <x:f>F1608-G1608</x:f>
        <x:v>-12.176830880307868</x:v>
      </x:c>
    </x:row>
    <x:row r="1609">
      <x:c r="A1609" s="2" t="str">
        <x:v>LiND-Hybrid</x:v>
      </x:c>
      <x:c r="B1609" s="4" t="str">
        <x:v>LiCl</x:v>
      </x:c>
      <x:c r="C1609" s="23" t="n">
        <x:v>0.3978181</x:v>
      </x:c>
      <x:c r="D1609" s="23" t="n">
        <x:v>-7.000355</x:v>
      </x:c>
      <x:c r="E1609" s="23" t="n">
        <x:f>'Parameters'!$B$2*'Parameters'!$B$3*LN(4*PI()*C1609^2)</x:f>
        <x:v>1.7042914365721367</x:v>
      </x:c>
      <x:c r="F1609" s="23" t="n">
        <x:f>D1609+E1609</x:f>
        <x:v>-5.296063563427863</x:v>
      </x:c>
      <x:c r="G1609" s="23" t="n">
        <x:f>AVERAGE($F$1742:$F$1766)</x:f>
        <x:v>7.973833075519117</x:v>
      </x:c>
      <x:c r="H1609" s="24" t="n">
        <x:f>F1609-G1609</x:f>
        <x:v>-13.26989663894698</x:v>
      </x:c>
    </x:row>
    <x:row r="1610">
      <x:c r="A1610" s="2" t="str">
        <x:v>LiND-Hybrid</x:v>
      </x:c>
      <x:c r="B1610" s="4" t="str">
        <x:v>LiCl</x:v>
      </x:c>
      <x:c r="C1610" s="23" t="n">
        <x:v>0.4101519</x:v>
      </x:c>
      <x:c r="D1610" s="23" t="n">
        <x:v>-8.073071</x:v>
      </x:c>
      <x:c r="E1610" s="23" t="n">
        <x:f>'Parameters'!$B$2*'Parameters'!$B$3*LN(4*PI()*C1610^2)</x:f>
        <x:v>1.8556700048769448</x:v>
      </x:c>
      <x:c r="F1610" s="23" t="n">
        <x:f>D1610+E1610</x:f>
        <x:v>-6.2174009951230556</x:v>
      </x:c>
      <x:c r="G1610" s="23" t="n">
        <x:f>AVERAGE($F$1742:$F$1766)</x:f>
        <x:v>7.973833075519117</x:v>
      </x:c>
      <x:c r="H1610" s="24" t="n">
        <x:f>F1610-G1610</x:f>
        <x:v>-14.191234070642173</x:v>
      </x:c>
    </x:row>
    <x:row r="1611">
      <x:c r="A1611" s="2" t="str">
        <x:v>LiND-Hybrid</x:v>
      </x:c>
      <x:c r="B1611" s="4" t="str">
        <x:v>LiCl</x:v>
      </x:c>
      <x:c r="C1611" s="23" t="n">
        <x:v>0.4224856</x:v>
      </x:c>
      <x:c r="D1611" s="23" t="n">
        <x:v>-8.413051</x:v>
      </x:c>
      <x:c r="E1611" s="23" t="n">
        <x:f>'Parameters'!$B$2*'Parameters'!$B$3*LN(4*PI()*C1611^2)</x:f>
        <x:v>2.0025620141260854</x:v>
      </x:c>
      <x:c r="F1611" s="23" t="n">
        <x:f>D1611+E1611</x:f>
        <x:v>-6.410488985873914</x:v>
      </x:c>
      <x:c r="G1611" s="23" t="n">
        <x:f>AVERAGE($F$1742:$F$1766)</x:f>
        <x:v>7.973833075519117</x:v>
      </x:c>
      <x:c r="H1611" s="24" t="n">
        <x:f>F1611-G1611</x:f>
        <x:v>-14.384322061393032</x:v>
      </x:c>
    </x:row>
    <x:row r="1612">
      <x:c r="A1612" s="2" t="str">
        <x:v>LiND-Hybrid</x:v>
      </x:c>
      <x:c r="B1612" s="4" t="str">
        <x:v>LiCl</x:v>
      </x:c>
      <x:c r="C1612" s="23" t="n">
        <x:v>0.4348194</x:v>
      </x:c>
      <x:c r="D1612" s="23" t="n">
        <x:v>-9.404491</x:v>
      </x:c>
      <x:c r="E1612" s="23" t="n">
        <x:f>'Parameters'!$B$2*'Parameters'!$B$3*LN(4*PI()*C1612^2)</x:f>
        <x:v>2.1452280194167526</x:v>
      </x:c>
      <x:c r="F1612" s="23" t="n">
        <x:f>D1612+E1612</x:f>
        <x:v>-7.259262980583248</x:v>
      </x:c>
      <x:c r="G1612" s="23" t="n">
        <x:f>AVERAGE($F$1742:$F$1766)</x:f>
        <x:v>7.973833075519117</x:v>
      </x:c>
      <x:c r="H1612" s="24" t="n">
        <x:f>F1612-G1612</x:f>
        <x:v>-15.233096056102365</x:v>
      </x:c>
    </x:row>
    <x:row r="1613">
      <x:c r="A1613" s="2" t="str">
        <x:v>LiND-Hybrid</x:v>
      </x:c>
      <x:c r="B1613" s="4" t="str">
        <x:v>LiCl</x:v>
      </x:c>
      <x:c r="C1613" s="23" t="n">
        <x:v>0.4471532</x:v>
      </x:c>
      <x:c r="D1613" s="23" t="n">
        <x:v>-10.76452</x:v>
      </x:c>
      <x:c r="E1613" s="23" t="n">
        <x:f>'Parameters'!$B$2*'Parameters'!$B$3*LN(4*PI()*C1613^2)</x:f>
        <x:v>2.2839033185896054</x:v>
      </x:c>
      <x:c r="F1613" s="23" t="n">
        <x:f>D1613+E1613</x:f>
        <x:v>-8.480616681410394</x:v>
      </x:c>
      <x:c r="G1613" s="23" t="n">
        <x:f>AVERAGE($F$1742:$F$1766)</x:f>
        <x:v>7.973833075519117</x:v>
      </x:c>
      <x:c r="H1613" s="24" t="n">
        <x:f>F1613-G1613</x:f>
        <x:v>-16.454449756929513</x:v>
      </x:c>
    </x:row>
    <x:row r="1614">
      <x:c r="A1614" s="2" t="str">
        <x:v>LiND-Hybrid</x:v>
      </x:c>
      <x:c r="B1614" s="4" t="str">
        <x:v>LiCl</x:v>
      </x:c>
      <x:c r="C1614" s="23" t="n">
        <x:v>0.4594869</x:v>
      </x:c>
      <x:c r="D1614" s="23" t="n">
        <x:v>-11.38921</x:v>
      </x:c>
      <x:c r="E1614" s="23" t="n">
        <x:f>'Parameters'!$B$2*'Parameters'!$B$3*LN(4*PI()*C1614^2)</x:f>
        <x:v>2.4188040298926388</x:v>
      </x:c>
      <x:c r="F1614" s="23" t="n">
        <x:f>D1614+E1614</x:f>
        <x:v>-8.970405970107361</x:v>
      </x:c>
      <x:c r="G1614" s="23" t="n">
        <x:f>AVERAGE($F$1742:$F$1766)</x:f>
        <x:v>7.973833075519117</x:v>
      </x:c>
      <x:c r="H1614" s="24" t="n">
        <x:f>F1614-G1614</x:f>
        <x:v>-16.944239045626478</x:v>
      </x:c>
    </x:row>
    <x:row r="1615">
      <x:c r="A1615" s="2" t="str">
        <x:v>LiND-Hybrid</x:v>
      </x:c>
      <x:c r="B1615" s="4" t="str">
        <x:v>LiCl</x:v>
      </x:c>
      <x:c r="C1615" s="23" t="n">
        <x:v>0.4718207</x:v>
      </x:c>
      <x:c r="D1615" s="23" t="n">
        <x:v>-11.10377</x:v>
      </x:c>
      <x:c r="E1615" s="23" t="n">
        <x:f>'Parameters'!$B$2*'Parameters'!$B$3*LN(4*PI()*C1615^2)</x:f>
        <x:v>2.5501322738583054</x:v>
      </x:c>
      <x:c r="F1615" s="23" t="n">
        <x:f>D1615+E1615</x:f>
        <x:v>-8.553637726141694</x:v>
      </x:c>
      <x:c r="G1615" s="23" t="n">
        <x:f>AVERAGE($F$1742:$F$1766)</x:f>
        <x:v>7.973833075519117</x:v>
      </x:c>
      <x:c r="H1615" s="24" t="n">
        <x:f>F1615-G1615</x:f>
        <x:v>-16.52747080166081</x:v>
      </x:c>
    </x:row>
    <x:row r="1616">
      <x:c r="A1616" s="2" t="str">
        <x:v>LiND-Hybrid</x:v>
      </x:c>
      <x:c r="B1616" s="4" t="str">
        <x:v>LiCl</x:v>
      </x:c>
      <x:c r="C1616" s="23" t="n">
        <x:v>0.4841544</x:v>
      </x:c>
      <x:c r="D1616" s="23" t="n">
        <x:v>-9.552031</x:v>
      </x:c>
      <x:c r="E1616" s="23" t="n">
        <x:f>'Parameters'!$B$2*'Parameters'!$B$3*LN(4*PI()*C1616^2)</x:f>
        <x:v>2.6780703714539054</x:v>
      </x:c>
      <x:c r="F1616" s="23" t="n">
        <x:f>D1616+E1616</x:f>
        <x:v>-6.873960628546094</x:v>
      </x:c>
      <x:c r="G1616" s="23" t="n">
        <x:f>AVERAGE($F$1742:$F$1766)</x:f>
        <x:v>7.973833075519117</x:v>
      </x:c>
      <x:c r="H1616" s="24" t="n">
        <x:f>F1616-G1616</x:f>
        <x:v>-14.84779370406521</x:v>
      </x:c>
    </x:row>
    <x:row r="1617">
      <x:c r="A1617" s="2" t="str">
        <x:v>LiND-Hybrid</x:v>
      </x:c>
      <x:c r="B1617" s="4" t="str">
        <x:v>LiCl</x:v>
      </x:c>
      <x:c r="C1617" s="23" t="n">
        <x:v>0.4964882</x:v>
      </x:c>
      <x:c r="D1617" s="23" t="n">
        <x:v>-7.542283</x:v>
      </x:c>
      <x:c r="E1617" s="23" t="n">
        <x:f>'Parameters'!$B$2*'Parameters'!$B$3*LN(4*PI()*C1617^2)</x:f>
        <x:v>2.8027909273726497</x:v>
      </x:c>
      <x:c r="F1617" s="23" t="n">
        <x:f>D1617+E1617</x:f>
        <x:v>-4.739492072627351</x:v>
      </x:c>
      <x:c r="G1617" s="23" t="n">
        <x:f>AVERAGE($F$1742:$F$1766)</x:f>
        <x:v>7.973833075519117</x:v>
      </x:c>
      <x:c r="H1617" s="24" t="n">
        <x:f>F1617-G1617</x:f>
        <x:v>-12.713325148146467</x:v>
      </x:c>
    </x:row>
    <x:row r="1618">
      <x:c r="A1618" s="2" t="str">
        <x:v>LiND-Hybrid</x:v>
      </x:c>
      <x:c r="B1618" s="4" t="str">
        <x:v>LiCl</x:v>
      </x:c>
      <x:c r="C1618" s="23" t="n">
        <x:v>0.5088219</x:v>
      </x:c>
      <x:c r="D1618" s="23" t="n">
        <x:v>-5.408678</x:v>
      </x:c>
      <x:c r="E1618" s="23" t="n">
        <x:f>'Parameters'!$B$2*'Parameters'!$B$3*LN(4*PI()*C1618^2)</x:f>
        <x:v>2.9244498919574426</x:v>
      </x:c>
      <x:c r="F1618" s="23" t="n">
        <x:f>D1618+E1618</x:f>
        <x:v>-2.4842281080425574</x:v>
      </x:c>
      <x:c r="G1618" s="23" t="n">
        <x:f>AVERAGE($F$1742:$F$1766)</x:f>
        <x:v>7.973833075519117</x:v>
      </x:c>
      <x:c r="H1618" s="24" t="n">
        <x:f>F1618-G1618</x:f>
        <x:v>-10.458061183561675</x:v>
      </x:c>
    </x:row>
    <x:row r="1619">
      <x:c r="A1619" s="2" t="str">
        <x:v>LiND-Hybrid</x:v>
      </x:c>
      <x:c r="B1619" s="4" t="str">
        <x:v>LiCl</x:v>
      </x:c>
      <x:c r="C1619" s="23" t="n">
        <x:v>0.5211557</x:v>
      </x:c>
      <x:c r="D1619" s="23" t="n">
        <x:v>-3.670863</x:v>
      </x:c>
      <x:c r="E1619" s="23" t="n">
        <x:f>'Parameters'!$B$2*'Parameters'!$B$3*LN(4*PI()*C1619^2)</x:f>
        <x:v>3.0431958599624016</x:v>
      </x:c>
      <x:c r="F1619" s="23" t="n">
        <x:f>D1619+E1619</x:f>
        <x:v>-0.6276671400375986</x:v>
      </x:c>
      <x:c r="G1619" s="23" t="n">
        <x:f>AVERAGE($F$1742:$F$1766)</x:f>
        <x:v>7.973833075519117</x:v>
      </x:c>
      <x:c r="H1619" s="24" t="n">
        <x:f>F1619-G1619</x:f>
        <x:v>-8.601500215556715</x:v>
      </x:c>
    </x:row>
    <x:row r="1620">
      <x:c r="A1620" s="2" t="str">
        <x:v>LiND-Hybrid</x:v>
      </x:c>
      <x:c r="B1620" s="4" t="str">
        <x:v>LiCl</x:v>
      </x:c>
      <x:c r="C1620" s="23" t="n">
        <x:v>0.5334894</x:v>
      </x:c>
      <x:c r="D1620" s="23" t="n">
        <x:v>-0.5488236</x:v>
      </x:c>
      <x:c r="E1620" s="23" t="n">
        <x:f>'Parameters'!$B$2*'Parameters'!$B$3*LN(4*PI()*C1620^2)</x:f>
        <x:v>3.1591632362019557</x:v>
      </x:c>
      <x:c r="F1620" s="23" t="n">
        <x:f>D1620+E1620</x:f>
        <x:v>2.6103396362019557</x:v>
      </x:c>
      <x:c r="G1620" s="23" t="n">
        <x:f>AVERAGE($F$1742:$F$1766)</x:f>
        <x:v>7.973833075519117</x:v>
      </x:c>
      <x:c r="H1620" s="24" t="n">
        <x:f>F1620-G1620</x:f>
        <x:v>-5.363493439317161</x:v>
      </x:c>
    </x:row>
    <x:row r="1621">
      <x:c r="A1621" s="2" t="str">
        <x:v>LiND-Hybrid</x:v>
      </x:c>
      <x:c r="B1621" s="4" t="str">
        <x:v>LiCl</x:v>
      </x:c>
      <x:c r="C1621" s="23" t="n">
        <x:v>0.5458232</x:v>
      </x:c>
      <x:c r="D1621" s="23" t="n">
        <x:v>3.053808</x:v>
      </x:c>
      <x:c r="E1621" s="23" t="n">
        <x:f>'Parameters'!$B$2*'Parameters'!$B$3*LN(4*PI()*C1621^2)</x:f>
        <x:v>3.2724808837917037</x:v>
      </x:c>
      <x:c r="F1621" s="23" t="n">
        <x:f>D1621+E1621</x:f>
        <x:v>6.326288883791704</x:v>
      </x:c>
      <x:c r="G1621" s="23" t="n">
        <x:f>AVERAGE($F$1742:$F$1766)</x:f>
        <x:v>7.973833075519117</x:v>
      </x:c>
      <x:c r="H1621" s="24" t="n">
        <x:f>F1621-G1621</x:f>
        <x:v>-1.6475441917274134</x:v>
      </x:c>
    </x:row>
    <x:row r="1622">
      <x:c r="A1622" s="2" t="str">
        <x:v>LiND-Hybrid</x:v>
      </x:c>
      <x:c r="B1622" s="4" t="str">
        <x:v>LiCl</x:v>
      </x:c>
      <x:c r="C1622" s="23" t="n">
        <x:v>0.5581569</x:v>
      </x:c>
      <x:c r="D1622" s="23" t="n">
        <x:v>5.538128</x:v>
      </x:c>
      <x:c r="E1622" s="23" t="n">
        <x:f>'Parameters'!$B$2*'Parameters'!$B$3*LN(4*PI()*C1622^2)</x:f>
        <x:v>3.383265433132157</x:v>
      </x:c>
      <x:c r="F1622" s="23" t="n">
        <x:f>D1622+E1622</x:f>
        <x:v>8.921393433132158</x:v>
      </x:c>
      <x:c r="G1622" s="23" t="n">
        <x:f>AVERAGE($F$1742:$F$1766)</x:f>
        <x:v>7.973833075519117</x:v>
      </x:c>
      <x:c r="H1622" s="24" t="n">
        <x:f>F1622-G1622</x:f>
        <x:v>0.9475603576130407</x:v>
      </x:c>
    </x:row>
    <x:row r="1623">
      <x:c r="A1623" s="2" t="str">
        <x:v>LiND-Hybrid</x:v>
      </x:c>
      <x:c r="B1623" s="4" t="str">
        <x:v>LiCl</x:v>
      </x:c>
      <x:c r="C1623" s="23" t="n">
        <x:v>0.5704907</x:v>
      </x:c>
      <x:c r="D1623" s="23" t="n">
        <x:v>6.200313</x:v>
      </x:c>
      <x:c r="E1623" s="23" t="n">
        <x:f>'Parameters'!$B$2*'Parameters'!$B$3*LN(4*PI()*C1623^2)</x:f>
        <x:v>3.491629380873533</x:v>
      </x:c>
      <x:c r="F1623" s="23" t="n">
        <x:f>D1623+E1623</x:f>
        <x:v>9.691942380873533</x:v>
      </x:c>
      <x:c r="G1623" s="23" t="n">
        <x:f>AVERAGE($F$1742:$F$1766)</x:f>
        <x:v>7.973833075519117</x:v>
      </x:c>
      <x:c r="H1623" s="24" t="n">
        <x:f>F1623-G1623</x:f>
        <x:v>1.7181093053544156</x:v>
      </x:c>
    </x:row>
    <x:row r="1624">
      <x:c r="A1624" s="2" t="str">
        <x:v>LiND-Hybrid</x:v>
      </x:c>
      <x:c r="B1624" s="4" t="str">
        <x:v>LiCl</x:v>
      </x:c>
      <x:c r="C1624" s="23" t="n">
        <x:v>0.5828244</x:v>
      </x:c>
      <x:c r="D1624" s="23" t="n">
        <x:v>5.293468</x:v>
      </x:c>
      <x:c r="E1624" s="23" t="n">
        <x:f>'Parameters'!$B$2*'Parameters'!$B$3*LN(4*PI()*C1624^2)</x:f>
        <x:v>3.597674564704845</x:v>
      </x:c>
      <x:c r="F1624" s="23" t="n">
        <x:f>D1624+E1624</x:f>
        <x:v>8.891142564704845</x:v>
      </x:c>
      <x:c r="G1624" s="23" t="n">
        <x:f>AVERAGE($F$1742:$F$1766)</x:f>
        <x:v>7.973833075519117</x:v>
      </x:c>
      <x:c r="H1624" s="24" t="n">
        <x:f>F1624-G1624</x:f>
        <x:v>0.9173094891857279</x:v>
      </x:c>
    </x:row>
    <x:row r="1625">
      <x:c r="A1625" s="2" t="str">
        <x:v>LiND-Hybrid</x:v>
      </x:c>
      <x:c r="B1625" s="4" t="str">
        <x:v>LiCl</x:v>
      </x:c>
      <x:c r="C1625" s="23" t="n">
        <x:v>0.5951582</x:v>
      </x:c>
      <x:c r="D1625" s="23" t="n">
        <x:v>4.626452</x:v>
      </x:c>
      <x:c r="E1625" s="23" t="n">
        <x:f>'Parameters'!$B$2*'Parameters'!$B$3*LN(4*PI()*C1625^2)</x:f>
        <x:v>3.701499791195604</x:v>
      </x:c>
      <x:c r="F1625" s="23" t="n">
        <x:f>D1625+E1625</x:f>
        <x:v>8.327951791195604</x:v>
      </x:c>
      <x:c r="G1625" s="23" t="n">
        <x:f>AVERAGE($F$1742:$F$1766)</x:f>
        <x:v>7.973833075519117</x:v>
      </x:c>
      <x:c r="H1625" s="24" t="n">
        <x:f>F1625-G1625</x:f>
        <x:v>0.3541187156764867</x:v>
      </x:c>
    </x:row>
    <x:row r="1626">
      <x:c r="A1626" s="2" t="str">
        <x:v>LiND-Hybrid</x:v>
      </x:c>
      <x:c r="B1626" s="4" t="str">
        <x:v>LiCl</x:v>
      </x:c>
      <x:c r="C1626" s="23" t="n">
        <x:v>0.6074919</x:v>
      </x:c>
      <x:c r="D1626" s="23" t="n">
        <x:v>3.765172</x:v>
      </x:c>
      <x:c r="E1626" s="23" t="n">
        <x:f>'Parameters'!$B$2*'Parameters'!$B$3*LN(4*PI()*C1626^2)</x:f>
        <x:v>3.8031944878372617</x:v>
      </x:c>
      <x:c r="F1626" s="23" t="n">
        <x:f>D1626+E1626</x:f>
        <x:v>7.568366487837261</x:v>
      </x:c>
      <x:c r="G1626" s="23" t="n">
        <x:f>AVERAGE($F$1742:$F$1766)</x:f>
        <x:v>7.973833075519117</x:v>
      </x:c>
      <x:c r="H1626" s="24" t="n">
        <x:f>F1626-G1626</x:f>
        <x:v>-0.40546658768185573</x:v>
      </x:c>
    </x:row>
    <x:row r="1627">
      <x:c r="A1627" s="2" t="str">
        <x:v>LiND-Hybrid</x:v>
      </x:c>
      <x:c r="B1627" s="4" t="str">
        <x:v>LiCl</x:v>
      </x:c>
      <x:c r="C1627" s="23" t="n">
        <x:v>0.6198257</x:v>
      </x:c>
      <x:c r="D1627" s="23" t="n">
        <x:v>3.439653</x:v>
      </x:c>
      <x:c r="E1627" s="23" t="n">
        <x:f>'Parameters'!$B$2*'Parameters'!$B$3*LN(4*PI()*C1627^2)</x:f>
        <x:v>3.9028459212811586</x:v>
      </x:c>
      <x:c r="F1627" s="23" t="n">
        <x:f>D1627+E1627</x:f>
        <x:v>7.342498921281159</x:v>
      </x:c>
      <x:c r="G1627" s="23" t="n">
        <x:f>AVERAGE($F$1742:$F$1766)</x:f>
        <x:v>7.973833075519117</x:v>
      </x:c>
      <x:c r="H1627" s="24" t="n">
        <x:f>F1627-G1627</x:f>
        <x:v>-0.6313341542379582</x:v>
      </x:c>
    </x:row>
    <x:row r="1628">
      <x:c r="A1628" s="2" t="str">
        <x:v>LiND-Hybrid</x:v>
      </x:c>
      <x:c r="B1628" s="4" t="str">
        <x:v>LiCl</x:v>
      </x:c>
      <x:c r="C1628" s="23" t="n">
        <x:v>0.6321594</x:v>
      </x:c>
      <x:c r="D1628" s="23" t="n">
        <x:v>3.07727</x:v>
      </x:c>
      <x:c r="E1628" s="23" t="n">
        <x:f>'Parameters'!$B$2*'Parameters'!$B$3*LN(4*PI()*C1628^2)</x:f>
        <x:v>4.000533030974012</x:v>
      </x:c>
      <x:c r="F1628" s="23" t="n">
        <x:f>D1628+E1628</x:f>
        <x:v>7.077803030974012</x:v>
      </x:c>
      <x:c r="G1628" s="23" t="n">
        <x:f>AVERAGE($F$1742:$F$1766)</x:f>
        <x:v>7.973833075519117</x:v>
      </x:c>
      <x:c r="H1628" s="24" t="n">
        <x:f>F1628-G1628</x:f>
        <x:v>-0.896030044545105</x:v>
      </x:c>
    </x:row>
    <x:row r="1629">
      <x:c r="A1629" s="2" t="str">
        <x:v>LiND-Hybrid</x:v>
      </x:c>
      <x:c r="B1629" s="4" t="str">
        <x:v>LiCl</x:v>
      </x:c>
      <x:c r="C1629" s="23" t="n">
        <x:v>0.6444932</x:v>
      </x:c>
      <x:c r="D1629" s="23" t="n">
        <x:v>3.049842</x:v>
      </x:c>
      <x:c r="E1629" s="23" t="n">
        <x:f>'Parameters'!$B$2*'Parameters'!$B$3*LN(4*PI()*C1629^2)</x:f>
        <x:v>4.096333287085303</x:v>
      </x:c>
      <x:c r="F1629" s="23" t="n">
        <x:f>D1629+E1629</x:f>
        <x:v>7.146175287085303</x:v>
      </x:c>
      <x:c r="G1629" s="23" t="n">
        <x:f>AVERAGE($F$1742:$F$1766)</x:f>
        <x:v>7.973833075519117</x:v>
      </x:c>
      <x:c r="H1629" s="24" t="n">
        <x:f>F1629-G1629</x:f>
        <x:v>-0.8276577884338145</x:v>
      </x:c>
    </x:row>
    <x:row r="1630">
      <x:c r="A1630" s="2" t="str">
        <x:v>LiND-Hybrid</x:v>
      </x:c>
      <x:c r="B1630" s="4" t="str">
        <x:v>LiCl</x:v>
      </x:c>
      <x:c r="C1630" s="23" t="n">
        <x:v>0.6568269</x:v>
      </x:c>
      <x:c r="D1630" s="23" t="n">
        <x:v>2.804881</x:v>
      </x:c>
      <x:c r="E1630" s="23" t="n">
        <x:f>'Parameters'!$B$2*'Parameters'!$B$3*LN(4*PI()*C1630^2)</x:f>
        <x:v>4.190316705517132</x:v>
      </x:c>
      <x:c r="F1630" s="23" t="n">
        <x:f>D1630+E1630</x:f>
        <x:v>6.995197705517132</x:v>
      </x:c>
      <x:c r="G1630" s="23" t="n">
        <x:f>AVERAGE($F$1742:$F$1766)</x:f>
        <x:v>7.973833075519117</x:v>
      </x:c>
      <x:c r="H1630" s="24" t="n">
        <x:f>F1630-G1630</x:f>
        <x:v>-0.9786353700019852</x:v>
      </x:c>
    </x:row>
    <x:row r="1631">
      <x:c r="A1631" s="2" t="str">
        <x:v>LiND-Hybrid</x:v>
      </x:c>
      <x:c r="B1631" s="4" t="str">
        <x:v>LiCl</x:v>
      </x:c>
      <x:c r="C1631" s="23" t="n">
        <x:v>0.6691607</x:v>
      </x:c>
      <x:c r="D1631" s="23" t="n">
        <x:v>2.65827</x:v>
      </x:c>
      <x:c r="E1631" s="23" t="n">
        <x:f>'Parameters'!$B$2*'Parameters'!$B$3*LN(4*PI()*C1631^2)</x:f>
        <x:v>4.282552385657807</x:v>
      </x:c>
      <x:c r="F1631" s="23" t="n">
        <x:f>D1631+E1631</x:f>
        <x:v>6.940822385657807</x:v>
      </x:c>
      <x:c r="G1631" s="23" t="n">
        <x:f>AVERAGE($F$1742:$F$1766)</x:f>
        <x:v>7.973833075519117</x:v>
      </x:c>
      <x:c r="H1631" s="24" t="n">
        <x:f>F1631-G1631</x:f>
        <x:v>-1.0330106898613103</x:v>
      </x:c>
    </x:row>
    <x:row r="1632">
      <x:c r="A1632" s="2" t="str">
        <x:v>LiND-Hybrid</x:v>
      </x:c>
      <x:c r="B1632" s="4" t="str">
        <x:v>LiCl</x:v>
      </x:c>
      <x:c r="C1632" s="23" t="n">
        <x:v>0.6814944</x:v>
      </x:c>
      <x:c r="D1632" s="23" t="n">
        <x:v>2.624202</x:v>
      </x:c>
      <x:c r="E1632" s="23" t="n">
        <x:f>'Parameters'!$B$2*'Parameters'!$B$3*LN(4*PI()*C1632^2)</x:f>
        <x:v>4.373102703653971</x:v>
      </x:c>
      <x:c r="F1632" s="23" t="n">
        <x:f>D1632+E1632</x:f>
        <x:v>6.99730470365397</x:v>
      </x:c>
      <x:c r="G1632" s="23" t="n">
        <x:f>AVERAGE($F$1742:$F$1766)</x:f>
        <x:v>7.973833075519117</x:v>
      </x:c>
      <x:c r="H1632" s="24" t="n">
        <x:f>F1632-G1632</x:f>
        <x:v>-0.9765283718651467</x:v>
      </x:c>
    </x:row>
    <x:row r="1633">
      <x:c r="A1633" s="2" t="str">
        <x:v>LiND-Hybrid</x:v>
      </x:c>
      <x:c r="B1633" s="4" t="str">
        <x:v>LiCl</x:v>
      </x:c>
      <x:c r="C1633" s="23" t="n">
        <x:v>0.6938282</x:v>
      </x:c>
      <x:c r="D1633" s="23" t="n">
        <x:v>2.577544</x:v>
      </x:c>
      <x:c r="E1633" s="23" t="n">
        <x:f>'Parameters'!$B$2*'Parameters'!$B$3*LN(4*PI()*C1633^2)</x:f>
        <x:v>4.462029563149663</x:v>
      </x:c>
      <x:c r="F1633" s="23" t="n">
        <x:f>D1633+E1633</x:f>
        <x:v>7.039573563149663</x:v>
      </x:c>
      <x:c r="G1633" s="23" t="n">
        <x:f>AVERAGE($F$1742:$F$1766)</x:f>
        <x:v>7.973833075519117</x:v>
      </x:c>
      <x:c r="H1633" s="24" t="n">
        <x:f>F1633-G1633</x:f>
        <x:v>-0.9342595123694544</x:v>
      </x:c>
    </x:row>
    <x:row r="1634">
      <x:c r="A1634" s="2" t="str">
        <x:v>LiND-Hybrid</x:v>
      </x:c>
      <x:c r="B1634" s="4" t="str">
        <x:v>LiCl</x:v>
      </x:c>
      <x:c r="C1634" s="23" t="n">
        <x:v>0.7061619</x:v>
      </x:c>
      <x:c r="D1634" s="23" t="n">
        <x:v>2.525261</x:v>
      </x:c>
      <x:c r="E1634" s="23" t="n">
        <x:f>'Parameters'!$B$2*'Parameters'!$B$3*LN(4*PI()*C1634^2)</x:f>
        <x:v>4.54938876191979</x:v>
      </x:c>
      <x:c r="F1634" s="23" t="n">
        <x:f>D1634+E1634</x:f>
        <x:v>7.07464976191979</x:v>
      </x:c>
      <x:c r="G1634" s="23" t="n">
        <x:f>AVERAGE($F$1742:$F$1766)</x:f>
        <x:v>7.973833075519117</x:v>
      </x:c>
      <x:c r="H1634" s="24" t="n">
        <x:f>F1634-G1634</x:f>
        <x:v>-0.8991833135993268</x:v>
      </x:c>
    </x:row>
    <x:row r="1635">
      <x:c r="A1635" s="2" t="str">
        <x:v>LiND-Hybrid</x:v>
      </x:c>
      <x:c r="B1635" s="4" t="str">
        <x:v>LiCl</x:v>
      </x:c>
      <x:c r="C1635" s="23" t="n">
        <x:v>0.7184957</x:v>
      </x:c>
      <x:c r="D1635" s="23" t="n">
        <x:v>2.446893</x:v>
      </x:c>
      <x:c r="E1635" s="23" t="n">
        <x:f>'Parameters'!$B$2*'Parameters'!$B$3*LN(4*PI()*C1635^2)</x:f>
        <x:v>4.635235983350511</x:v>
      </x:c>
      <x:c r="F1635" s="23" t="n">
        <x:f>D1635+E1635</x:f>
        <x:v>7.082128983350511</x:v>
      </x:c>
      <x:c r="G1635" s="23" t="n">
        <x:f>AVERAGE($F$1742:$F$1766)</x:f>
        <x:v>7.973833075519117</x:v>
      </x:c>
      <x:c r="H1635" s="24" t="n">
        <x:f>F1635-G1635</x:f>
        <x:v>-0.8917040921686059</x:v>
      </x:c>
    </x:row>
    <x:row r="1636">
      <x:c r="A1636" s="2" t="str">
        <x:v>LiND-Hybrid</x:v>
      </x:c>
      <x:c r="B1636" s="4" t="str">
        <x:v>LiCl</x:v>
      </x:c>
      <x:c r="C1636" s="23" t="n">
        <x:v>0.7308294</x:v>
      </x:c>
      <x:c r="D1636" s="23" t="n">
        <x:v>2.41683</x:v>
      </x:c>
      <x:c r="E1636" s="23" t="n">
        <x:f>'Parameters'!$B$2*'Parameters'!$B$3*LN(4*PI()*C1636^2)</x:f>
        <x:v>4.71962133047761</x:v>
      </x:c>
      <x:c r="F1636" s="23" t="n">
        <x:f>D1636+E1636</x:f>
        <x:v>7.13645133047761</x:v>
      </x:c>
      <x:c r="G1636" s="23" t="n">
        <x:f>AVERAGE($F$1742:$F$1766)</x:f>
        <x:v>7.973833075519117</x:v>
      </x:c>
      <x:c r="H1636" s="24" t="n">
        <x:f>F1636-G1636</x:f>
        <x:v>-0.8373817450415073</x:v>
      </x:c>
    </x:row>
    <x:row r="1637">
      <x:c r="A1637" s="2" t="str">
        <x:v>LiND-Hybrid</x:v>
      </x:c>
      <x:c r="B1637" s="4" t="str">
        <x:v>LiCl</x:v>
      </x:c>
      <x:c r="C1637" s="23" t="n">
        <x:v>0.7431632</x:v>
      </x:c>
      <x:c r="D1637" s="23" t="n">
        <x:v>2.53574</x:v>
      </x:c>
      <x:c r="E1637" s="23" t="n">
        <x:f>'Parameters'!$B$2*'Parameters'!$B$3*LN(4*PI()*C1637^2)</x:f>
        <x:v>4.802595081716769</x:v>
      </x:c>
      <x:c r="F1637" s="23" t="n">
        <x:f>D1637+E1637</x:f>
        <x:v>7.338335081716769</x:v>
      </x:c>
      <x:c r="G1637" s="23" t="n">
        <x:f>AVERAGE($F$1742:$F$1766)</x:f>
        <x:v>7.973833075519117</x:v>
      </x:c>
      <x:c r="H1637" s="24" t="n">
        <x:f>F1637-G1637</x:f>
        <x:v>-0.635497993802348</x:v>
      </x:c>
    </x:row>
    <x:row r="1638">
      <x:c r="A1638" s="2" t="str">
        <x:v>LiND-Hybrid</x:v>
      </x:c>
      <x:c r="B1638" s="4" t="str">
        <x:v>LiCl</x:v>
      </x:c>
      <x:c r="C1638" s="23" t="n">
        <x:v>0.7554969</x:v>
      </x:c>
      <x:c r="D1638" s="23" t="n">
        <x:v>2.52947</x:v>
      </x:c>
      <x:c r="E1638" s="23" t="n">
        <x:f>'Parameters'!$B$2*'Parameters'!$B$3*LN(4*PI()*C1638^2)</x:f>
        <x:v>4.884202385783083</x:v>
      </x:c>
      <x:c r="F1638" s="23" t="n">
        <x:f>D1638+E1638</x:f>
        <x:v>7.413672385783083</x:v>
      </x:c>
      <x:c r="G1638" s="23" t="n">
        <x:f>AVERAGE($F$1742:$F$1766)</x:f>
        <x:v>7.973833075519117</x:v>
      </x:c>
      <x:c r="H1638" s="24" t="n">
        <x:f>F1638-G1638</x:f>
        <x:v>-0.5601606897360343</x:v>
      </x:c>
    </x:row>
    <x:row r="1639">
      <x:c r="A1639" s="2" t="str">
        <x:v>LiND-Hybrid</x:v>
      </x:c>
      <x:c r="B1639" s="4" t="str">
        <x:v>LiCl</x:v>
      </x:c>
      <x:c r="C1639" s="23" t="n">
        <x:v>0.7678307</x:v>
      </x:c>
      <x:c r="D1639" s="23" t="n">
        <x:v>2.610541</x:v>
      </x:c>
      <x:c r="E1639" s="23" t="n">
        <x:f>'Parameters'!$B$2*'Parameters'!$B$3*LN(4*PI()*C1639^2)</x:f>
        <x:v>4.96448880179477</x:v>
      </x:c>
      <x:c r="F1639" s="23" t="n">
        <x:f>D1639+E1639</x:f>
        <x:v>7.57502980179477</x:v>
      </x:c>
      <x:c r="G1639" s="23" t="n">
        <x:f>AVERAGE($F$1742:$F$1766)</x:f>
        <x:v>7.973833075519117</x:v>
      </x:c>
      <x:c r="H1639" s="24" t="n">
        <x:f>F1639-G1639</x:f>
        <x:v>-0.3988032737243472</x:v>
      </x:c>
    </x:row>
    <x:row r="1640">
      <x:c r="A1640" s="2" t="str">
        <x:v>LiND-Hybrid</x:v>
      </x:c>
      <x:c r="B1640" s="4" t="str">
        <x:v>LiCl</x:v>
      </x:c>
      <x:c r="C1640" s="23" t="n">
        <x:v>0.7801644</x:v>
      </x:c>
      <x:c r="D1640" s="23" t="n">
        <x:v>2.689601</x:v>
      </x:c>
      <x:c r="E1640" s="23" t="n">
        <x:f>'Parameters'!$B$2*'Parameters'!$B$3*LN(4*PI()*C1640^2)</x:f>
        <x:v>5.043495148307039</x:v>
      </x:c>
      <x:c r="F1640" s="23" t="n">
        <x:f>D1640+E1640</x:f>
        <x:v>7.733096148307039</x:v>
      </x:c>
      <x:c r="G1640" s="23" t="n">
        <x:f>AVERAGE($F$1742:$F$1766)</x:f>
        <x:v>7.973833075519117</x:v>
      </x:c>
      <x:c r="H1640" s="24" t="n">
        <x:f>F1640-G1640</x:f>
        <x:v>-0.24073692721207784</x:v>
      </x:c>
    </x:row>
    <x:row r="1641">
      <x:c r="A1641" s="2" t="str">
        <x:v>LiND-Hybrid</x:v>
      </x:c>
      <x:c r="B1641" s="4" t="str">
        <x:v>LiCl</x:v>
      </x:c>
      <x:c r="C1641" s="23" t="n">
        <x:v>0.7924982</x:v>
      </x:c>
      <x:c r="D1641" s="23" t="n">
        <x:v>2.681451</x:v>
      </x:c>
      <x:c r="E1641" s="23" t="n">
        <x:f>'Parameters'!$B$2*'Parameters'!$B$3*LN(4*PI()*C1641^2)</x:f>
        <x:v>5.121262845180322</x:v>
      </x:c>
      <x:c r="F1641" s="23" t="n">
        <x:f>D1641+E1641</x:f>
        <x:v>7.802713845180322</x:v>
      </x:c>
      <x:c r="G1641" s="23" t="n">
        <x:f>AVERAGE($F$1742:$F$1766)</x:f>
        <x:v>7.973833075519117</x:v>
      </x:c>
      <x:c r="H1641" s="24" t="n">
        <x:f>F1641-G1641</x:f>
        <x:v>-0.17111923033879517</x:v>
      </x:c>
    </x:row>
    <x:row r="1642">
      <x:c r="A1642" s="2" t="str">
        <x:v>LiND-Hybrid</x:v>
      </x:c>
      <x:c r="B1642" s="4" t="str">
        <x:v>LiCl</x:v>
      </x:c>
      <x:c r="C1642" s="23" t="n">
        <x:v>0.8048319</x:v>
      </x:c>
      <x:c r="D1642" s="23" t="n">
        <x:v>2.715137</x:v>
      </x:c>
      <x:c r="E1642" s="23" t="n">
        <x:f>'Parameters'!$B$2*'Parameters'!$B$3*LN(4*PI()*C1642^2)</x:f>
        <x:v>5.197828909932505</x:v>
      </x:c>
      <x:c r="F1642" s="23" t="n">
        <x:f>D1642+E1642</x:f>
        <x:v>7.912965909932504</x:v>
      </x:c>
      <x:c r="G1642" s="23" t="n">
        <x:f>AVERAGE($F$1742:$F$1766)</x:f>
        <x:v>7.973833075519117</x:v>
      </x:c>
      <x:c r="H1642" s="24" t="n">
        <x:f>F1642-G1642</x:f>
        <x:v>-0.06086716558661287</x:v>
      </x:c>
    </x:row>
    <x:row r="1643">
      <x:c r="A1643" s="2" t="str">
        <x:v>LiND-Hybrid</x:v>
      </x:c>
      <x:c r="B1643" s="4" t="str">
        <x:v>LiCl</x:v>
      </x:c>
      <x:c r="C1643" s="23" t="n">
        <x:v>0.8171657</x:v>
      </x:c>
      <x:c r="D1643" s="23" t="n">
        <x:v>2.566185</x:v>
      </x:c>
      <x:c r="E1643" s="23" t="n">
        <x:f>'Parameters'!$B$2*'Parameters'!$B$3*LN(4*PI()*C1643^2)</x:f>
        <x:v>5.273231116530881</x:v>
      </x:c>
      <x:c r="F1643" s="23" t="n">
        <x:f>D1643+E1643</x:f>
        <x:v>7.839416116530881</x:v>
      </x:c>
      <x:c r="G1643" s="23" t="n">
        <x:f>AVERAGE($F$1742:$F$1766)</x:f>
        <x:v>7.973833075519117</x:v>
      </x:c>
      <x:c r="H1643" s="24" t="n">
        <x:f>F1643-G1643</x:f>
        <x:v>-0.13441695898823625</x:v>
      </x:c>
    </x:row>
    <x:row r="1644">
      <x:c r="A1644" s="2" t="str">
        <x:v>LiND-Hybrid</x:v>
      </x:c>
      <x:c r="B1644" s="4" t="str">
        <x:v>LiCl</x:v>
      </x:c>
      <x:c r="C1644" s="23" t="n">
        <x:v>0.8294994</x:v>
      </x:c>
      <x:c r="D1644" s="23" t="n">
        <x:v>2.666722</x:v>
      </x:c>
      <x:c r="E1644" s="23" t="n">
        <x:f>'Parameters'!$B$2*'Parameters'!$B$3*LN(4*PI()*C1644^2)</x:f>
        <x:v>5.347503132376566</x:v>
      </x:c>
      <x:c r="F1644" s="23" t="n">
        <x:f>D1644+E1644</x:f>
        <x:v>8.014225132376566</x:v>
      </x:c>
      <x:c r="G1644" s="23" t="n">
        <x:f>AVERAGE($F$1742:$F$1766)</x:f>
        <x:v>7.973833075519117</x:v>
      </x:c>
      <x:c r="H1644" s="24" t="n">
        <x:f>F1644-G1644</x:f>
        <x:v>0.04039205685744918</x:v>
      </x:c>
    </x:row>
    <x:row r="1645">
      <x:c r="A1645" s="2" t="str">
        <x:v>LiND-Hybrid</x:v>
      </x:c>
      <x:c r="B1645" s="4" t="str">
        <x:v>LiCl</x:v>
      </x:c>
      <x:c r="C1645" s="23" t="n">
        <x:v>0.8418332</x:v>
      </x:c>
      <x:c r="D1645" s="23" t="n">
        <x:v>2.525896</x:v>
      </x:c>
      <x:c r="E1645" s="23" t="n">
        <x:f>'Parameters'!$B$2*'Parameters'!$B$3*LN(4*PI()*C1645^2)</x:f>
        <x:v>5.420679507336329</x:v>
      </x:c>
      <x:c r="F1645" s="23" t="n">
        <x:f>D1645+E1645</x:f>
        <x:v>7.946575507336329</x:v>
      </x:c>
      <x:c r="G1645" s="23" t="n">
        <x:f>AVERAGE($F$1742:$F$1766)</x:f>
        <x:v>7.973833075519117</x:v>
      </x:c>
      <x:c r="H1645" s="24" t="n">
        <x:f>F1645-G1645</x:f>
        <x:v>-0.02725756818278846</x:v>
      </x:c>
    </x:row>
    <x:row r="1646">
      <x:c r="A1646" s="2" t="str">
        <x:v>LiND-Hybrid</x:v>
      </x:c>
      <x:c r="B1646" s="4" t="str">
        <x:v>LiCl</x:v>
      </x:c>
      <x:c r="C1646" s="23" t="n">
        <x:v>0.8541669</x:v>
      </x:c>
      <x:c r="D1646" s="23" t="n">
        <x:v>2.581792</x:v>
      </x:c>
      <x:c r="E1646" s="23" t="n">
        <x:f>'Parameters'!$B$2*'Parameters'!$B$3*LN(4*PI()*C1646^2)</x:f>
        <x:v>5.492790944870891</x:v>
      </x:c>
      <x:c r="F1646" s="23" t="n">
        <x:f>D1646+E1646</x:f>
        <x:v>8.07458294487089</x:v>
      </x:c>
      <x:c r="G1646" s="23" t="n">
        <x:f>AVERAGE($F$1742:$F$1766)</x:f>
        <x:v>7.973833075519117</x:v>
      </x:c>
      <x:c r="H1646" s="24" t="n">
        <x:f>F1646-G1646</x:f>
        <x:v>0.10074986935177321</x:v>
      </x:c>
    </x:row>
    <x:row r="1647">
      <x:c r="A1647" s="2" t="str">
        <x:v>LiND-Hybrid</x:v>
      </x:c>
      <x:c r="B1647" s="4" t="str">
        <x:v>LiCl</x:v>
      </x:c>
      <x:c r="C1647" s="23" t="n">
        <x:v>0.8665007</x:v>
      </x:c>
      <x:c r="D1647" s="23" t="n">
        <x:v>2.483272</x:v>
      </x:c>
      <x:c r="E1647" s="23" t="n">
        <x:f>'Parameters'!$B$2*'Parameters'!$B$3*LN(4*PI()*C1647^2)</x:f>
        <x:v>5.563869133085579</x:v>
      </x:c>
      <x:c r="F1647" s="23" t="n">
        <x:f>D1647+E1647</x:f>
        <x:v>8.04714113308558</x:v>
      </x:c>
      <x:c r="G1647" s="23" t="n">
        <x:f>AVERAGE($F$1742:$F$1766)</x:f>
        <x:v>7.973833075519117</x:v>
      </x:c>
      <x:c r="H1647" s="24" t="n">
        <x:f>F1647-G1647</x:f>
        <x:v>0.07330805756646264</x:v>
      </x:c>
    </x:row>
    <x:row r="1648">
      <x:c r="A1648" s="2" t="str">
        <x:v>LiND-Hybrid</x:v>
      </x:c>
      <x:c r="B1648" s="4" t="str">
        <x:v>LiCl</x:v>
      </x:c>
      <x:c r="C1648" s="23" t="n">
        <x:v>0.8788344</x:v>
      </x:c>
      <x:c r="D1648" s="23" t="n">
        <x:v>2.39199</x:v>
      </x:c>
      <x:c r="E1648" s="23" t="n">
        <x:f>'Parameters'!$B$2*'Parameters'!$B$3*LN(4*PI()*C1648^2)</x:f>
        <x:v>5.633942143765396</x:v>
      </x:c>
      <x:c r="F1648" s="23" t="n">
        <x:f>D1648+E1648</x:f>
        <x:v>8.025932143765395</x:v>
      </x:c>
      <x:c r="G1648" s="23" t="n">
        <x:f>AVERAGE($F$1742:$F$1766)</x:f>
        <x:v>7.973833075519117</x:v>
      </x:c>
      <x:c r="H1648" s="24" t="n">
        <x:f>F1648-G1648</x:f>
        <x:v>0.05209906824627808</x:v>
      </x:c>
    </x:row>
    <x:row r="1649">
      <x:c r="A1649" s="2" t="str">
        <x:v>LiND-Hybrid</x:v>
      </x:c>
      <x:c r="B1649" s="4" t="str">
        <x:v>LiCl</x:v>
      </x:c>
      <x:c r="C1649" s="23" t="n">
        <x:v>0.8911682</x:v>
      </x:c>
      <x:c r="D1649" s="23" t="n">
        <x:v>2.428089</x:v>
      </x:c>
      <x:c r="E1649" s="23" t="n">
        <x:f>'Parameters'!$B$2*'Parameters'!$B$3*LN(4*PI()*C1649^2)</x:f>
        <x:v>5.703039115929332</x:v>
      </x:c>
      <x:c r="F1649" s="23" t="n">
        <x:f>D1649+E1649</x:f>
        <x:v>8.131128115929332</x:v>
      </x:c>
      <x:c r="G1649" s="23" t="n">
        <x:f>AVERAGE($F$1742:$F$1766)</x:f>
        <x:v>7.973833075519117</x:v>
      </x:c>
      <x:c r="H1649" s="24" t="n">
        <x:f>F1649-G1649</x:f>
        <x:v>0.15729504041021514</x:v>
      </x:c>
    </x:row>
    <x:row r="1650">
      <x:c r="A1650" s="2" t="str">
        <x:v>LiND-Hybrid</x:v>
      </x:c>
      <x:c r="B1650" s="4" t="str">
        <x:v>LiCl</x:v>
      </x:c>
      <x:c r="C1650" s="23" t="n">
        <x:v>0.9035019</x:v>
      </x:c>
      <x:c r="D1650" s="23" t="n">
        <x:v>2.33287</x:v>
      </x:c>
      <x:c r="E1650" s="23" t="n">
        <x:f>'Parameters'!$B$2*'Parameters'!$B$3*LN(4*PI()*C1650^2)</x:f>
        <x:v>5.77118577681603</x:v>
      </x:c>
      <x:c r="F1650" s="23" t="n">
        <x:f>D1650+E1650</x:f>
        <x:v>8.10405577681603</x:v>
      </x:c>
      <x:c r="G1650" s="23" t="n">
        <x:f>AVERAGE($F$1742:$F$1766)</x:f>
        <x:v>7.973833075519117</x:v>
      </x:c>
      <x:c r="H1650" s="24" t="n">
        <x:f>F1650-G1650</x:f>
        <x:v>0.1302227012969137</x:v>
      </x:c>
    </x:row>
    <x:row r="1651">
      <x:c r="A1651" s="2" t="str">
        <x:v>LiND-Hybrid</x:v>
      </x:c>
      <x:c r="B1651" s="4" t="str">
        <x:v>LiCl</x:v>
      </x:c>
      <x:c r="C1651" s="23" t="n">
        <x:v>0.9158357</x:v>
      </x:c>
      <x:c r="D1651" s="23" t="n">
        <x:v>2.462342</x:v>
      </x:c>
      <x:c r="E1651" s="23" t="n">
        <x:f>'Parameters'!$B$2*'Parameters'!$B$3*LN(4*PI()*C1651^2)</x:f>
        <x:v>5.838408987327822</x:v>
      </x:c>
      <x:c r="F1651" s="23" t="n">
        <x:f>D1651+E1651</x:f>
        <x:v>8.300750987327822</x:v>
      </x:c>
      <x:c r="G1651" s="23" t="n">
        <x:f>AVERAGE($F$1742:$F$1766)</x:f>
        <x:v>7.973833075519117</x:v>
      </x:c>
      <x:c r="H1651" s="24" t="n">
        <x:f>F1651-G1651</x:f>
        <x:v>0.3269179118087049</x:v>
      </x:c>
    </x:row>
    <x:row r="1652">
      <x:c r="A1652" s="2" t="str">
        <x:v>LiND-Hybrid</x:v>
      </x:c>
      <x:c r="B1652" s="4" t="str">
        <x:v>LiCl</x:v>
      </x:c>
      <x:c r="C1652" s="23" t="n">
        <x:v>0.9281694</x:v>
      </x:c>
      <x:c r="D1652" s="23" t="n">
        <x:v>2.440655</x:v>
      </x:c>
      <x:c r="E1652" s="23" t="n">
        <x:f>'Parameters'!$B$2*'Parameters'!$B$3*LN(4*PI()*C1652^2)</x:f>
        <x:v>5.9047323793054245</x:v>
      </x:c>
      <x:c r="F1652" s="23" t="n">
        <x:f>D1652+E1652</x:f>
        <x:v>8.345387379305425</x:v>
      </x:c>
      <x:c r="G1652" s="23" t="n">
        <x:f>AVERAGE($F$1742:$F$1766)</x:f>
        <x:v>7.973833075519117</x:v>
      </x:c>
      <x:c r="H1652" s="24" t="n">
        <x:f>F1652-G1652</x:f>
        <x:v>0.3715543037863078</x:v>
      </x:c>
    </x:row>
    <x:row r="1653">
      <x:c r="A1653" s="2" t="str">
        <x:v>LiND-Hybrid</x:v>
      </x:c>
      <x:c r="B1653" s="4" t="str">
        <x:v>LiCl</x:v>
      </x:c>
      <x:c r="C1653" s="23" t="n">
        <x:v>0.9405032</x:v>
      </x:c>
      <x:c r="D1653" s="23" t="n">
        <x:v>2.229313</x:v>
      </x:c>
      <x:c r="E1653" s="23" t="n">
        <x:f>'Parameters'!$B$2*'Parameters'!$B$3*LN(4*PI()*C1653^2)</x:f>
        <x:v>5.970180771307564</x:v>
      </x:c>
      <x:c r="F1653" s="23" t="n">
        <x:f>D1653+E1653</x:f>
        <x:v>8.199493771307564</x:v>
      </x:c>
      <x:c r="G1653" s="23" t="n">
        <x:f>AVERAGE($F$1742:$F$1766)</x:f>
        <x:v>7.973833075519117</x:v>
      </x:c>
      <x:c r="H1653" s="24" t="n">
        <x:f>F1653-G1653</x:f>
        <x:v>0.22566069578844683</x:v>
      </x:c>
    </x:row>
    <x:row r="1654">
      <x:c r="A1654" s="2" t="str">
        <x:v>LiND-Hybrid</x:v>
      </x:c>
      <x:c r="B1654" s="4" t="str">
        <x:v>LiCl</x:v>
      </x:c>
      <x:c r="C1654" s="23" t="n">
        <x:v>0.9528369</x:v>
      </x:c>
      <x:c r="D1654" s="23" t="n">
        <x:v>2.28432</x:v>
      </x:c>
      <x:c r="E1654" s="23" t="n">
        <x:f>'Parameters'!$B$2*'Parameters'!$B$3*LN(4*PI()*C1654^2)</x:f>
        <x:v>6.03477591681067</x:v>
      </x:c>
      <x:c r="F1654" s="23" t="n">
        <x:f>D1654+E1654</x:f>
        <x:v>8.31909591681067</x:v>
      </x:c>
      <x:c r="G1654" s="23" t="n">
        <x:f>AVERAGE($F$1742:$F$1766)</x:f>
        <x:v>7.973833075519117</x:v>
      </x:c>
      <x:c r="H1654" s="24" t="n">
        <x:f>F1654-G1654</x:f>
        <x:v>0.3452628412915537</x:v>
      </x:c>
    </x:row>
    <x:row r="1655">
      <x:c r="A1655" s="2" t="str">
        <x:v>LiND-Hybrid</x:v>
      </x:c>
      <x:c r="B1655" s="4" t="str">
        <x:v>LiCl</x:v>
      </x:c>
      <x:c r="C1655" s="23" t="n">
        <x:v>0.9651707</x:v>
      </x:c>
      <x:c r="D1655" s="23" t="n">
        <x:v>2.371595</x:v>
      </x:c>
      <x:c r="E1655" s="23" t="n">
        <x:f>'Parameters'!$B$2*'Parameters'!$B$3*LN(4*PI()*C1655^2)</x:f>
        <x:v>6.098540797959535</x:v>
      </x:c>
      <x:c r="F1655" s="23" t="n">
        <x:f>D1655+E1655</x:f>
        <x:v>8.470135797959536</x:v>
      </x:c>
      <x:c r="G1655" s="23" t="n">
        <x:f>AVERAGE($F$1742:$F$1766)</x:f>
        <x:v>7.973833075519117</x:v>
      </x:c>
      <x:c r="H1655" s="24" t="n">
        <x:f>F1655-G1655</x:f>
        <x:v>0.4963027224404186</x:v>
      </x:c>
    </x:row>
    <x:row r="1656">
      <x:c r="A1656" s="2" t="str">
        <x:v>LiND-Hybrid</x:v>
      </x:c>
      <x:c r="B1656" s="4" t="str">
        <x:v>LiCl</x:v>
      </x:c>
      <x:c r="C1656" s="23" t="n">
        <x:v>0.9775044</x:v>
      </x:c>
      <x:c r="D1656" s="23" t="n">
        <x:v>2.168543</x:v>
      </x:c>
      <x:c r="E1656" s="23" t="n">
        <x:f>'Parameters'!$B$2*'Parameters'!$B$3*LN(4*PI()*C1656^2)</x:f>
        <x:v>6.161495479621337</x:v>
      </x:c>
      <x:c r="F1656" s="23" t="n">
        <x:f>D1656+E1656</x:f>
        <x:v>8.330038479621336</x:v>
      </x:c>
      <x:c r="G1656" s="23" t="n">
        <x:f>AVERAGE($F$1742:$F$1766)</x:f>
        <x:v>7.973833075519117</x:v>
      </x:c>
      <x:c r="H1656" s="24" t="n">
        <x:f>F1656-G1656</x:f>
        <x:v>0.35620540410221935</x:v>
      </x:c>
    </x:row>
    <x:row r="1657">
      <x:c r="A1657" s="2" t="str">
        <x:v>LiND-Hybrid</x:v>
      </x:c>
      <x:c r="B1657" s="4" t="str">
        <x:v>LiCl</x:v>
      </x:c>
      <x:c r="C1657" s="23" t="n">
        <x:v>0.9898382</x:v>
      </x:c>
      <x:c r="D1657" s="23" t="n">
        <x:v>2.056731</x:v>
      </x:c>
      <x:c r="E1657" s="23" t="n">
        <x:f>'Parameters'!$B$2*'Parameters'!$B$3*LN(4*PI()*C1657^2)</x:f>
        <x:v>6.223661288039637</x:v>
      </x:c>
      <x:c r="F1657" s="23" t="n">
        <x:f>D1657+E1657</x:f>
        <x:v>8.280392288039637</x:v>
      </x:c>
      <x:c r="G1657" s="23" t="n">
        <x:f>AVERAGE($F$1742:$F$1766)</x:f>
        <x:v>7.973833075519117</x:v>
      </x:c>
      <x:c r="H1657" s="24" t="n">
        <x:f>F1657-G1657</x:f>
        <x:v>0.3065592125205203</x:v>
      </x:c>
    </x:row>
    <x:row r="1658">
      <x:c r="A1658" s="2" t="str">
        <x:v>LiND-Hybrid</x:v>
      </x:c>
      <x:c r="B1658" s="4" t="str">
        <x:v>LiCl</x:v>
      </x:c>
      <x:c r="C1658" s="23" t="n">
        <x:v>1.002172</x:v>
      </x:c>
      <x:c r="D1658" s="23" t="n">
        <x:v>1.894694</x:v>
      </x:c>
      <x:c r="E1658" s="23" t="n">
        <x:f>'Parameters'!$B$2*'Parameters'!$B$3*LN(4*PI()*C1658^2)</x:f>
        <x:v>6.285057260673559</x:v>
      </x:c>
      <x:c r="F1658" s="23" t="n">
        <x:f>D1658+E1658</x:f>
        <x:v>8.179751260673559</x:v>
      </x:c>
      <x:c r="G1658" s="23" t="n">
        <x:f>AVERAGE($F$1742:$F$1766)</x:f>
        <x:v>7.973833075519117</x:v>
      </x:c>
      <x:c r="H1658" s="24" t="n">
        <x:f>F1658-G1658</x:f>
        <x:v>0.2059181851544416</x:v>
      </x:c>
    </x:row>
    <x:row r="1659">
      <x:c r="A1659" s="2" t="str">
        <x:v>LiND-Hybrid</x:v>
      </x:c>
      <x:c r="B1659" s="4" t="str">
        <x:v>LiCl</x:v>
      </x:c>
      <x:c r="C1659" s="23" t="n">
        <x:v>1.014506</x:v>
      </x:c>
      <x:c r="D1659" s="23" t="n">
        <x:v>1.817415</x:v>
      </x:c>
      <x:c r="E1659" s="23" t="n">
        <x:f>'Parameters'!$B$2*'Parameters'!$B$3*LN(4*PI()*C1659^2)</x:f>
        <x:v>6.345703208596099</x:v>
      </x:c>
      <x:c r="F1659" s="23" t="n">
        <x:f>D1659+E1659</x:f>
        <x:v>8.1631182085961</x:v>
      </x:c>
      <x:c r="G1659" s="23" t="n">
        <x:f>AVERAGE($F$1742:$F$1766)</x:f>
        <x:v>7.973833075519117</x:v>
      </x:c>
      <x:c r="H1659" s="24" t="n">
        <x:f>F1659-G1659</x:f>
        <x:v>0.18928513307698225</x:v>
      </x:c>
    </x:row>
    <x:row r="1660">
      <x:c r="A1660" s="2" t="str">
        <x:v>LiND-Hybrid</x:v>
      </x:c>
      <x:c r="B1660" s="4" t="str">
        <x:v>LiCl</x:v>
      </x:c>
      <x:c r="C1660" s="23" t="n">
        <x:v>1.026839</x:v>
      </x:c>
      <x:c r="D1660" s="23" t="n">
        <x:v>1.796687</x:v>
      </x:c>
      <x:c r="E1660" s="23" t="n">
        <x:f>'Parameters'!$B$2*'Parameters'!$B$3*LN(4*PI()*C1660^2)</x:f>
        <x:v>6.405611453474928</x:v>
      </x:c>
      <x:c r="F1660" s="23" t="n">
        <x:f>D1660+E1660</x:f>
        <x:v>8.202298453474928</x:v>
      </x:c>
      <x:c r="G1660" s="23" t="n">
        <x:f>AVERAGE($F$1742:$F$1766)</x:f>
        <x:v>7.973833075519117</x:v>
      </x:c>
      <x:c r="H1660" s="24" t="n">
        <x:f>F1660-G1660</x:f>
        <x:v>0.22846537795581057</x:v>
      </x:c>
    </x:row>
    <x:row r="1661">
      <x:c r="A1661" s="2" t="str">
        <x:v>LiND-Hybrid</x:v>
      </x:c>
      <x:c r="B1661" s="4" t="str">
        <x:v>LiCl</x:v>
      </x:c>
      <x:c r="C1661" s="23" t="n">
        <x:v>1.039173</x:v>
      </x:c>
      <x:c r="D1661" s="23" t="n">
        <x:v>1.499366</x:v>
      </x:c>
      <x:c r="E1661" s="23" t="n">
        <x:f>'Parameters'!$B$2*'Parameters'!$B$3*LN(4*PI()*C1661^2)</x:f>
        <x:v>6.464809210798846</x:v>
      </x:c>
      <x:c r="F1661" s="23" t="n">
        <x:f>D1661+E1661</x:f>
        <x:v>7.964175210798846</x:v>
      </x:c>
      <x:c r="G1661" s="23" t="n">
        <x:f>AVERAGE($F$1742:$F$1766)</x:f>
        <x:v>7.973833075519117</x:v>
      </x:c>
      <x:c r="H1661" s="24" t="n">
        <x:f>F1661-G1661</x:f>
        <x:v>-0.009657864720271192</x:v>
      </x:c>
    </x:row>
    <x:row r="1662">
      <x:c r="A1662" s="2" t="str">
        <x:v>LiND-Hybrid</x:v>
      </x:c>
      <x:c r="B1662" s="4" t="str">
        <x:v>LiCl</x:v>
      </x:c>
      <x:c r="C1662" s="23" t="n">
        <x:v>1.051507</x:v>
      </x:c>
      <x:c r="D1662" s="23" t="n">
        <x:v>1.642159</x:v>
      </x:c>
      <x:c r="E1662" s="23" t="n">
        <x:f>'Parameters'!$B$2*'Parameters'!$B$3*LN(4*PI()*C1662^2)</x:f>
        <x:v>6.523308475592157</x:v>
      </x:c>
      <x:c r="F1662" s="23" t="n">
        <x:f>D1662+E1662</x:f>
        <x:v>8.165467475592157</x:v>
      </x:c>
      <x:c r="G1662" s="23" t="n">
        <x:f>AVERAGE($F$1742:$F$1766)</x:f>
        <x:v>7.973833075519117</x:v>
      </x:c>
      <x:c r="H1662" s="24" t="n">
        <x:f>F1662-G1662</x:f>
        <x:v>0.1916344000730401</x:v>
      </x:c>
    </x:row>
    <x:row r="1663">
      <x:c r="A1663" s="2" t="str">
        <x:v>LiND-Hybrid</x:v>
      </x:c>
      <x:c r="B1663" s="4" t="str">
        <x:v>LiCl</x:v>
      </x:c>
      <x:c r="C1663" s="23" t="n">
        <x:v>1.063841</x:v>
      </x:c>
      <x:c r="D1663" s="23" t="n">
        <x:v>1.411343</x:v>
      </x:c>
      <x:c r="E1663" s="23" t="n">
        <x:f>'Parameters'!$B$2*'Parameters'!$B$3*LN(4*PI()*C1663^2)</x:f>
        <x:v>6.581125539270287</x:v>
      </x:c>
      <x:c r="F1663" s="23" t="n">
        <x:f>D1663+E1663</x:f>
        <x:v>7.992468539270288</x:v>
      </x:c>
      <x:c r="G1663" s="23" t="n">
        <x:f>AVERAGE($F$1742:$F$1766)</x:f>
        <x:v>7.973833075519117</x:v>
      </x:c>
      <x:c r="H1663" s="24" t="n">
        <x:f>F1663-G1663</x:f>
        <x:v>0.018635463751170533</x:v>
      </x:c>
    </x:row>
    <x:row r="1664">
      <x:c r="A1664" s="2" t="str">
        <x:v>LiND-Hybrid</x:v>
      </x:c>
      <x:c r="B1664" s="4" t="str">
        <x:v>LiCl</x:v>
      </x:c>
      <x:c r="C1664" s="23" t="n">
        <x:v>1.076174</x:v>
      </x:c>
      <x:c r="D1664" s="23" t="n">
        <x:v>1.256857</x:v>
      </x:c>
      <x:c r="E1664" s="23" t="n">
        <x:f>'Parameters'!$B$2*'Parameters'!$B$3*LN(4*PI()*C1664^2)</x:f>
        <x:v>6.63827152286933</x:v>
      </x:c>
      <x:c r="F1664" s="23" t="n">
        <x:f>D1664+E1664</x:f>
        <x:v>7.89512852286933</x:v>
      </x:c>
      <x:c r="G1664" s="23" t="n">
        <x:f>AVERAGE($F$1742:$F$1766)</x:f>
        <x:v>7.973833075519117</x:v>
      </x:c>
      <x:c r="H1664" s="24" t="n">
        <x:f>F1664-G1664</x:f>
        <x:v>-0.07870455264978737</x:v>
      </x:c>
    </x:row>
    <x:row r="1665">
      <x:c r="A1665" s="2" t="str">
        <x:v>LiND-Hybrid</x:v>
      </x:c>
      <x:c r="B1665" s="4" t="str">
        <x:v>LiCl</x:v>
      </x:c>
      <x:c r="C1665" s="23" t="n">
        <x:v>1.088508</x:v>
      </x:c>
      <x:c r="D1665" s="23" t="n">
        <x:v>1.148294</x:v>
      </x:c>
      <x:c r="E1665" s="23" t="n">
        <x:f>'Parameters'!$B$2*'Parameters'!$B$3*LN(4*PI()*C1665^2)</x:f>
        <x:v>6.694770882849609</x:v>
      </x:c>
      <x:c r="F1665" s="23" t="n">
        <x:f>D1665+E1665</x:f>
        <x:v>7.843064882849609</x:v>
      </x:c>
      <x:c r="G1665" s="23" t="n">
        <x:f>AVERAGE($F$1742:$F$1766)</x:f>
        <x:v>7.973833075519117</x:v>
      </x:c>
      <x:c r="H1665" s="24" t="n">
        <x:f>F1665-G1665</x:f>
        <x:v>-0.13076819266950857</x:v>
      </x:c>
    </x:row>
    <x:row r="1666">
      <x:c r="A1666" s="2" t="str">
        <x:v>LiND-Hybrid</x:v>
      </x:c>
      <x:c r="B1666" s="4" t="str">
        <x:v>LiCl</x:v>
      </x:c>
      <x:c r="C1666" s="23" t="n">
        <x:v>1.100842</x:v>
      </x:c>
      <x:c r="D1666" s="23" t="n">
        <x:v>1.112276</x:v>
      </x:c>
      <x:c r="E1666" s="23" t="n">
        <x:f>'Parameters'!$B$2*'Parameters'!$B$3*LN(4*PI()*C1666^2)</x:f>
        <x:v>6.750633635677037</x:v>
      </x:c>
      <x:c r="F1666" s="23" t="n">
        <x:f>D1666+E1666</x:f>
        <x:v>7.8629096356770365</x:v>
      </x:c>
      <x:c r="G1666" s="23" t="n">
        <x:f>AVERAGE($F$1742:$F$1766)</x:f>
        <x:v>7.973833075519117</x:v>
      </x:c>
      <x:c r="H1666" s="24" t="n">
        <x:f>F1666-G1666</x:f>
        <x:v>-0.11092343984208064</x:v>
      </x:c>
    </x:row>
    <x:row r="1667">
      <x:c r="A1667" s="2" t="str">
        <x:v>LiND-Hybrid</x:v>
      </x:c>
      <x:c r="B1667" s="4" t="str">
        <x:v>LiCl</x:v>
      </x:c>
      <x:c r="C1667" s="23" t="n">
        <x:v>1.113176</x:v>
      </x:c>
      <x:c r="D1667" s="23" t="n">
        <x:v>0.9660989</x:v>
      </x:c>
      <x:c r="E1667" s="23" t="n">
        <x:f>'Parameters'!$B$2*'Parameters'!$B$3*LN(4*PI()*C1667^2)</x:f>
        <x:v>6.805873967612214</x:v>
      </x:c>
      <x:c r="F1667" s="23" t="n">
        <x:f>D1667+E1667</x:f>
        <x:v>7.771972867612215</x:v>
      </x:c>
      <x:c r="G1667" s="23" t="n">
        <x:f>AVERAGE($F$1742:$F$1766)</x:f>
        <x:v>7.973833075519117</x:v>
      </x:c>
      <x:c r="H1667" s="24" t="n">
        <x:f>F1667-G1667</x:f>
        <x:v>-0.2018602079069023</x:v>
      </x:c>
    </x:row>
    <x:row r="1668">
      <x:c r="A1668" s="2" t="str">
        <x:v>LiND-Hybrid</x:v>
      </x:c>
      <x:c r="B1668" s="4" t="str">
        <x:v>LiCl</x:v>
      </x:c>
      <x:c r="C1668" s="23" t="n">
        <x:v>1.125509</x:v>
      </x:c>
      <x:c r="D1668" s="23" t="n">
        <x:v>0.971325</x:v>
      </x:c>
      <x:c r="E1668" s="23" t="n">
        <x:f>'Parameters'!$B$2*'Parameters'!$B$3*LN(4*PI()*C1668^2)</x:f>
        <x:v>6.860501190903033</x:v>
      </x:c>
      <x:c r="F1668" s="23" t="n">
        <x:f>D1668+E1668</x:f>
        <x:v>7.831826190903033</x:v>
      </x:c>
      <x:c r="G1668" s="23" t="n">
        <x:f>AVERAGE($F$1742:$F$1766)</x:f>
        <x:v>7.973833075519117</x:v>
      </x:c>
      <x:c r="H1668" s="24" t="n">
        <x:f>F1668-G1668</x:f>
        <x:v>-0.1420068846160838</x:v>
      </x:c>
    </x:row>
    <x:row r="1669">
      <x:c r="A1669" s="2" t="str">
        <x:v>LiND-Hybrid</x:v>
      </x:c>
      <x:c r="B1669" s="4" t="str">
        <x:v>LiCl</x:v>
      </x:c>
      <x:c r="C1669" s="23" t="n">
        <x:v>1.137843</x:v>
      </x:c>
      <x:c r="D1669" s="23" t="n">
        <x:v>0.7768321</x:v>
      </x:c>
      <x:c r="E1669" s="23" t="n">
        <x:f>'Parameters'!$B$2*'Parameters'!$B$3*LN(4*PI()*C1669^2)</x:f>
        <x:v>6.914537432139482</x:v>
      </x:c>
      <x:c r="F1669" s="23" t="n">
        <x:f>D1669+E1669</x:f>
        <x:v>7.691369532139482</x:v>
      </x:c>
      <x:c r="G1669" s="23" t="n">
        <x:f>AVERAGE($F$1742:$F$1766)</x:f>
        <x:v>7.973833075519117</x:v>
      </x:c>
      <x:c r="H1669" s="24" t="n">
        <x:f>F1669-G1669</x:f>
        <x:v>-0.2824635433796354</x:v>
      </x:c>
    </x:row>
    <x:row r="1670">
      <x:c r="A1670" s="2" t="str">
        <x:v>LiND-Hybrid</x:v>
      </x:c>
      <x:c r="B1670" s="4" t="str">
        <x:v>LiCl</x:v>
      </x:c>
      <x:c r="C1670" s="23" t="n">
        <x:v>1.150177</x:v>
      </x:c>
      <x:c r="D1670" s="23" t="n">
        <x:v>0.8359989</x:v>
      </x:c>
      <x:c r="E1670" s="23" t="n">
        <x:f>'Parameters'!$B$2*'Parameters'!$B$3*LN(4*PI()*C1670^2)</x:f>
        <x:v>6.967991077085792</x:v>
      </x:c>
      <x:c r="F1670" s="23" t="n">
        <x:f>D1670+E1670</x:f>
        <x:v>7.8039899770857915</x:v>
      </x:c>
      <x:c r="G1670" s="23" t="n">
        <x:f>AVERAGE($F$1742:$F$1766)</x:f>
        <x:v>7.973833075519117</x:v>
      </x:c>
      <x:c r="H1670" s="24" t="n">
        <x:f>F1670-G1670</x:f>
        <x:v>-0.16984309843332568</x:v>
      </x:c>
    </x:row>
    <x:row r="1671">
      <x:c r="A1671" s="2" t="str">
        <x:v>LiND-Hybrid</x:v>
      </x:c>
      <x:c r="B1671" s="4" t="str">
        <x:v>LiCl</x:v>
      </x:c>
      <x:c r="C1671" s="23" t="n">
        <x:v>1.162511</x:v>
      </x:c>
      <x:c r="D1671" s="23" t="n">
        <x:v>0.7581654</x:v>
      </x:c>
      <x:c r="E1671" s="23" t="n">
        <x:f>'Parameters'!$B$2*'Parameters'!$B$3*LN(4*PI()*C1671^2)</x:f>
        <x:v>7.0208745544816</x:v>
      </x:c>
      <x:c r="F1671" s="23" t="n">
        <x:f>D1671+E1671</x:f>
        <x:v>7.7790399544816005</x:v>
      </x:c>
      <x:c r="G1671" s="23" t="n">
        <x:f>AVERAGE($F$1742:$F$1766)</x:f>
        <x:v>7.973833075519117</x:v>
      </x:c>
      <x:c r="H1671" s="24" t="n">
        <x:f>F1671-G1671</x:f>
        <x:v>-0.19479312103751667</x:v>
      </x:c>
    </x:row>
    <x:row r="1672">
      <x:c r="A1672" s="2" t="str">
        <x:v>LiND-Hybrid</x:v>
      </x:c>
      <x:c r="B1672" s="4" t="str">
        <x:v>LiCl</x:v>
      </x:c>
      <x:c r="C1672" s="23" t="n">
        <x:v>1.174844</x:v>
      </x:c>
      <x:c r="D1672" s="23" t="n">
        <x:v>0.503237</x:v>
      </x:c>
      <x:c r="E1672" s="23" t="n">
        <x:f>'Parameters'!$B$2*'Parameters'!$B$3*LN(4*PI()*C1672^2)</x:f>
        <x:v>7.073195679480385</x:v>
      </x:c>
      <x:c r="F1672" s="23" t="n">
        <x:f>D1672+E1672</x:f>
        <x:v>7.576432679480385</x:v>
      </x:c>
      <x:c r="G1672" s="23" t="n">
        <x:f>AVERAGE($F$1742:$F$1766)</x:f>
        <x:v>7.973833075519117</x:v>
      </x:c>
      <x:c r="H1672" s="24" t="n">
        <x:f>F1672-G1672</x:f>
        <x:v>-0.3974003960387318</x:v>
      </x:c>
    </x:row>
    <x:row r="1673">
      <x:c r="A1673" s="2" t="str">
        <x:v>LiND-Hybrid</x:v>
      </x:c>
      <x:c r="B1673" s="4" t="str">
        <x:v>LiCl</x:v>
      </x:c>
      <x:c r="C1673" s="23" t="n">
        <x:v>1.187178</x:v>
      </x:c>
      <x:c r="D1673" s="23" t="n">
        <x:v>0.441984</x:v>
      </x:c>
      <x:c r="E1673" s="23" t="n">
        <x:f>'Parameters'!$B$2*'Parameters'!$B$3*LN(4*PI()*C1673^2)</x:f>
        <x:v>7.124974594172425</x:v>
      </x:c>
      <x:c r="F1673" s="23" t="n">
        <x:f>D1673+E1673</x:f>
        <x:v>7.566958594172425</x:v>
      </x:c>
      <x:c r="G1673" s="23" t="n">
        <x:f>AVERAGE($F$1742:$F$1766)</x:f>
        <x:v>7.973833075519117</x:v>
      </x:c>
      <x:c r="H1673" s="24" t="n">
        <x:f>F1673-G1673</x:f>
        <x:v>-0.40687448134669246</x:v>
      </x:c>
    </x:row>
    <x:row r="1674">
      <x:c r="A1674" s="2" t="str">
        <x:v>LiND-Hybrid</x:v>
      </x:c>
      <x:c r="B1674" s="4" t="str">
        <x:v>LiCl</x:v>
      </x:c>
      <x:c r="C1674" s="23" t="n">
        <x:v>1.199512</x:v>
      </x:c>
      <x:c r="D1674" s="23" t="n">
        <x:v>0.3665853</x:v>
      </x:c>
      <x:c r="E1674" s="23" t="n">
        <x:f>'Parameters'!$B$2*'Parameters'!$B$3*LN(4*PI()*C1674^2)</x:f>
        <x:v>7.1762183303838025</x:v>
      </x:c>
      <x:c r="F1674" s="23" t="n">
        <x:f>D1674+E1674</x:f>
        <x:v>7.542803630383802</x:v>
      </x:c>
      <x:c r="G1674" s="23" t="n">
        <x:f>AVERAGE($F$1742:$F$1766)</x:f>
        <x:v>7.973833075519117</x:v>
      </x:c>
      <x:c r="H1674" s="24" t="n">
        <x:f>F1674-G1674</x:f>
        <x:v>-0.43102944513531494</x:v>
      </x:c>
    </x:row>
    <x:row r="1675">
      <x:c r="A1675" s="2" t="str">
        <x:v>LiND-Hybrid</x:v>
      </x:c>
      <x:c r="B1675" s="4" t="str">
        <x:v>LiCl</x:v>
      </x:c>
      <x:c r="C1675" s="23" t="n">
        <x:v>1.211846</x:v>
      </x:c>
      <x:c r="D1675" s="23" t="n">
        <x:v>0.3956978</x:v>
      </x:c>
      <x:c r="E1675" s="23" t="n">
        <x:f>'Parameters'!$B$2*'Parameters'!$B$3*LN(4*PI()*C1675^2)</x:f>
        <x:v>7.226937838070324</x:v>
      </x:c>
      <x:c r="F1675" s="23" t="n">
        <x:f>D1675+E1675</x:f>
        <x:v>7.6226356380703235</x:v>
      </x:c>
      <x:c r="G1675" s="23" t="n">
        <x:f>AVERAGE($F$1742:$F$1766)</x:f>
        <x:v>7.973833075519117</x:v>
      </x:c>
      <x:c r="H1675" s="24" t="n">
        <x:f>F1675-G1675</x:f>
        <x:v>-0.3511974374487936</x:v>
      </x:c>
    </x:row>
    <x:row r="1676">
      <x:c r="A1676" s="2" t="str">
        <x:v>LiND-Hybrid</x:v>
      </x:c>
      <x:c r="B1676" s="4" t="str">
        <x:v>LiCl</x:v>
      </x:c>
      <x:c r="C1676" s="23" t="n">
        <x:v>1.224179</x:v>
      </x:c>
      <x:c r="D1676" s="23" t="n">
        <x:v>0.3177954</x:v>
      </x:c>
      <x:c r="E1676" s="23" t="n">
        <x:f>'Parameters'!$B$2*'Parameters'!$B$3*LN(4*PI()*C1676^2)</x:f>
        <x:v>7.277139684538236</x:v>
      </x:c>
      <x:c r="F1676" s="23" t="n">
        <x:f>D1676+E1676</x:f>
        <x:v>7.5949350845382355</x:v>
      </x:c>
      <x:c r="G1676" s="23" t="n">
        <x:f>AVERAGE($F$1742:$F$1766)</x:f>
        <x:v>7.973833075519117</x:v>
      </x:c>
      <x:c r="H1676" s="24" t="n">
        <x:f>F1676-G1676</x:f>
        <x:v>-0.3788979909808816</x:v>
      </x:c>
    </x:row>
    <x:row r="1677">
      <x:c r="A1677" s="2" t="str">
        <x:v>LiND-Hybrid</x:v>
      </x:c>
      <x:c r="B1677" s="4" t="str">
        <x:v>LiCl</x:v>
      </x:c>
      <x:c r="C1677" s="23" t="n">
        <x:v>1.236513</x:v>
      </x:c>
      <x:c r="D1677" s="23" t="n">
        <x:v>0.2771915</x:v>
      </x:c>
      <x:c r="E1677" s="23" t="n">
        <x:f>'Parameters'!$B$2*'Parameters'!$B$3*LN(4*PI()*C1677^2)</x:f>
        <x:v>7.326842308139945</x:v>
      </x:c>
      <x:c r="F1677" s="23" t="n">
        <x:f>D1677+E1677</x:f>
        <x:v>7.604033808139945</x:v>
      </x:c>
      <x:c r="G1677" s="23" t="n">
        <x:f>AVERAGE($F$1742:$F$1766)</x:f>
        <x:v>7.973833075519117</x:v>
      </x:c>
      <x:c r="H1677" s="24" t="n">
        <x:f>F1677-G1677</x:f>
        <x:v>-0.36979926737917257</x:v>
      </x:c>
    </x:row>
    <x:row r="1678">
      <x:c r="A1678" s="2" t="str">
        <x:v>LiND-Hybrid</x:v>
      </x:c>
      <x:c r="B1678" s="4" t="str">
        <x:v>LiCl</x:v>
      </x:c>
      <x:c r="C1678" s="23" t="n">
        <x:v>1.248847</x:v>
      </x:c>
      <x:c r="D1678" s="23" t="n">
        <x:v>0.05264806</x:v>
      </x:c>
      <x:c r="E1678" s="23" t="n">
        <x:f>'Parameters'!$B$2*'Parameters'!$B$3*LN(4*PI()*C1678^2)</x:f>
        <x:v>7.3760516090235395</x:v>
      </x:c>
      <x:c r="F1678" s="23" t="n">
        <x:f>D1678+E1678</x:f>
        <x:v>7.42869966902354</x:v>
      </x:c>
      <x:c r="G1678" s="23" t="n">
        <x:f>AVERAGE($F$1742:$F$1766)</x:f>
        <x:v>7.973833075519117</x:v>
      </x:c>
      <x:c r="H1678" s="24" t="n">
        <x:f>F1678-G1678</x:f>
        <x:v>-0.5451334064955775</x:v>
      </x:c>
    </x:row>
    <x:row r="1679">
      <x:c r="A1679" s="2" t="str">
        <x:v>LiND-Hybrid</x:v>
      </x:c>
      <x:c r="B1679" s="4" t="str">
        <x:v>LiCl</x:v>
      </x:c>
      <x:c r="C1679" s="23" t="n">
        <x:v>1.261181</x:v>
      </x:c>
      <x:c r="D1679" s="23" t="n">
        <x:v>0.1111829</x:v>
      </x:c>
      <x:c r="E1679" s="23" t="n">
        <x:f>'Parameters'!$B$2*'Parameters'!$B$3*LN(4*PI()*C1679^2)</x:f>
        <x:v>7.424777283958616</x:v>
      </x:c>
      <x:c r="F1679" s="23" t="n">
        <x:f>D1679+E1679</x:f>
        <x:v>7.5359601839586166</x:v>
      </x:c>
      <x:c r="G1679" s="23" t="n">
        <x:f>AVERAGE($F$1742:$F$1766)</x:f>
        <x:v>7.973833075519117</x:v>
      </x:c>
      <x:c r="H1679" s="24" t="n">
        <x:f>F1679-G1679</x:f>
        <x:v>-0.4378728915605006</x:v>
      </x:c>
    </x:row>
    <x:row r="1680">
      <x:c r="A1680" s="2" t="str">
        <x:v>LiND-Hybrid</x:v>
      </x:c>
      <x:c r="B1680" s="4" t="str">
        <x:v>LiCl</x:v>
      </x:c>
      <x:c r="C1680" s="23" t="n">
        <x:v>1.273514</x:v>
      </x:c>
      <x:c r="D1680" s="23" t="n">
        <x:v>0.08906671</x:v>
      </x:c>
      <x:c r="E1680" s="23" t="n">
        <x:f>'Parameters'!$B$2*'Parameters'!$B$3*LN(4*PI()*C1680^2)</x:f>
        <x:v>7.4730248534990436</x:v>
      </x:c>
      <x:c r="F1680" s="23" t="n">
        <x:f>D1680+E1680</x:f>
        <x:v>7.5620915634990435</x:v>
      </x:c>
      <x:c r="G1680" s="23" t="n">
        <x:f>AVERAGE($F$1742:$F$1766)</x:f>
        <x:v>7.973833075519117</x:v>
      </x:c>
      <x:c r="H1680" s="24" t="n">
        <x:f>F1680-G1680</x:f>
        <x:v>-0.4117415120200736</x:v>
      </x:c>
    </x:row>
    <x:row r="1681">
      <x:c r="A1681" s="2" t="str">
        <x:v>LiND-Hybrid</x:v>
      </x:c>
      <x:c r="B1681" s="4" t="str">
        <x:v>LiCl</x:v>
      </x:c>
      <x:c r="C1681" s="23" t="n">
        <x:v>1.285848</x:v>
      </x:c>
      <x:c r="D1681" s="23" t="n">
        <x:v>-0.0790717</x:v>
      </x:c>
      <x:c r="E1681" s="23" t="n">
        <x:f>'Parameters'!$B$2*'Parameters'!$B$3*LN(4*PI()*C1681^2)</x:f>
        <x:v>7.5208112826251465</x:v>
      </x:c>
      <x:c r="F1681" s="23" t="n">
        <x:f>D1681+E1681</x:f>
        <x:v>7.4417395826251465</x:v>
      </x:c>
      <x:c r="G1681" s="23" t="n">
        <x:f>AVERAGE($F$1742:$F$1766)</x:f>
        <x:v>7.973833075519117</x:v>
      </x:c>
      <x:c r="H1681" s="24" t="n">
        <x:f>F1681-G1681</x:f>
        <x:v>-0.5320934928939707</x:v>
      </x:c>
    </x:row>
    <x:row r="1682">
      <x:c r="A1682" s="2" t="str">
        <x:v>LiND-Hybrid</x:v>
      </x:c>
      <x:c r="B1682" s="4" t="str">
        <x:v>LiCl</x:v>
      </x:c>
      <x:c r="C1682" s="23" t="n">
        <x:v>1.298182</x:v>
      </x:c>
      <x:c r="D1682" s="23" t="n">
        <x:v>-0.1037197</x:v>
      </x:c>
      <x:c r="E1682" s="23" t="n">
        <x:f>'Parameters'!$B$2*'Parameters'!$B$3*LN(4*PI()*C1682^2)</x:f>
        <x:v>7.568141519824402</x:v>
      </x:c>
      <x:c r="F1682" s="23" t="n">
        <x:f>D1682+E1682</x:f>
        <x:v>7.464421819824402</x:v>
      </x:c>
      <x:c r="G1682" s="23" t="n">
        <x:f>AVERAGE($F$1742:$F$1766)</x:f>
        <x:v>7.973833075519117</x:v>
      </x:c>
      <x:c r="H1682" s="24" t="n">
        <x:f>F1682-G1682</x:f>
        <x:v>-0.5094112556947152</x:v>
      </x:c>
    </x:row>
    <x:row r="1683">
      <x:c r="A1683" s="2" t="str">
        <x:v>LiND-Hybrid</x:v>
      </x:c>
      <x:c r="B1683" s="4" t="str">
        <x:v>LiCl</x:v>
      </x:c>
      <x:c r="C1683" s="23" t="n">
        <x:v>1.310516</x:v>
      </x:c>
      <x:c r="D1683" s="23" t="n">
        <x:v>-0.02408699</x:v>
      </x:c>
      <x:c r="E1683" s="23" t="n">
        <x:f>'Parameters'!$B$2*'Parameters'!$B$3*LN(4*PI()*C1683^2)</x:f>
        <x:v>7.615024192846308</x:v>
      </x:c>
      <x:c r="F1683" s="23" t="n">
        <x:f>D1683+E1683</x:f>
        <x:v>7.590937202846308</x:v>
      </x:c>
      <x:c r="G1683" s="23" t="n">
        <x:f>AVERAGE($F$1742:$F$1766)</x:f>
        <x:v>7.973833075519117</x:v>
      </x:c>
      <x:c r="H1683" s="24" t="n">
        <x:f>F1683-G1683</x:f>
        <x:v>-0.3828958726728091</x:v>
      </x:c>
    </x:row>
    <x:row r="1684">
      <x:c r="A1684" s="2" t="str">
        <x:v>LiND-Hybrid</x:v>
      </x:c>
      <x:c r="B1684" s="4" t="str">
        <x:v>LiCl</x:v>
      </x:c>
      <x:c r="C1684" s="23" t="n">
        <x:v>1.322849</x:v>
      </x:c>
      <x:c r="D1684" s="23" t="n">
        <x:v>-0.2623107</x:v>
      </x:c>
      <x:c r="E1684" s="23" t="n">
        <x:f>'Parameters'!$B$2*'Parameters'!$B$3*LN(4*PI()*C1684^2)</x:f>
        <x:v>7.661463939067542</x:v>
      </x:c>
      <x:c r="F1684" s="23" t="n">
        <x:f>D1684+E1684</x:f>
        <x:v>7.399153239067543</x:v>
      </x:c>
      <x:c r="G1684" s="23" t="n">
        <x:f>AVERAGE($F$1742:$F$1766)</x:f>
        <x:v>7.973833075519117</x:v>
      </x:c>
      <x:c r="H1684" s="24" t="n">
        <x:f>F1684-G1684</x:f>
        <x:v>-0.5746798364515744</x:v>
      </x:c>
    </x:row>
    <x:row r="1685">
      <x:c r="A1685" s="2" t="str">
        <x:v>LiND-Hybrid</x:v>
      </x:c>
      <x:c r="B1685" s="4" t="str">
        <x:v>LiCl</x:v>
      </x:c>
      <x:c r="C1685" s="23" t="n">
        <x:v>1.335183</x:v>
      </x:c>
      <x:c r="D1685" s="23" t="n">
        <x:v>-0.09159264</x:v>
      </x:c>
      <x:c r="E1685" s="23" t="n">
        <x:f>'Parameters'!$B$2*'Parameters'!$B$3*LN(4*PI()*C1685^2)</x:f>
        <x:v>7.707476440734581</x:v>
      </x:c>
      <x:c r="F1685" s="23" t="n">
        <x:f>D1685+E1685</x:f>
        <x:v>7.615883800734581</x:v>
      </x:c>
      <x:c r="G1685" s="23" t="n">
        <x:f>AVERAGE($F$1742:$F$1766)</x:f>
        <x:v>7.973833075519117</x:v>
      </x:c>
      <x:c r="H1685" s="24" t="n">
        <x:f>F1685-G1685</x:f>
        <x:v>-0.3579492747845361</x:v>
      </x:c>
    </x:row>
    <x:row r="1686">
      <x:c r="A1686" s="2" t="str">
        <x:v>LiND-Hybrid</x:v>
      </x:c>
      <x:c r="B1686" s="4" t="str">
        <x:v>LiCl</x:v>
      </x:c>
      <x:c r="C1686" s="23" t="n">
        <x:v>1.347517</x:v>
      </x:c>
      <x:c r="D1686" s="23" t="n">
        <x:v>-0.199896</x:v>
      </x:c>
      <x:c r="E1686" s="23" t="n">
        <x:f>'Parameters'!$B$2*'Parameters'!$B$3*LN(4*PI()*C1686^2)</x:f>
        <x:v>7.753065841622344</x:v>
      </x:c>
      <x:c r="F1686" s="23" t="n">
        <x:f>D1686+E1686</x:f>
        <x:v>7.553169841622344</x:v>
      </x:c>
      <x:c r="G1686" s="23" t="n">
        <x:f>AVERAGE($F$1742:$F$1766)</x:f>
        <x:v>7.973833075519117</x:v>
      </x:c>
      <x:c r="H1686" s="24" t="n">
        <x:f>F1686-G1686</x:f>
        <x:v>-0.4206632338967733</x:v>
      </x:c>
    </x:row>
    <x:row r="1687">
      <x:c r="A1687" s="2" t="str">
        <x:v>LiND-Hybrid</x:v>
      </x:c>
      <x:c r="B1687" s="4" t="str">
        <x:v>LiCl</x:v>
      </x:c>
      <x:c r="C1687" s="23" t="n">
        <x:v>1.359851</x:v>
      </x:c>
      <x:c r="D1687" s="23" t="n">
        <x:v>-0.1043139</x:v>
      </x:c>
      <x:c r="E1687" s="23" t="n">
        <x:f>'Parameters'!$B$2*'Parameters'!$B$3*LN(4*PI()*C1687^2)</x:f>
        <x:v>7.798239852000471</x:v>
      </x:c>
      <x:c r="F1687" s="23" t="n">
        <x:f>D1687+E1687</x:f>
        <x:v>7.693925952000471</x:v>
      </x:c>
      <x:c r="G1687" s="23" t="n">
        <x:f>AVERAGE($F$1742:$F$1766)</x:f>
        <x:v>7.973833075519117</x:v>
      </x:c>
      <x:c r="H1687" s="24" t="n">
        <x:f>F1687-G1687</x:f>
        <x:v>-0.27990712351864655</x:v>
      </x:c>
    </x:row>
    <x:row r="1688">
      <x:c r="A1688" s="2" t="str">
        <x:v>LiND-Hybrid</x:v>
      </x:c>
      <x:c r="B1688" s="4" t="str">
        <x:v>LiCl</x:v>
      </x:c>
      <x:c r="C1688" s="23" t="n">
        <x:v>1.372184</x:v>
      </x:c>
      <x:c r="D1688" s="23" t="n">
        <x:v>-0.1622146</x:v>
      </x:c>
      <x:c r="E1688" s="23" t="n">
        <x:f>'Parameters'!$B$2*'Parameters'!$B$3*LN(4*PI()*C1688^2)</x:f>
        <x:v>7.843002360126886</x:v>
      </x:c>
      <x:c r="F1688" s="23" t="n">
        <x:f>D1688+E1688</x:f>
        <x:v>7.680787760126886</x:v>
      </x:c>
      <x:c r="G1688" s="23" t="n">
        <x:f>AVERAGE($F$1742:$F$1766)</x:f>
        <x:v>7.973833075519117</x:v>
      </x:c>
      <x:c r="H1688" s="24" t="n">
        <x:f>F1688-G1688</x:f>
        <x:v>-0.2930453153922308</x:v>
      </x:c>
    </x:row>
    <x:row r="1689">
      <x:c r="A1689" s="2" t="str">
        <x:v>LiND-Hybrid</x:v>
      </x:c>
      <x:c r="B1689" s="4" t="str">
        <x:v>LiCl</x:v>
      </x:c>
      <x:c r="C1689" s="23" t="n">
        <x:v>1.384518</x:v>
      </x:c>
      <x:c r="D1689" s="23" t="n">
        <x:v>-0.2686597</x:v>
      </x:c>
      <x:c r="E1689" s="23" t="n">
        <x:f>'Parameters'!$B$2*'Parameters'!$B$3*LN(4*PI()*C1689^2)</x:f>
        <x:v>7.887367924528034</x:v>
      </x:c>
      <x:c r="F1689" s="23" t="n">
        <x:f>D1689+E1689</x:f>
        <x:v>7.618708224528034</x:v>
      </x:c>
      <x:c r="G1689" s="23" t="n">
        <x:f>AVERAGE($F$1742:$F$1766)</x:f>
        <x:v>7.973833075519117</x:v>
      </x:c>
      <x:c r="H1689" s="24" t="n">
        <x:f>F1689-G1689</x:f>
        <x:v>-0.35512485099108293</x:v>
      </x:c>
    </x:row>
    <x:row r="1690">
      <x:c r="A1690" s="2" t="str">
        <x:v>LiND-Hybrid</x:v>
      </x:c>
      <x:c r="B1690" s="4" t="str">
        <x:v>LiCl</x:v>
      </x:c>
      <x:c r="C1690" s="23" t="n">
        <x:v>1.396852</x:v>
      </x:c>
      <x:c r="D1690" s="23" t="n">
        <x:v>-0.2684442</x:v>
      </x:c>
      <x:c r="E1690" s="23" t="n">
        <x:f>'Parameters'!$B$2*'Parameters'!$B$3*LN(4*PI()*C1690^2)</x:f>
        <x:v>7.9313400050868035</x:v>
      </x:c>
      <x:c r="F1690" s="23" t="n">
        <x:f>D1690+E1690</x:f>
        <x:v>7.662895805086803</x:v>
      </x:c>
      <x:c r="G1690" s="23" t="n">
        <x:f>AVERAGE($F$1742:$F$1766)</x:f>
        <x:v>7.973833075519117</x:v>
      </x:c>
      <x:c r="H1690" s="24" t="n">
        <x:f>F1690-G1690</x:f>
        <x:v>-0.3109372704323139</x:v>
      </x:c>
    </x:row>
    <x:row r="1691">
      <x:c r="A1691" s="2" t="str">
        <x:v>LiND-Hybrid</x:v>
      </x:c>
      <x:c r="B1691" s="4" t="str">
        <x:v>LiCl</x:v>
      </x:c>
      <x:c r="C1691" s="23" t="n">
        <x:v>1.409186</x:v>
      </x:c>
      <x:c r="D1691" s="23" t="n">
        <x:v>-0.2003446</x:v>
      </x:c>
      <x:c r="E1691" s="23" t="n">
        <x:f>'Parameters'!$B$2*'Parameters'!$B$3*LN(4*PI()*C1691^2)</x:f>
        <x:v>7.974925520204608</x:v>
      </x:c>
      <x:c r="F1691" s="23" t="n">
        <x:f>D1691+E1691</x:f>
        <x:v>7.774580920204608</x:v>
      </x:c>
      <x:c r="G1691" s="23" t="n">
        <x:f>AVERAGE($F$1742:$F$1766)</x:f>
        <x:v>7.973833075519117</x:v>
      </x:c>
      <x:c r="H1691" s="24" t="n">
        <x:f>F1691-G1691</x:f>
        <x:v>-0.19925215531450924</x:v>
      </x:c>
    </x:row>
    <x:row r="1692">
      <x:c r="A1692" s="2" t="str">
        <x:v>LiND-Hybrid</x:v>
      </x:c>
      <x:c r="B1692" s="4" t="str">
        <x:v>LiCl</x:v>
      </x:c>
      <x:c r="C1692" s="23" t="n">
        <x:v>1.421519</x:v>
      </x:c>
      <x:c r="D1692" s="23" t="n">
        <x:v>-0.2895569</x:v>
      </x:c>
      <x:c r="E1692" s="23" t="n">
        <x:f>'Parameters'!$B$2*'Parameters'!$B$3*LN(4*PI()*C1692^2)</x:f>
        <x:v>8.01812771965174</x:v>
      </x:c>
      <x:c r="F1692" s="23" t="n">
        <x:f>D1692+E1692</x:f>
        <x:v>7.728570819651741</x:v>
      </x:c>
      <x:c r="G1692" s="23" t="n">
        <x:f>AVERAGE($F$1742:$F$1766)</x:f>
        <x:v>7.973833075519117</x:v>
      </x:c>
      <x:c r="H1692" s="24" t="n">
        <x:f>F1692-G1692</x:f>
        <x:v>-0.2452622558673765</x:v>
      </x:c>
    </x:row>
    <x:row r="1693">
      <x:c r="A1693" s="2" t="str">
        <x:v>LiND-Hybrid</x:v>
      </x:c>
      <x:c r="B1693" s="4" t="str">
        <x:v>LiCl</x:v>
      </x:c>
      <x:c r="C1693" s="23" t="n">
        <x:v>1.433853</x:v>
      </x:c>
      <x:c r="D1693" s="23" t="n">
        <x:v>-0.2132403</x:v>
      </x:c>
      <x:c r="E1693" s="23" t="n">
        <x:f>'Parameters'!$B$2*'Parameters'!$B$3*LN(4*PI()*C1693^2)</x:f>
        <x:v>8.060960171846158</x:v>
      </x:c>
      <x:c r="F1693" s="23" t="n">
        <x:f>D1693+E1693</x:f>
        <x:v>7.8477198718461585</x:v>
      </x:c>
      <x:c r="G1693" s="23" t="n">
        <x:f>AVERAGE($F$1742:$F$1766)</x:f>
        <x:v>7.973833075519117</x:v>
      </x:c>
      <x:c r="H1693" s="24" t="n">
        <x:f>F1693-G1693</x:f>
        <x:v>-0.12611320367295864</x:v>
      </x:c>
    </x:row>
    <x:row r="1694">
      <x:c r="A1694" s="2" t="str">
        <x:v>LiND-Hybrid</x:v>
      </x:c>
      <x:c r="B1694" s="4" t="str">
        <x:v>LiCl</x:v>
      </x:c>
      <x:c r="C1694" s="23" t="n">
        <x:v>1.446187</x:v>
      </x:c>
      <x:c r="D1694" s="23" t="n">
        <x:v>-0.1409913</x:v>
      </x:c>
      <x:c r="E1694" s="23" t="n">
        <x:f>'Parameters'!$B$2*'Parameters'!$B$3*LN(4*PI()*C1694^2)</x:f>
        <x:v>8.103425752779874</x:v>
      </x:c>
      <x:c r="F1694" s="23" t="n">
        <x:f>D1694+E1694</x:f>
        <x:v>7.962434452779874</x:v>
      </x:c>
      <x:c r="G1694" s="23" t="n">
        <x:f>AVERAGE($F$1742:$F$1766)</x:f>
        <x:v>7.973833075519117</x:v>
      </x:c>
      <x:c r="H1694" s="24" t="n">
        <x:f>F1694-G1694</x:f>
        <x:v>-0.01139862273924308</x:v>
      </x:c>
    </x:row>
    <x:row r="1695">
      <x:c r="A1695" s="2" t="str">
        <x:v>LiND-Hybrid</x:v>
      </x:c>
      <x:c r="B1695" s="4" t="str">
        <x:v>LiCl</x:v>
      </x:c>
      <x:c r="C1695" s="23" t="n">
        <x:v>1.458521</x:v>
      </x:c>
      <x:c r="D1695" s="23" t="n">
        <x:v>-0.288734</x:v>
      </x:c>
      <x:c r="E1695" s="23" t="n">
        <x:f>'Parameters'!$B$2*'Parameters'!$B$3*LN(4*PI()*C1695^2)</x:f>
        <x:v>8.145530693815791</x:v>
      </x:c>
      <x:c r="F1695" s="23" t="n">
        <x:f>D1695+E1695</x:f>
        <x:v>7.856796693815792</x:v>
      </x:c>
      <x:c r="G1695" s="23" t="n">
        <x:f>AVERAGE($F$1742:$F$1766)</x:f>
        <x:v>7.973833075519117</x:v>
      </x:c>
      <x:c r="H1695" s="24" t="n">
        <x:f>F1695-G1695</x:f>
        <x:v>-0.11703638170332553</x:v>
      </x:c>
    </x:row>
    <x:row r="1696">
      <x:c r="A1696" s="2" t="str">
        <x:v>LiND-Hybrid</x:v>
      </x:c>
      <x:c r="B1696" s="4" t="str">
        <x:v>LiCl</x:v>
      </x:c>
      <x:c r="C1696" s="23" t="n">
        <x:v>1.470854</x:v>
      </x:c>
      <x:c r="D1696" s="23" t="n">
        <x:v>-0.3553478</x:v>
      </x:c>
      <x:c r="E1696" s="23" t="n">
        <x:f>'Parameters'!$B$2*'Parameters'!$B$3*LN(4*PI()*C1696^2)</x:f>
        <x:v>8.18727769812064</x:v>
      </x:c>
      <x:c r="F1696" s="23" t="n">
        <x:f>D1696+E1696</x:f>
        <x:v>7.831929898120641</x:v>
      </x:c>
      <x:c r="G1696" s="23" t="n">
        <x:f>AVERAGE($F$1742:$F$1766)</x:f>
        <x:v>7.973833075519117</x:v>
      </x:c>
      <x:c r="H1696" s="24" t="n">
        <x:f>F1696-G1696</x:f>
        <x:v>-0.14190317739847647</x:v>
      </x:c>
    </x:row>
    <x:row r="1697">
      <x:c r="A1697" s="2" t="str">
        <x:v>LiND-Hybrid</x:v>
      </x:c>
      <x:c r="B1697" s="4" t="str">
        <x:v>LiCl</x:v>
      </x:c>
      <x:c r="C1697" s="23" t="n">
        <x:v>1.483188</x:v>
      </x:c>
      <x:c r="D1697" s="23" t="n">
        <x:v>-0.484656</x:v>
      </x:c>
      <x:c r="E1697" s="23" t="n">
        <x:f>'Parameters'!$B$2*'Parameters'!$B$3*LN(4*PI()*C1697^2)</x:f>
        <x:v>8.228679457039359</x:v>
      </x:c>
      <x:c r="F1697" s="23" t="n">
        <x:f>D1697+E1697</x:f>
        <x:v>7.744023457039359</x:v>
      </x:c>
      <x:c r="G1697" s="23" t="n">
        <x:f>AVERAGE($F$1742:$F$1766)</x:f>
        <x:v>7.973833075519117</x:v>
      </x:c>
      <x:c r="H1697" s="24" t="n">
        <x:f>F1697-G1697</x:f>
        <x:v>-0.22980961847975845</x:v>
      </x:c>
    </x:row>
    <x:row r="1698">
      <x:c r="A1698" s="2" t="str">
        <x:v>LiND-Hybrid</x:v>
      </x:c>
      <x:c r="B1698" s="4" t="str">
        <x:v>LiCl</x:v>
      </x:c>
      <x:c r="C1698" s="23" t="n">
        <x:v>1.495522</x:v>
      </x:c>
      <x:c r="D1698" s="23" t="n">
        <x:v>-0.5100353</x:v>
      </x:c>
      <x:c r="E1698" s="23" t="n">
        <x:f>'Parameters'!$B$2*'Parameters'!$B$3*LN(4*PI()*C1698^2)</x:f>
        <x:v>8.269738345953362</x:v>
      </x:c>
      <x:c r="F1698" s="23" t="n">
        <x:f>D1698+E1698</x:f>
        <x:v>7.759703045953362</x:v>
      </x:c>
      <x:c r="G1698" s="23" t="n">
        <x:f>AVERAGE($F$1742:$F$1766)</x:f>
        <x:v>7.973833075519117</x:v>
      </x:c>
      <x:c r="H1698" s="24" t="n">
        <x:f>F1698-G1698</x:f>
        <x:v>-0.2141300295657551</x:v>
      </x:c>
    </x:row>
    <x:row r="1699">
      <x:c r="A1699" s="2" t="str">
        <x:v>LiND-Hybrid</x:v>
      </x:c>
      <x:c r="B1699" s="4" t="str">
        <x:v>LiCl</x:v>
      </x:c>
      <x:c r="C1699" s="23" t="n">
        <x:v>1.507856</x:v>
      </x:c>
      <x:c r="D1699" s="23" t="n">
        <x:v>-0.552759</x:v>
      </x:c>
      <x:c r="E1699" s="23" t="n">
        <x:f>'Parameters'!$B$2*'Parameters'!$B$3*LN(4*PI()*C1699^2)</x:f>
        <x:v>8.310459997228016</x:v>
      </x:c>
      <x:c r="F1699" s="23" t="n">
        <x:f>D1699+E1699</x:f>
        <x:v>7.7577009972280155</x:v>
      </x:c>
      <x:c r="G1699" s="23" t="n">
        <x:f>AVERAGE($F$1742:$F$1766)</x:f>
        <x:v>7.973833075519117</x:v>
      </x:c>
      <x:c r="H1699" s="24" t="n">
        <x:f>F1699-G1699</x:f>
        <x:v>-0.2161320782911016</x:v>
      </x:c>
    </x:row>
    <x:row r="1700">
      <x:c r="A1700" s="2" t="str">
        <x:v>LiND-Hybrid</x:v>
      </x:c>
      <x:c r="B1700" s="4" t="str">
        <x:v>LiCl</x:v>
      </x:c>
      <x:c r="C1700" s="23" t="n">
        <x:v>1.520189</x:v>
      </x:c>
      <x:c r="D1700" s="23" t="n">
        <x:v>-0.4635598</x:v>
      </x:c>
      <x:c r="E1700" s="23" t="n">
        <x:f>'Parameters'!$B$2*'Parameters'!$B$3*LN(4*PI()*C1700^2)</x:f>
        <x:v>8.35084664419431</x:v>
      </x:c>
      <x:c r="F1700" s="23" t="n">
        <x:f>D1700+E1700</x:f>
        <x:v>7.88728684419431</x:v>
      </x:c>
      <x:c r="G1700" s="23" t="n">
        <x:f>AVERAGE($F$1742:$F$1766)</x:f>
        <x:v>7.973833075519117</x:v>
      </x:c>
      <x:c r="H1700" s="24" t="n">
        <x:f>F1700-G1700</x:f>
        <x:v>-0.08654623132480754</x:v>
      </x:c>
    </x:row>
    <x:row r="1701">
      <x:c r="A1701" s="2" t="str">
        <x:v>LiND-Hybrid</x:v>
      </x:c>
      <x:c r="B1701" s="4" t="str">
        <x:v>LiCl</x:v>
      </x:c>
      <x:c r="C1701" s="23" t="n">
        <x:v>1.532523</x:v>
      </x:c>
      <x:c r="D1701" s="23" t="n">
        <x:v>-0.5415282</x:v>
      </x:c>
      <x:c r="E1701" s="23" t="n">
        <x:f>'Parameters'!$B$2*'Parameters'!$B$3*LN(4*PI()*C1701^2)</x:f>
        <x:v>8.390910197362357</x:v>
      </x:c>
      <x:c r="F1701" s="23" t="n">
        <x:f>D1701+E1701</x:f>
        <x:v>7.849381997362357</x:v>
      </x:c>
      <x:c r="G1701" s="23" t="n">
        <x:f>AVERAGE($F$1742:$F$1766)</x:f>
        <x:v>7.973833075519117</x:v>
      </x:c>
      <x:c r="H1701" s="24" t="n">
        <x:f>F1701-G1701</x:f>
        <x:v>-0.12445107815675982</x:v>
      </x:c>
    </x:row>
    <x:row r="1702">
      <x:c r="A1702" s="2" t="str">
        <x:v>LiND-Hybrid</x:v>
      </x:c>
      <x:c r="B1702" s="4" t="str">
        <x:v>LiCl</x:v>
      </x:c>
      <x:c r="C1702" s="23" t="n">
        <x:v>1.544857</x:v>
      </x:c>
      <x:c r="D1702" s="23" t="n">
        <x:v>-0.6483112</x:v>
      </x:c>
      <x:c r="E1702" s="23" t="n">
        <x:f>'Parameters'!$B$2*'Parameters'!$B$3*LN(4*PI()*C1702^2)</x:f>
        <x:v>8.430652601255318</x:v>
      </x:c>
      <x:c r="F1702" s="23" t="n">
        <x:f>D1702+E1702</x:f>
        <x:v>7.782341401255318</x:v>
      </x:c>
      <x:c r="G1702" s="23" t="n">
        <x:f>AVERAGE($F$1742:$F$1766)</x:f>
        <x:v>7.973833075519117</x:v>
      </x:c>
      <x:c r="H1702" s="24" t="n">
        <x:f>F1702-G1702</x:f>
        <x:v>-0.19149167426379954</x:v>
      </x:c>
    </x:row>
    <x:row r="1703">
      <x:c r="A1703" s="2" t="str">
        <x:v>LiND-Hybrid</x:v>
      </x:c>
      <x:c r="B1703" s="4" t="str">
        <x:v>LiCl</x:v>
      </x:c>
      <x:c r="C1703" s="23" t="n">
        <x:v>1.557191</x:v>
      </x:c>
      <x:c r="D1703" s="23" t="n">
        <x:v>-0.6186698</x:v>
      </x:c>
      <x:c r="E1703" s="23" t="n">
        <x:f>'Parameters'!$B$2*'Parameters'!$B$3*LN(4*PI()*C1703^2)</x:f>
        <x:v>8.470078963619153</x:v>
      </x:c>
      <x:c r="F1703" s="23" t="n">
        <x:f>D1703+E1703</x:f>
        <x:v>7.851409163619153</x:v>
      </x:c>
      <x:c r="G1703" s="23" t="n">
        <x:f>AVERAGE($F$1742:$F$1766)</x:f>
        <x:v>7.973833075519117</x:v>
      </x:c>
      <x:c r="H1703" s="24" t="n">
        <x:f>F1703-G1703</x:f>
        <x:v>-0.12242391189996393</x:v>
      </x:c>
    </x:row>
    <x:row r="1704">
      <x:c r="A1704" s="2" t="str">
        <x:v>LiND-Hybrid</x:v>
      </x:c>
      <x:c r="B1704" s="4" t="str">
        <x:v>LiCl</x:v>
      </x:c>
      <x:c r="C1704" s="23" t="n">
        <x:v>1.569524</x:v>
      </x:c>
      <x:c r="D1704" s="23" t="n">
        <x:v>-0.6209982</x:v>
      </x:c>
      <x:c r="E1704" s="23" t="n">
        <x:f>'Parameters'!$B$2*'Parameters'!$B$3*LN(4*PI()*C1704^2)</x:f>
        <x:v>8.50919111244195</x:v>
      </x:c>
      <x:c r="F1704" s="23" t="n">
        <x:f>D1704+E1704</x:f>
        <x:v>7.8881929124419505</x:v>
      </x:c>
      <x:c r="G1704" s="23" t="n">
        <x:f>AVERAGE($F$1742:$F$1766)</x:f>
        <x:v>7.973833075519117</x:v>
      </x:c>
      <x:c r="H1704" s="24" t="n">
        <x:f>F1704-G1704</x:f>
        <x:v>-0.0856401630771666</x:v>
      </x:c>
    </x:row>
    <x:row r="1705">
      <x:c r="A1705" s="2" t="str">
        <x:v>LiND-Hybrid</x:v>
      </x:c>
      <x:c r="B1705" s="4" t="str">
        <x:v>LiCl</x:v>
      </x:c>
      <x:c r="C1705" s="23" t="n">
        <x:v>1.581858</x:v>
      </x:c>
      <x:c r="D1705" s="23" t="n">
        <x:v>-0.6046175</x:v>
      </x:c>
      <x:c r="E1705" s="23" t="n">
        <x:f>'Parameters'!$B$2*'Parameters'!$B$3*LN(4*PI()*C1705^2)</x:f>
        <x:v>8.548000259824486</x:v>
      </x:c>
      <x:c r="F1705" s="23" t="n">
        <x:f>D1705+E1705</x:f>
        <x:v>7.943382759824486</x:v>
      </x:c>
      <x:c r="G1705" s="23" t="n">
        <x:f>AVERAGE($F$1742:$F$1766)</x:f>
        <x:v>7.973833075519117</x:v>
      </x:c>
      <x:c r="H1705" s="24" t="n">
        <x:f>F1705-G1705</x:f>
        <x:v>-0.030450315694631414</x:v>
      </x:c>
    </x:row>
    <x:row r="1706">
      <x:c r="A1706" s="2" t="str">
        <x:v>LiND-Hybrid</x:v>
      </x:c>
      <x:c r="B1706" s="4" t="str">
        <x:v>LiCl</x:v>
      </x:c>
      <x:c r="C1706" s="23" t="n">
        <x:v>1.594192</x:v>
      </x:c>
      <x:c r="D1706" s="23" t="n">
        <x:v>-0.6216178</x:v>
      </x:c>
      <x:c r="E1706" s="23" t="n">
        <x:f>'Parameters'!$B$2*'Parameters'!$B$3*LN(4*PI()*C1706^2)</x:f>
        <x:v>8.586507978164457</x:v>
      </x:c>
      <x:c r="F1706" s="23" t="n">
        <x:f>D1706+E1706</x:f>
        <x:v>7.964890178164457</x:v>
      </x:c>
      <x:c r="G1706" s="23" t="n">
        <x:f>AVERAGE($F$1742:$F$1766)</x:f>
        <x:v>7.973833075519117</x:v>
      </x:c>
      <x:c r="H1706" s="24" t="n">
        <x:f>F1706-G1706</x:f>
        <x:v>-0.00894289735466014</x:v>
      </x:c>
    </x:row>
    <x:row r="1707">
      <x:c r="A1707" s="2" t="str">
        <x:v>LiND-Hybrid</x:v>
      </x:c>
      <x:c r="B1707" s="4" t="str">
        <x:v>LiCl</x:v>
      </x:c>
      <x:c r="C1707" s="23" t="n">
        <x:v>1.606526</x:v>
      </x:c>
      <x:c r="D1707" s="23" t="n">
        <x:v>-0.6616485</x:v>
      </x:c>
      <x:c r="E1707" s="23" t="n">
        <x:f>'Parameters'!$B$2*'Parameters'!$B$3*LN(4*PI()*C1707^2)</x:f>
        <x:v>8.624718913771162</x:v>
      </x:c>
      <x:c r="F1707" s="23" t="n">
        <x:f>D1707+E1707</x:f>
        <x:v>7.963070413771161</x:v>
      </x:c>
      <x:c r="G1707" s="23" t="n">
        <x:f>AVERAGE($F$1742:$F$1766)</x:f>
        <x:v>7.973833075519117</x:v>
      </x:c>
      <x:c r="H1707" s="24" t="n">
        <x:f>F1707-G1707</x:f>
        <x:v>-0.010762661747955704</x:v>
      </x:c>
    </x:row>
    <x:row r="1708">
      <x:c r="A1708" s="2" t="str">
        <x:v>LiND-Hybrid</x:v>
      </x:c>
      <x:c r="B1708" s="4" t="str">
        <x:v>LiCl</x:v>
      </x:c>
      <x:c r="C1708" s="23" t="n">
        <x:v>1.618859</x:v>
      </x:c>
      <x:c r="D1708" s="23" t="n">
        <x:v>-0.7074813</x:v>
      </x:c>
      <x:c r="E1708" s="23" t="n">
        <x:f>'Parameters'!$B$2*'Parameters'!$B$3*LN(4*PI()*C1708^2)</x:f>
        <x:v>8.66263454374892</x:v>
      </x:c>
      <x:c r="F1708" s="23" t="n">
        <x:f>D1708+E1708</x:f>
        <x:v>7.955153243748921</x:v>
      </x:c>
      <x:c r="G1708" s="23" t="n">
        <x:f>AVERAGE($F$1742:$F$1766)</x:f>
        <x:v>7.973833075519117</x:v>
      </x:c>
      <x:c r="H1708" s="24" t="n">
        <x:f>F1708-G1708</x:f>
        <x:v>-0.018679831770196387</x:v>
      </x:c>
    </x:row>
    <x:row r="1709">
      <x:c r="A1709" s="2" t="str">
        <x:v>LiND-Hybrid</x:v>
      </x:c>
      <x:c r="B1709" s="4" t="str">
        <x:v>LiCl</x:v>
      </x:c>
      <x:c r="C1709" s="23" t="n">
        <x:v>1.631193</x:v>
      </x:c>
      <x:c r="D1709" s="23" t="n">
        <x:v>-0.7097793</x:v>
      </x:c>
      <x:c r="E1709" s="23" t="n">
        <x:f>'Parameters'!$B$2*'Parameters'!$B$3*LN(4*PI()*C1709^2)</x:f>
        <x:v>8.70026545277864</x:v>
      </x:c>
      <x:c r="F1709" s="23" t="n">
        <x:f>D1709+E1709</x:f>
        <x:v>7.990486152778639</x:v>
      </x:c>
      <x:c r="G1709" s="23" t="n">
        <x:f>AVERAGE($F$1742:$F$1766)</x:f>
        <x:v>7.973833075519117</x:v>
      </x:c>
      <x:c r="H1709" s="24" t="n">
        <x:f>F1709-G1709</x:f>
        <x:v>0.016653077259522142</x:v>
      </x:c>
    </x:row>
    <x:row r="1710">
      <x:c r="A1710" s="2" t="str">
        <x:v>LiND-Hybrid</x:v>
      </x:c>
      <x:c r="B1710" s="4" t="str">
        <x:v>LiCl</x:v>
      </x:c>
      <x:c r="C1710" s="23" t="n">
        <x:v>1.643527</x:v>
      </x:c>
      <x:c r="D1710" s="23" t="n">
        <x:v>-0.7417134</x:v>
      </x:c>
      <x:c r="E1710" s="23" t="n">
        <x:f>'Parameters'!$B$2*'Parameters'!$B$3*LN(4*PI()*C1710^2)</x:f>
        <x:v>8.737612890831786</x:v>
      </x:c>
      <x:c r="F1710" s="23" t="n">
        <x:f>D1710+E1710</x:f>
        <x:v>7.9958994908317855</x:v>
      </x:c>
      <x:c r="G1710" s="23" t="n">
        <x:f>AVERAGE($F$1742:$F$1766)</x:f>
        <x:v>7.973833075519117</x:v>
      </x:c>
      <x:c r="H1710" s="24" t="n">
        <x:f>F1710-G1710</x:f>
        <x:v>0.022066415312668397</x:v>
      </x:c>
    </x:row>
    <x:row r="1711">
      <x:c r="A1711" s="2" t="str">
        <x:v>LiND-Hybrid</x:v>
      </x:c>
      <x:c r="B1711" s="4" t="str">
        <x:v>LiCl</x:v>
      </x:c>
      <x:c r="C1711" s="23" t="n">
        <x:v>1.655861</x:v>
      </x:c>
      <x:c r="D1711" s="23" t="n">
        <x:v>-0.7928626</x:v>
      </x:c>
      <x:c r="E1711" s="23" t="n">
        <x:f>'Parameters'!$B$2*'Parameters'!$B$3*LN(4*PI()*C1711^2)</x:f>
        <x:v>8.774681096731138</x:v>
      </x:c>
      <x:c r="F1711" s="23" t="n">
        <x:f>D1711+E1711</x:f>
        <x:v>7.981818496731138</x:v>
      </x:c>
      <x:c r="G1711" s="23" t="n">
        <x:f>AVERAGE($F$1742:$F$1766)</x:f>
        <x:v>7.973833075519117</x:v>
      </x:c>
      <x:c r="H1711" s="24" t="n">
        <x:f>F1711-G1711</x:f>
        <x:v>0.007985421212020505</x:v>
      </x:c>
    </x:row>
    <x:row r="1712">
      <x:c r="A1712" s="2" t="str">
        <x:v>LiND-Hybrid</x:v>
      </x:c>
      <x:c r="B1712" s="4" t="str">
        <x:v>LiCl</x:v>
      </x:c>
      <x:c r="C1712" s="23" t="n">
        <x:v>1.668194</x:v>
      </x:c>
      <x:c r="D1712" s="23" t="n">
        <x:v>-0.8358159</x:v>
      </x:c>
      <x:c r="E1712" s="23" t="n">
        <x:f>'Parameters'!$B$2*'Parameters'!$B$3*LN(4*PI()*C1712^2)</x:f>
        <x:v>8.811471242904148</x:v>
      </x:c>
      <x:c r="F1712" s="23" t="n">
        <x:f>D1712+E1712</x:f>
        <x:v>7.9756553429041475</x:v>
      </x:c>
      <x:c r="G1712" s="23" t="n">
        <x:f>AVERAGE($F$1742:$F$1766)</x:f>
        <x:v>7.973833075519117</x:v>
      </x:c>
      <x:c r="H1712" s="24" t="n">
        <x:f>F1712-G1712</x:f>
        <x:v>0.0018222673850303295</x:v>
      </x:c>
    </x:row>
    <x:row r="1713">
      <x:c r="A1713" s="2" t="str">
        <x:v>LiND-Hybrid</x:v>
      </x:c>
      <x:c r="B1713" s="4" t="str">
        <x:v>LiCl</x:v>
      </x:c>
      <x:c r="C1713" s="23" t="n">
        <x:v>1.680528</x:v>
      </x:c>
      <x:c r="D1713" s="23" t="n">
        <x:v>-0.8990678</x:v>
      </x:c>
      <x:c r="E1713" s="23" t="n">
        <x:f>'Parameters'!$B$2*'Parameters'!$B$3*LN(4*PI()*C1713^2)</x:f>
        <x:v>8.847993348072363</x:v>
      </x:c>
      <x:c r="F1713" s="23" t="n">
        <x:f>D1713+E1713</x:f>
        <x:v>7.948925548072363</x:v>
      </x:c>
      <x:c r="G1713" s="23" t="n">
        <x:f>AVERAGE($F$1742:$F$1766)</x:f>
        <x:v>7.973833075519117</x:v>
      </x:c>
      <x:c r="H1713" s="24" t="n">
        <x:f>F1713-G1713</x:f>
        <x:v>-0.024907527446754507</x:v>
      </x:c>
    </x:row>
    <x:row r="1714">
      <x:c r="A1714" s="2" t="str">
        <x:v>LiND-Hybrid</x:v>
      </x:c>
      <x:c r="B1714" s="4" t="str">
        <x:v>LiCl</x:v>
      </x:c>
      <x:c r="C1714" s="23" t="n">
        <x:v>1.692862</x:v>
      </x:c>
      <x:c r="D1714" s="23" t="n">
        <x:v>-1.053604</x:v>
      </x:c>
      <x:c r="E1714" s="23" t="n">
        <x:f>'Parameters'!$B$2*'Parameters'!$B$3*LN(4*PI()*C1714^2)</x:f>
        <x:v>8.884248382030558</x:v>
      </x:c>
      <x:c r="F1714" s="23" t="n">
        <x:f>D1714+E1714</x:f>
        <x:v>7.830644382030558</x:v>
      </x:c>
      <x:c r="G1714" s="23" t="n">
        <x:f>AVERAGE($F$1742:$F$1766)</x:f>
        <x:v>7.973833075519117</x:v>
      </x:c>
      <x:c r="H1714" s="24" t="n">
        <x:f>F1714-G1714</x:f>
        <x:v>-0.14318869348855934</x:v>
      </x:c>
    </x:row>
    <x:row r="1715">
      <x:c r="A1715" s="2" t="str">
        <x:v>LiND-Hybrid</x:v>
      </x:c>
      <x:c r="B1715" s="4" t="str">
        <x:v>LiCl</x:v>
      </x:c>
      <x:c r="C1715" s="23" t="n">
        <x:v>1.705196</x:v>
      </x:c>
      <x:c r="D1715" s="23" t="n">
        <x:v>-1.015879</x:v>
      </x:c>
      <x:c r="E1715" s="23" t="n">
        <x:f>'Parameters'!$B$2*'Parameters'!$B$3*LN(4*PI()*C1715^2)</x:f>
        <x:v>8.920240222405331</x:v>
      </x:c>
      <x:c r="F1715" s="23" t="n">
        <x:f>D1715+E1715</x:f>
        <x:v>7.904361222405331</x:v>
      </x:c>
      <x:c r="G1715" s="23" t="n">
        <x:f>AVERAGE($F$1742:$F$1766)</x:f>
        <x:v>7.973833075519117</x:v>
      </x:c>
      <x:c r="H1715" s="24" t="n">
        <x:f>F1715-G1715</x:f>
        <x:v>-0.0694718531137859</x:v>
      </x:c>
    </x:row>
    <x:row r="1716">
      <x:c r="A1716" s="2" t="str">
        <x:v>LiND-Hybrid</x:v>
      </x:c>
      <x:c r="B1716" s="4" t="str">
        <x:v>LiCl</x:v>
      </x:c>
      <x:c r="C1716" s="23" t="n">
        <x:v>1.717529</x:v>
      </x:c>
      <x:c r="D1716" s="23" t="n">
        <x:v>-1.148672</x:v>
      </x:c>
      <x:c r="E1716" s="23" t="n">
        <x:f>'Parameters'!$B$2*'Parameters'!$B$3*LN(4*PI()*C1716^2)</x:f>
        <x:v>8.955969776327864</x:v>
      </x:c>
      <x:c r="F1716" s="23" t="n">
        <x:f>D1716+E1716</x:f>
        <x:v>7.807297776327864</x:v>
      </x:c>
      <x:c r="G1716" s="23" t="n">
        <x:f>AVERAGE($F$1742:$F$1766)</x:f>
        <x:v>7.973833075519117</x:v>
      </x:c>
      <x:c r="H1716" s="24" t="n">
        <x:f>F1716-G1716</x:f>
        <x:v>-0.16653529919125276</x:v>
      </x:c>
    </x:row>
    <x:row r="1717">
      <x:c r="A1717" s="2" t="str">
        <x:v>LiND-Hybrid</x:v>
      </x:c>
      <x:c r="B1717" s="4" t="str">
        <x:v>LiCl</x:v>
      </x:c>
      <x:c r="C1717" s="23" t="n">
        <x:v>1.729863</x:v>
      </x:c>
      <x:c r="D1717" s="23" t="n">
        <x:v>-1.24782</x:v>
      </x:c>
      <x:c r="E1717" s="23" t="n">
        <x:f>'Parameters'!$B$2*'Parameters'!$B$3*LN(4*PI()*C1717^2)</x:f>
        <x:v>8.991446550033176</x:v>
      </x:c>
      <x:c r="F1717" s="23" t="n">
        <x:f>D1717+E1717</x:f>
        <x:v>7.743626550033176</x:v>
      </x:c>
      <x:c r="G1717" s="23" t="n">
        <x:f>AVERAGE($F$1742:$F$1766)</x:f>
        <x:v>7.973833075519117</x:v>
      </x:c>
      <x:c r="H1717" s="24" t="n">
        <x:f>F1717-G1717</x:f>
        <x:v>-0.2302065254859409</x:v>
      </x:c>
    </x:row>
    <x:row r="1718">
      <x:c r="A1718" s="2" t="str">
        <x:v>LiND-Hybrid</x:v>
      </x:c>
      <x:c r="B1718" s="4" t="str">
        <x:v>LiCl</x:v>
      </x:c>
      <x:c r="C1718" s="23" t="n">
        <x:v>1.742197</x:v>
      </x:c>
      <x:c r="D1718" s="23" t="n">
        <x:v>-1.112324</x:v>
      </x:c>
      <x:c r="E1718" s="23" t="n">
        <x:f>'Parameters'!$B$2*'Parameters'!$B$3*LN(4*PI()*C1718^2)</x:f>
        <x:v>9.026671269211034</x:v>
      </x:c>
      <x:c r="F1718" s="23" t="n">
        <x:f>D1718+E1718</x:f>
        <x:v>7.914347269211034</x:v>
      </x:c>
      <x:c r="G1718" s="23" t="n">
        <x:f>AVERAGE($F$1742:$F$1766)</x:f>
        <x:v>7.973833075519117</x:v>
      </x:c>
      <x:c r="H1718" s="24" t="n">
        <x:f>F1718-G1718</x:f>
        <x:v>-0.05948580630808298</x:v>
      </x:c>
    </x:row>
    <x:row r="1719">
      <x:c r="A1719" s="2" t="str">
        <x:v>LiND-Hybrid</x:v>
      </x:c>
      <x:c r="B1719" s="4" t="str">
        <x:v>LiCl</x:v>
      </x:c>
      <x:c r="C1719" s="23" t="n">
        <x:v>1.754531</x:v>
      </x:c>
      <x:c r="D1719" s="23" t="n">
        <x:v>-1.11015</x:v>
      </x:c>
      <x:c r="E1719" s="23" t="n">
        <x:f>'Parameters'!$B$2*'Parameters'!$B$3*LN(4*PI()*C1719^2)</x:f>
        <x:v>9.061647490191236</x:v>
      </x:c>
      <x:c r="F1719" s="23" t="n">
        <x:f>D1719+E1719</x:f>
        <x:v>7.951497490191236</x:v>
      </x:c>
      <x:c r="G1719" s="23" t="n">
        <x:f>AVERAGE($F$1742:$F$1766)</x:f>
        <x:v>7.973833075519117</x:v>
      </x:c>
      <x:c r="H1719" s="24" t="n">
        <x:f>F1719-G1719</x:f>
        <x:v>-0.02233558532788127</x:v>
      </x:c>
    </x:row>
    <x:row r="1720">
      <x:c r="A1720" s="2" t="str">
        <x:v>LiND-Hybrid</x:v>
      </x:c>
      <x:c r="B1720" s="4" t="str">
        <x:v>LiCl</x:v>
      </x:c>
      <x:c r="C1720" s="23" t="n">
        <x:v>1.766864</x:v>
      </x:c>
      <x:c r="D1720" s="23" t="n">
        <x:v>-1.101911</x:v>
      </x:c>
      <x:c r="E1720" s="23" t="n">
        <x:f>'Parameters'!$B$2*'Parameters'!$B$3*LN(4*PI()*C1720^2)</x:f>
        <x:v>9.096375888511973</x:v>
      </x:c>
      <x:c r="F1720" s="23" t="n">
        <x:f>D1720+E1720</x:f>
        <x:v>7.994464888511973</x:v>
      </x:c>
      <x:c r="G1720" s="23" t="n">
        <x:f>AVERAGE($F$1742:$F$1766)</x:f>
        <x:v>7.973833075519117</x:v>
      </x:c>
      <x:c r="H1720" s="24" t="n">
        <x:f>F1720-G1720</x:f>
        <x:v>0.02063181299285599</x:v>
      </x:c>
    </x:row>
    <x:row r="1721">
      <x:c r="A1721" s="2" t="str">
        <x:v>LiND-Hybrid</x:v>
      </x:c>
      <x:c r="B1721" s="4" t="str">
        <x:v>LiCl</x:v>
      </x:c>
      <x:c r="C1721" s="23" t="n">
        <x:v>1.779198</x:v>
      </x:c>
      <x:c r="D1721" s="23" t="n">
        <x:v>-1.005598</x:v>
      </x:c>
      <x:c r="E1721" s="23" t="n">
        <x:f>'Parameters'!$B$2*'Parameters'!$B$3*LN(4*PI()*C1721^2)</x:f>
        <x:v>9.130865504660933</x:v>
      </x:c>
      <x:c r="F1721" s="23" t="n">
        <x:f>D1721+E1721</x:f>
        <x:v>8.125267504660933</x:v>
      </x:c>
      <x:c r="G1721" s="23" t="n">
        <x:f>AVERAGE($F$1742:$F$1766)</x:f>
        <x:v>7.973833075519117</x:v>
      </x:c>
      <x:c r="H1721" s="24" t="n">
        <x:f>F1721-G1721</x:f>
        <x:v>0.15143442914181549</x:v>
      </x:c>
    </x:row>
    <x:row r="1722">
      <x:c r="A1722" s="2" t="str">
        <x:v>LiND-Hybrid</x:v>
      </x:c>
      <x:c r="B1722" s="4" t="str">
        <x:v>LiCl</x:v>
      </x:c>
      <x:c r="C1722" s="23" t="n">
        <x:v>1.791532</x:v>
      </x:c>
      <x:c r="D1722" s="23" t="n">
        <x:v>-1.246197</x:v>
      </x:c>
      <x:c r="E1722" s="23" t="n">
        <x:f>'Parameters'!$B$2*'Parameters'!$B$3*LN(4*PI()*C1722^2)</x:f>
        <x:v>9.165116851144525</x:v>
      </x:c>
      <x:c r="F1722" s="23" t="n">
        <x:f>D1722+E1722</x:f>
        <x:v>7.9189198511445245</x:v>
      </x:c>
      <x:c r="G1722" s="23" t="n">
        <x:f>AVERAGE($F$1742:$F$1766)</x:f>
        <x:v>7.973833075519117</x:v>
      </x:c>
      <x:c r="H1722" s="24" t="n">
        <x:f>F1722-G1722</x:f>
        <x:v>-0.05491322437459267</x:v>
      </x:c>
    </x:row>
    <x:row r="1723">
      <x:c r="A1723" s="2" t="str">
        <x:v>LiND-Hybrid</x:v>
      </x:c>
      <x:c r="B1723" s="4" t="str">
        <x:v>LiCl</x:v>
      </x:c>
      <x:c r="C1723" s="23" t="n">
        <x:v>1.803866</x:v>
      </x:c>
      <x:c r="D1723" s="23" t="n">
        <x:v>-1.370312</x:v>
      </x:c>
      <x:c r="E1723" s="23" t="n">
        <x:f>'Parameters'!$B$2*'Parameters'!$B$3*LN(4*PI()*C1723^2)</x:f>
        <x:v>9.19913319753444</x:v>
      </x:c>
      <x:c r="F1723" s="23" t="n">
        <x:f>D1723+E1723</x:f>
        <x:v>7.82882119753444</x:v>
      </x:c>
      <x:c r="G1723" s="23" t="n">
        <x:f>AVERAGE($F$1742:$F$1766)</x:f>
        <x:v>7.973833075519117</x:v>
      </x:c>
      <x:c r="H1723" s="24" t="n">
        <x:f>F1723-G1723</x:f>
        <x:v>-0.14501187798467718</x:v>
      </x:c>
    </x:row>
    <x:row r="1724">
      <x:c r="A1724" s="2" t="str">
        <x:v>LiND-Hybrid</x:v>
      </x:c>
      <x:c r="B1724" s="4" t="str">
        <x:v>LiCl</x:v>
      </x:c>
      <x:c r="C1724" s="23" t="n">
        <x:v>1.816199</x:v>
      </x:c>
      <x:c r="D1724" s="23" t="n">
        <x:v>-1.220967</x:v>
      </x:c>
      <x:c r="E1724" s="23" t="n">
        <x:f>'Parameters'!$B$2*'Parameters'!$B$3*LN(4*PI()*C1724^2)</x:f>
        <x:v>9.23291501673338</x:v>
      </x:c>
      <x:c r="F1724" s="23" t="n">
        <x:f>D1724+E1724</x:f>
        <x:v>8.01194801673338</x:v>
      </x:c>
      <x:c r="G1724" s="23" t="n">
        <x:f>AVERAGE($F$1742:$F$1766)</x:f>
        <x:v>7.973833075519117</x:v>
      </x:c>
      <x:c r="H1724" s="24" t="n">
        <x:f>F1724-G1724</x:f>
        <x:v>0.03811494121426229</x:v>
      </x:c>
    </x:row>
    <x:row r="1725">
      <x:c r="A1725" s="2" t="str">
        <x:v>LiND-Hybrid</x:v>
      </x:c>
      <x:c r="B1725" s="4" t="str">
        <x:v>LiCl</x:v>
      </x:c>
      <x:c r="C1725" s="23" t="n">
        <x:v>1.828533</x:v>
      </x:c>
      <x:c r="D1725" s="23" t="n">
        <x:v>-1.301506</x:v>
      </x:c>
      <x:c r="E1725" s="23" t="n">
        <x:f>'Parameters'!$B$2*'Parameters'!$B$3*LN(4*PI()*C1725^2)</x:f>
        <x:v>9.266470924514117</x:v>
      </x:c>
      <x:c r="F1725" s="23" t="n">
        <x:f>D1725+E1725</x:f>
        <x:v>7.964964924514117</x:v>
      </x:c>
      <x:c r="G1725" s="23" t="n">
        <x:f>AVERAGE($F$1742:$F$1766)</x:f>
        <x:v>7.973833075519117</x:v>
      </x:c>
      <x:c r="H1725" s="24" t="n">
        <x:f>F1725-G1725</x:f>
        <x:v>-0.008868151005000158</x:v>
      </x:c>
    </x:row>
    <x:row r="1726">
      <x:c r="A1726" s="2" t="str">
        <x:v>LiND-Hybrid</x:v>
      </x:c>
      <x:c r="B1726" s="4" t="str">
        <x:v>LiCl</x:v>
      </x:c>
      <x:c r="C1726" s="23" t="n">
        <x:v>1.840867</x:v>
      </x:c>
      <x:c r="D1726" s="23" t="n">
        <x:v>-1.289189</x:v>
      </x:c>
      <x:c r="E1726" s="23" t="n">
        <x:f>'Parameters'!$B$2*'Parameters'!$B$3*LN(4*PI()*C1726^2)</x:f>
        <x:v>9.299801246806982</x:v>
      </x:c>
      <x:c r="F1726" s="23" t="n">
        <x:f>D1726+E1726</x:f>
        <x:v>8.010612246806982</x:v>
      </x:c>
      <x:c r="G1726" s="23" t="n">
        <x:f>AVERAGE($F$1742:$F$1766)</x:f>
        <x:v>7.973833075519117</x:v>
      </x:c>
      <x:c r="H1726" s="24" t="n">
        <x:f>F1726-G1726</x:f>
        <x:v>0.0367791712878649</x:v>
      </x:c>
    </x:row>
    <x:row r="1727">
      <x:c r="A1727" s="2" t="str">
        <x:v>LiND-Hybrid</x:v>
      </x:c>
      <x:c r="B1727" s="4" t="str">
        <x:v>LiCl</x:v>
      </x:c>
      <x:c r="C1727" s="23" t="n">
        <x:v>1.853201</x:v>
      </x:c>
      <x:c r="D1727" s="23" t="n">
        <x:v>-1.307728</x:v>
      </x:c>
      <x:c r="E1727" s="23" t="n">
        <x:f>'Parameters'!$B$2*'Parameters'!$B$3*LN(4*PI()*C1727^2)</x:f>
        <x:v>9.33290899644513</x:v>
      </x:c>
      <x:c r="F1727" s="23" t="n">
        <x:f>D1727+E1727</x:f>
        <x:v>8.02518099644513</x:v>
      </x:c>
      <x:c r="G1727" s="23" t="n">
        <x:f>AVERAGE($F$1742:$F$1766)</x:f>
        <x:v>7.973833075519117</x:v>
      </x:c>
      <x:c r="H1727" s="24" t="n">
        <x:f>F1727-G1727</x:f>
        <x:v>0.05134792092601259</x:v>
      </x:c>
    </x:row>
    <x:row r="1728">
      <x:c r="A1728" s="2" t="str">
        <x:v>LiND-Hybrid</x:v>
      </x:c>
      <x:c r="B1728" s="4" t="str">
        <x:v>LiCl</x:v>
      </x:c>
      <x:c r="C1728" s="23" t="n">
        <x:v>1.865534</x:v>
      </x:c>
      <x:c r="D1728" s="23" t="n">
        <x:v>-1.443672</x:v>
      </x:c>
      <x:c r="E1728" s="23" t="n">
        <x:f>'Parameters'!$B$2*'Parameters'!$B$3*LN(4*PI()*C1728^2)</x:f>
        <x:v>9.365794468667216</x:v>
      </x:c>
      <x:c r="F1728" s="23" t="n">
        <x:f>D1728+E1728</x:f>
        <x:v>7.922122468667216</x:v>
      </x:c>
      <x:c r="G1728" s="23" t="n">
        <x:f>AVERAGE($F$1742:$F$1766)</x:f>
        <x:v>7.973833075519117</x:v>
      </x:c>
      <x:c r="H1728" s="24" t="n">
        <x:f>F1728-G1728</x:f>
        <x:v>-0.0517106068519011</x:v>
      </x:c>
    </x:row>
    <x:row r="1729">
      <x:c r="A1729" s="2" t="str">
        <x:v>LiND-Hybrid</x:v>
      </x:c>
      <x:c r="B1729" s="4" t="str">
        <x:v>LiCl</x:v>
      </x:c>
      <x:c r="C1729" s="23" t="n">
        <x:v>1.877868</x:v>
      </x:c>
      <x:c r="D1729" s="23" t="n">
        <x:v>-1.555186</x:v>
      </x:c>
      <x:c r="E1729" s="23" t="n">
        <x:f>'Parameters'!$B$2*'Parameters'!$B$3*LN(4*PI()*C1729^2)</x:f>
        <x:v>9.3984658907026</x:v>
      </x:c>
      <x:c r="F1729" s="23" t="n">
        <x:f>D1729+E1729</x:f>
        <x:v>7.8432798907026</x:v>
      </x:c>
      <x:c r="G1729" s="23" t="n">
        <x:f>AVERAGE($F$1742:$F$1766)</x:f>
        <x:v>7.973833075519117</x:v>
      </x:c>
      <x:c r="H1729" s="24" t="n">
        <x:f>F1729-G1729</x:f>
        <x:v>-0.13055318481651756</x:v>
      </x:c>
    </x:row>
    <x:row r="1730">
      <x:c r="A1730" s="2" t="str">
        <x:v>LiND-Hybrid</x:v>
      </x:c>
      <x:c r="B1730" s="4" t="str">
        <x:v>LiCl</x:v>
      </x:c>
      <x:c r="C1730" s="23" t="n">
        <x:v>1.890202</x:v>
      </x:c>
      <x:c r="D1730" s="23" t="n">
        <x:v>-1.541971</x:v>
      </x:c>
      <x:c r="E1730" s="23" t="n">
        <x:f>'Parameters'!$B$2*'Parameters'!$B$3*LN(4*PI()*C1730^2)</x:f>
        <x:v>9.430923424881708</x:v>
      </x:c>
      <x:c r="F1730" s="23" t="n">
        <x:f>D1730+E1730</x:f>
        <x:v>7.888952424881708</x:v>
      </x:c>
      <x:c r="G1730" s="23" t="n">
        <x:f>AVERAGE($F$1742:$F$1766)</x:f>
        <x:v>7.973833075519117</x:v>
      </x:c>
      <x:c r="H1730" s="24" t="n">
        <x:f>F1730-G1730</x:f>
        <x:v>-0.0848806506374089</x:v>
      </x:c>
    </x:row>
    <x:row r="1731">
      <x:c r="A1731" s="2" t="str">
        <x:v>LiND-Hybrid</x:v>
      </x:c>
      <x:c r="B1731" s="4" t="str">
        <x:v>LiCl</x:v>
      </x:c>
      <x:c r="C1731" s="23" t="n">
        <x:v>1.902536</x:v>
      </x:c>
      <x:c r="D1731" s="23" t="n">
        <x:v>-1.622859</x:v>
      </x:c>
      <x:c r="E1731" s="23" t="n">
        <x:f>'Parameters'!$B$2*'Parameters'!$B$3*LN(4*PI()*C1731^2)</x:f>
        <x:v>9.463169853491014</x:v>
      </x:c>
      <x:c r="F1731" s="23" t="n">
        <x:f>D1731+E1731</x:f>
        <x:v>7.8403108534910135</x:v>
      </x:c>
      <x:c r="G1731" s="23" t="n">
        <x:f>AVERAGE($F$1742:$F$1766)</x:f>
        <x:v>7.973833075519117</x:v>
      </x:c>
      <x:c r="H1731" s="24" t="n">
        <x:f>F1731-G1731</x:f>
        <x:v>-0.1335222220281036</x:v>
      </x:c>
    </x:row>
    <x:row r="1732">
      <x:c r="A1732" s="2" t="str">
        <x:v>LiND-Hybrid</x:v>
      </x:c>
      <x:c r="B1732" s="4" t="str">
        <x:v>LiCl</x:v>
      </x:c>
      <x:c r="C1732" s="23" t="n">
        <x:v>1.914869</x:v>
      </x:c>
      <x:c r="D1732" s="23" t="n">
        <x:v>-1.672617</x:v>
      </x:c>
      <x:c r="E1732" s="23" t="n">
        <x:f>'Parameters'!$B$2*'Parameters'!$B$3*LN(4*PI()*C1732^2)</x:f>
        <x:v>9.495205315713477</x:v>
      </x:c>
      <x:c r="F1732" s="23" t="n">
        <x:f>D1732+E1732</x:f>
        <x:v>7.822588315713477</x:v>
      </x:c>
      <x:c r="G1732" s="23" t="n">
        <x:f>AVERAGE($F$1742:$F$1766)</x:f>
        <x:v>7.973833075519117</x:v>
      </x:c>
      <x:c r="H1732" s="24" t="n">
        <x:f>F1732-G1732</x:f>
        <x:v>-0.1512447598056399</x:v>
      </x:c>
    </x:row>
    <x:row r="1733">
      <x:c r="A1733" s="2" t="str">
        <x:v>LiND-Hybrid</x:v>
      </x:c>
      <x:c r="B1733" s="4" t="str">
        <x:v>LiCl</x:v>
      </x:c>
      <x:c r="C1733" s="23" t="n">
        <x:v>1.927203</x:v>
      </x:c>
      <x:c r="D1733" s="23" t="n">
        <x:v>-1.69913</x:v>
      </x:c>
      <x:c r="E1733" s="23" t="n">
        <x:f>'Parameters'!$B$2*'Parameters'!$B$3*LN(4*PI()*C1733^2)</x:f>
        <x:v>9.527037682246375</x:v>
      </x:c>
      <x:c r="F1733" s="23" t="n">
        <x:f>D1733+E1733</x:f>
        <x:v>7.827907682246375</x:v>
      </x:c>
      <x:c r="G1733" s="23" t="n">
        <x:f>AVERAGE($F$1742:$F$1766)</x:f>
        <x:v>7.973833075519117</x:v>
      </x:c>
      <x:c r="H1733" s="24" t="n">
        <x:f>F1733-G1733</x:f>
        <x:v>-0.14592539327274245</x:v>
      </x:c>
    </x:row>
    <x:row r="1734">
      <x:c r="A1734" s="2" t="str">
        <x:v>LiND-Hybrid</x:v>
      </x:c>
      <x:c r="B1734" s="4" t="str">
        <x:v>LiCl</x:v>
      </x:c>
      <x:c r="C1734" s="23" t="n">
        <x:v>1.939537</x:v>
      </x:c>
      <x:c r="D1734" s="23" t="n">
        <x:v>-1.736291</x:v>
      </x:c>
      <x:c r="E1734" s="23" t="n">
        <x:f>'Parameters'!$B$2*'Parameters'!$B$3*LN(4*PI()*C1734^2)</x:f>
        <x:v>9.558666971726993</x:v>
      </x:c>
      <x:c r="F1734" s="23" t="n">
        <x:f>D1734+E1734</x:f>
        <x:v>7.822375971726993</x:v>
      </x:c>
      <x:c r="G1734" s="23" t="n">
        <x:f>AVERAGE($F$1742:$F$1766)</x:f>
        <x:v>7.973833075519117</x:v>
      </x:c>
      <x:c r="H1734" s="24" t="n">
        <x:f>F1734-G1734</x:f>
        <x:v>-0.15145710379212396</x:v>
      </x:c>
    </x:row>
    <x:row r="1735">
      <x:c r="A1735" s="2" t="str">
        <x:v>LiND-Hybrid</x:v>
      </x:c>
      <x:c r="B1735" s="4" t="str">
        <x:v>LiCl</x:v>
      </x:c>
      <x:c r="C1735" s="23" t="n">
        <x:v>1.951871</x:v>
      </x:c>
      <x:c r="D1735" s="23" t="n">
        <x:v>-1.757231</x:v>
      </x:c>
      <x:c r="E1735" s="23" t="n">
        <x:f>'Parameters'!$B$2*'Parameters'!$B$3*LN(4*PI()*C1735^2)</x:f>
        <x:v>9.590095758830293</x:v>
      </x:c>
      <x:c r="F1735" s="23" t="n">
        <x:f>D1735+E1735</x:f>
        <x:v>7.832864758830293</x:v>
      </x:c>
      <x:c r="G1735" s="23" t="n">
        <x:f>AVERAGE($F$1742:$F$1766)</x:f>
        <x:v>7.973833075519117</x:v>
      </x:c>
      <x:c r="H1735" s="24" t="n">
        <x:f>F1735-G1735</x:f>
        <x:v>-0.14096831668882448</x:v>
      </x:c>
    </x:row>
    <x:row r="1736">
      <x:c r="A1736" s="2" t="str">
        <x:v>LiND-Hybrid</x:v>
      </x:c>
      <x:c r="B1736" s="4" t="str">
        <x:v>LiCl</x:v>
      </x:c>
      <x:c r="C1736" s="23" t="n">
        <x:v>1.964204</x:v>
      </x:c>
      <x:c r="D1736" s="23" t="n">
        <x:v>-1.800752</x:v>
      </x:c>
      <x:c r="E1736" s="23" t="n">
        <x:f>'Parameters'!$B$2*'Parameters'!$B$3*LN(4*PI()*C1736^2)</x:f>
        <x:v>9.621324045442366</x:v>
      </x:c>
      <x:c r="F1736" s="23" t="n">
        <x:f>D1736+E1736</x:f>
        <x:v>7.820572045442366</x:v>
      </x:c>
      <x:c r="G1736" s="23" t="n">
        <x:f>AVERAGE($F$1742:$F$1766)</x:f>
        <x:v>7.973833075519117</x:v>
      </x:c>
      <x:c r="H1736" s="24" t="n">
        <x:f>F1736-G1736</x:f>
        <x:v>-0.1532610300767514</x:v>
      </x:c>
    </x:row>
    <x:row r="1737">
      <x:c r="A1737" s="2" t="str">
        <x:v>LiND-Hybrid</x:v>
      </x:c>
      <x:c r="B1737" s="4" t="str">
        <x:v>LiCl</x:v>
      </x:c>
      <x:c r="C1737" s="23" t="n">
        <x:v>1.976538</x:v>
      </x:c>
      <x:c r="D1737" s="23" t="n">
        <x:v>-1.864507</x:v>
      </x:c>
      <x:c r="E1737" s="23" t="n">
        <x:f>'Parameters'!$B$2*'Parameters'!$B$3*LN(4*PI()*C1737^2)</x:f>
        <x:v>9.652359374163174</x:v>
      </x:c>
      <x:c r="F1737" s="23" t="n">
        <x:f>D1737+E1737</x:f>
        <x:v>7.787852374163174</x:v>
      </x:c>
      <x:c r="G1737" s="23" t="n">
        <x:f>AVERAGE($F$1742:$F$1766)</x:f>
        <x:v>7.973833075519117</x:v>
      </x:c>
      <x:c r="H1737" s="24" t="n">
        <x:f>F1737-G1737</x:f>
        <x:v>-0.1859807013559429</x:v>
      </x:c>
    </x:row>
    <x:row r="1738">
      <x:c r="A1738" s="2" t="str">
        <x:v>LiND-Hybrid</x:v>
      </x:c>
      <x:c r="B1738" s="4" t="str">
        <x:v>LiCl</x:v>
      </x:c>
      <x:c r="C1738" s="23" t="n">
        <x:v>1.988872</x:v>
      </x:c>
      <x:c r="D1738" s="23" t="n">
        <x:v>-1.896609</x:v>
      </x:c>
      <x:c r="E1738" s="23" t="n">
        <x:f>'Parameters'!$B$2*'Parameters'!$B$3*LN(4*PI()*C1738^2)</x:f>
        <x:v>9.683201637238271</x:v>
      </x:c>
      <x:c r="F1738" s="23" t="n">
        <x:f>D1738+E1738</x:f>
        <x:v>7.786592637238272</x:v>
      </x:c>
      <x:c r="G1738" s="23" t="n">
        <x:f>AVERAGE($F$1742:$F$1766)</x:f>
        <x:v>7.973833075519117</x:v>
      </x:c>
      <x:c r="H1738" s="24" t="n">
        <x:f>F1738-G1738</x:f>
        <x:v>-0.18724043828084547</x:v>
      </x:c>
    </x:row>
    <x:row r="1739">
      <x:c r="A1739" s="2" t="str">
        <x:v>LiND-Hybrid</x:v>
      </x:c>
      <x:c r="B1739" s="4" t="str">
        <x:v>LiCl</x:v>
      </x:c>
      <x:c r="C1739" s="23" t="n">
        <x:v>2.001206</x:v>
      </x:c>
      <x:c r="D1739" s="23" t="n">
        <x:v>-1.815159</x:v>
      </x:c>
      <x:c r="E1739" s="23" t="n">
        <x:f>'Parameters'!$B$2*'Parameters'!$B$3*LN(4*PI()*C1739^2)</x:f>
        <x:v>9.71385322188372</x:v>
      </x:c>
      <x:c r="F1739" s="23" t="n">
        <x:f>D1739+E1739</x:f>
        <x:v>7.898694221883721</x:v>
      </x:c>
      <x:c r="G1739" s="23" t="n">
        <x:f>AVERAGE($F$1742:$F$1766)</x:f>
        <x:v>7.973833075519117</x:v>
      </x:c>
      <x:c r="H1739" s="24" t="n">
        <x:f>F1739-G1739</x:f>
        <x:v>-0.07513885363539607</x:v>
      </x:c>
    </x:row>
    <x:row r="1740">
      <x:c r="A1740" s="2" t="str">
        <x:v>LiND-Hybrid</x:v>
      </x:c>
      <x:c r="B1740" s="4" t="str">
        <x:v>LiCl</x:v>
      </x:c>
      <x:c r="C1740" s="23" t="n">
        <x:v>2.013539</x:v>
      </x:c>
      <x:c r="D1740" s="23" t="n">
        <x:v>-1.842053</x:v>
      </x:c>
      <x:c r="E1740" s="23" t="n">
        <x:f>'Parameters'!$B$2*'Parameters'!$B$3*LN(4*PI()*C1740^2)</x:f>
        <x:v>9.744314009023402</x:v>
      </x:c>
      <x:c r="F1740" s="23" t="n">
        <x:f>D1740+E1740</x:f>
        <x:v>7.902261009023402</x:v>
      </x:c>
      <x:c r="G1740" s="23" t="n">
        <x:f>AVERAGE($F$1742:$F$1766)</x:f>
        <x:v>7.973833075519117</x:v>
      </x:c>
      <x:c r="H1740" s="24" t="n">
        <x:f>F1740-G1740</x:f>
        <x:v>-0.07157206649571535</x:v>
      </x:c>
    </x:row>
    <x:row r="1741">
      <x:c r="A1741" s="2" t="str">
        <x:v>LiND-Hybrid</x:v>
      </x:c>
      <x:c r="B1741" s="4" t="str">
        <x:v>LiCl</x:v>
      </x:c>
      <x:c r="C1741" s="23" t="n">
        <x:v>2.025873</x:v>
      </x:c>
      <x:c r="D1741" s="23" t="n">
        <x:v>-1.95937</x:v>
      </x:c>
      <x:c r="E1741" s="23" t="n">
        <x:f>'Parameters'!$B$2*'Parameters'!$B$3*LN(4*PI()*C1741^2)</x:f>
        <x:v>9.774591238506753</x:v>
      </x:c>
      <x:c r="F1741" s="23" t="n">
        <x:f>D1741+E1741</x:f>
        <x:v>7.815221238506753</x:v>
      </x:c>
      <x:c r="G1741" s="23" t="n">
        <x:f>AVERAGE($F$1742:$F$1766)</x:f>
        <x:v>7.973833075519117</x:v>
      </x:c>
      <x:c r="H1741" s="24" t="n">
        <x:f>F1741-G1741</x:f>
        <x:v>-0.15861183701236392</x:v>
      </x:c>
    </x:row>
    <x:row r="1742">
      <x:c r="A1742" s="2" t="str">
        <x:v>LiND-Hybrid</x:v>
      </x:c>
      <x:c r="B1742" s="4" t="str">
        <x:v>LiCl</x:v>
      </x:c>
      <x:c r="C1742" s="23" t="n">
        <x:v>2.038207</x:v>
      </x:c>
      <x:c r="D1742" s="23" t="n">
        <x:v>-1.973452</x:v>
      </x:c>
      <x:c r="E1742" s="23" t="n">
        <x:f>'Parameters'!$B$2*'Parameters'!$B$3*LN(4*PI()*C1742^2)</x:f>
        <x:v>9.804684691268925</x:v>
      </x:c>
      <x:c r="F1742" s="23" t="n">
        <x:f>D1742+E1742</x:f>
        <x:v>7.831232691268925</x:v>
      </x:c>
      <x:c r="G1742" s="23" t="n">
        <x:f>AVERAGE($F$1742:$F$1766)</x:f>
        <x:v>7.973833075519117</x:v>
      </x:c>
      <x:c r="H1742" s="24" t="n">
        <x:f>F1742-G1742</x:f>
        <x:v>-0.1426003842501924</x:v>
      </x:c>
    </x:row>
    <x:row r="1743">
      <x:c r="A1743" s="2" t="str">
        <x:v>LiND-Hybrid</x:v>
      </x:c>
      <x:c r="B1743" s="4" t="str">
        <x:v>LiCl</x:v>
      </x:c>
      <x:c r="C1743" s="23" t="n">
        <x:v>2.050541</x:v>
      </x:c>
      <x:c r="D1743" s="23" t="n">
        <x:v>-1.917046</x:v>
      </x:c>
      <x:c r="E1743" s="23" t="n">
        <x:f>'Parameters'!$B$2*'Parameters'!$B$3*LN(4*PI()*C1743^2)</x:f>
        <x:v>9.834596584832568</x:v>
      </x:c>
      <x:c r="F1743" s="23" t="n">
        <x:f>D1743+E1743</x:f>
        <x:v>7.917550584832568</x:v>
      </x:c>
      <x:c r="G1743" s="23" t="n">
        <x:f>AVERAGE($F$1742:$F$1766)</x:f>
        <x:v>7.973833075519117</x:v>
      </x:c>
      <x:c r="H1743" s="24" t="n">
        <x:f>F1743-G1743</x:f>
        <x:v>-0.05628249068654956</x:v>
      </x:c>
    </x:row>
    <x:row r="1744">
      <x:c r="A1744" s="2" t="str">
        <x:v>LiND-Hybrid</x:v>
      </x:c>
      <x:c r="B1744" s="4" t="str">
        <x:v>LiCl</x:v>
      </x:c>
      <x:c r="C1744" s="23" t="n">
        <x:v>2.062874</x:v>
      </x:c>
      <x:c r="D1744" s="23" t="n">
        <x:v>-1.882902</x:v>
      </x:c>
      <x:c r="E1744" s="23" t="n">
        <x:f>'Parameters'!$B$2*'Parameters'!$B$3*LN(4*PI()*C1744^2)</x:f>
        <x:v>9.864326693423942</x:v>
      </x:c>
      <x:c r="F1744" s="23" t="n">
        <x:f>D1744+E1744</x:f>
        <x:v>7.981424693423943</x:v>
      </x:c>
      <x:c r="G1744" s="23" t="n">
        <x:f>AVERAGE($F$1742:$F$1766)</x:f>
        <x:v>7.973833075519117</x:v>
      </x:c>
      <x:c r="H1744" s="24" t="n">
        <x:f>F1744-G1744</x:f>
        <x:v>0.007591617904825654</x:v>
      </x:c>
    </x:row>
    <x:row r="1745">
      <x:c r="A1745" s="2" t="str">
        <x:v>LiND-Hybrid</x:v>
      </x:c>
      <x:c r="B1745" s="4" t="str">
        <x:v>LiCl</x:v>
      </x:c>
      <x:c r="C1745" s="23" t="n">
        <x:v>2.075208</x:v>
      </x:c>
      <x:c r="D1745" s="23" t="n">
        <x:v>-1.871733</x:v>
      </x:c>
      <x:c r="E1745" s="23" t="n">
        <x:f>'Parameters'!$B$2*'Parameters'!$B$3*LN(4*PI()*C1745^2)</x:f>
        <x:v>9.893881976811711</x:v>
      </x:c>
      <x:c r="F1745" s="23" t="n">
        <x:f>D1745+E1745</x:f>
        <x:v>8.02214897681171</x:v>
      </x:c>
      <x:c r="G1745" s="23" t="n">
        <x:f>AVERAGE($F$1742:$F$1766)</x:f>
        <x:v>7.973833075519117</x:v>
      </x:c>
      <x:c r="H1745" s="24" t="n">
        <x:f>F1745-G1745</x:f>
        <x:v>0.04831590129259311</x:v>
      </x:c>
    </x:row>
    <x:row r="1746">
      <x:c r="A1746" s="2" t="str">
        <x:v>LiND-Hybrid</x:v>
      </x:c>
      <x:c r="B1746" s="4" t="str">
        <x:v>LiCl</x:v>
      </x:c>
      <x:c r="C1746" s="23" t="n">
        <x:v>2.087542</x:v>
      </x:c>
      <x:c r="D1746" s="23" t="n">
        <x:v>-1.882667</x:v>
      </x:c>
      <x:c r="E1746" s="23" t="n">
        <x:f>'Parameters'!$B$2*'Parameters'!$B$3*LN(4*PI()*C1746^2)</x:f>
        <x:v>9.923262117803135</x:v>
      </x:c>
      <x:c r="F1746" s="23" t="n">
        <x:f>D1746+E1746</x:f>
        <x:v>8.040595117803136</x:v>
      </x:c>
      <x:c r="G1746" s="23" t="n">
        <x:f>AVERAGE($F$1742:$F$1766)</x:f>
        <x:v>7.973833075519117</x:v>
      </x:c>
      <x:c r="H1746" s="24" t="n">
        <x:f>F1746-G1746</x:f>
        <x:v>0.06676204228401872</x:v>
      </x:c>
    </x:row>
    <x:row r="1747">
      <x:c r="A1747" s="2" t="str">
        <x:v>LiND-Hybrid</x:v>
      </x:c>
      <x:c r="B1747" s="4" t="str">
        <x:v>LiCl</x:v>
      </x:c>
      <x:c r="C1747" s="23" t="n">
        <x:v>2.099876</x:v>
      </x:c>
      <x:c r="D1747" s="23" t="n">
        <x:v>-2.005887</x:v>
      </x:c>
      <x:c r="E1747" s="23" t="n">
        <x:f>'Parameters'!$B$2*'Parameters'!$B$3*LN(4*PI()*C1747^2)</x:f>
        <x:v>9.952469179937294</x:v>
      </x:c>
      <x:c r="F1747" s="23" t="n">
        <x:f>D1747+E1747</x:f>
        <x:v>7.946582179937295</x:v>
      </x:c>
      <x:c r="G1747" s="23" t="n">
        <x:f>AVERAGE($F$1742:$F$1766)</x:f>
        <x:v>7.973833075519117</x:v>
      </x:c>
      <x:c r="H1747" s="24" t="n">
        <x:f>F1747-G1747</x:f>
        <x:v>-0.027250895581822476</x:v>
      </x:c>
    </x:row>
    <x:row r="1748">
      <x:c r="A1748" s="2" t="str">
        <x:v>LiND-Hybrid</x:v>
      </x:c>
      <x:c r="B1748" s="4" t="str">
        <x:v>LiCl</x:v>
      </x:c>
      <x:c r="C1748" s="23" t="n">
        <x:v>2.112209</x:v>
      </x:c>
      <x:c r="D1748" s="23" t="n">
        <x:v>-1.94973</x:v>
      </x:c>
      <x:c r="E1748" s="23" t="n">
        <x:f>'Parameters'!$B$2*'Parameters'!$B$3*LN(4*PI()*C1748^2)</x:f>
        <x:v>9.981502843233264</x:v>
      </x:c>
      <x:c r="F1748" s="23" t="n">
        <x:f>D1748+E1748</x:f>
        <x:v>8.031772843233263</x:v>
      </x:c>
      <x:c r="G1748" s="23" t="n">
        <x:f>AVERAGE($F$1742:$F$1766)</x:f>
        <x:v>7.973833075519117</x:v>
      </x:c>
      <x:c r="H1748" s="24" t="n">
        <x:f>F1748-G1748</x:f>
        <x:v>0.05793976771414577</x:v>
      </x:c>
    </x:row>
    <x:row r="1749">
      <x:c r="A1749" s="2" t="str">
        <x:v>LiND-Hybrid</x:v>
      </x:c>
      <x:c r="B1749" s="4" t="str">
        <x:v>LiCl</x:v>
      </x:c>
      <x:c r="C1749" s="23" t="n">
        <x:v>2.124543</x:v>
      </x:c>
      <x:c r="D1749" s="23" t="n">
        <x:v>-1.886796</x:v>
      </x:c>
      <x:c r="E1749" s="23" t="n">
        <x:f>'Parameters'!$B$2*'Parameters'!$B$3*LN(4*PI()*C1749^2)</x:f>
        <x:v>10.010369807718922</x:v>
      </x:c>
      <x:c r="F1749" s="23" t="n">
        <x:f>D1749+E1749</x:f>
        <x:v>8.123573807718921</x:v>
      </x:c>
      <x:c r="G1749" s="23" t="n">
        <x:f>AVERAGE($F$1742:$F$1766)</x:f>
        <x:v>7.973833075519117</x:v>
      </x:c>
      <x:c r="H1749" s="24" t="n">
        <x:f>F1749-G1749</x:f>
        <x:v>0.14974073219980433</x:v>
      </x:c>
    </x:row>
    <x:row r="1750">
      <x:c r="A1750" s="2" t="str">
        <x:v>LiND-Hybrid</x:v>
      </x:c>
      <x:c r="B1750" s="4" t="str">
        <x:v>LiCl</x:v>
      </x:c>
      <x:c r="C1750" s="23" t="n">
        <x:v>2.136877</x:v>
      </x:c>
      <x:c r="D1750" s="23" t="n">
        <x:v>-2.02849</x:v>
      </x:c>
      <x:c r="E1750" s="23" t="n">
        <x:f>'Parameters'!$B$2*'Parameters'!$B$3*LN(4*PI()*C1750^2)</x:f>
        <x:v>10.039069669626466</x:v>
      </x:c>
      <x:c r="F1750" s="23" t="n">
        <x:f>D1750+E1750</x:f>
        <x:v>8.010579669626466</x:v>
      </x:c>
      <x:c r="G1750" s="23" t="n">
        <x:f>AVERAGE($F$1742:$F$1766)</x:f>
        <x:v>7.973833075519117</x:v>
      </x:c>
      <x:c r="H1750" s="24" t="n">
        <x:f>F1750-G1750</x:f>
        <x:v>0.03674659410734904</x:v>
      </x:c>
    </x:row>
    <x:row r="1751">
      <x:c r="A1751" s="2" t="str">
        <x:v>LiND-Hybrid</x:v>
      </x:c>
      <x:c r="B1751" s="4" t="str">
        <x:v>LiCl</x:v>
      </x:c>
      <x:c r="C1751" s="23" t="n">
        <x:v>2.149211</x:v>
      </x:c>
      <x:c r="D1751" s="23" t="n">
        <x:v>-2.180449</x:v>
      </x:c>
      <x:c r="E1751" s="23" t="n">
        <x:f>'Parameters'!$B$2*'Parameters'!$B$3*LN(4*PI()*C1751^2)</x:f>
        <x:v>10.06760435244451</x:v>
      </x:c>
      <x:c r="F1751" s="23" t="n">
        <x:f>D1751+E1751</x:f>
        <x:v>7.887155352444511</x:v>
      </x:c>
      <x:c r="G1751" s="23" t="n">
        <x:f>AVERAGE($F$1742:$F$1766)</x:f>
        <x:v>7.973833075519117</x:v>
      </x:c>
      <x:c r="H1751" s="24" t="n">
        <x:f>F1751-G1751</x:f>
        <x:v>-0.0866777230746063</x:v>
      </x:c>
    </x:row>
    <x:row r="1752">
      <x:c r="A1752" s="2" t="str">
        <x:v>LiND-Hybrid</x:v>
      </x:c>
      <x:c r="B1752" s="4" t="str">
        <x:v>LiCl</x:v>
      </x:c>
      <x:c r="C1752" s="23" t="n">
        <x:v>2.161545</x:v>
      </x:c>
      <x:c r="D1752" s="23" t="n">
        <x:v>-2.151981</x:v>
      </x:c>
      <x:c r="E1752" s="23" t="n">
        <x:f>'Parameters'!$B$2*'Parameters'!$B$3*LN(4*PI()*C1752^2)</x:f>
        <x:v>10.095975746640214</x:v>
      </x:c>
      <x:c r="F1752" s="23" t="n">
        <x:f>D1752+E1752</x:f>
        <x:v>7.943994746640214</x:v>
      </x:c>
      <x:c r="G1752" s="23" t="n">
        <x:f>AVERAGE($F$1742:$F$1766)</x:f>
        <x:v>7.973833075519117</x:v>
      </x:c>
      <x:c r="H1752" s="24" t="n">
        <x:f>F1752-G1752</x:f>
        <x:v>-0.029838328878903475</x:v>
      </x:c>
    </x:row>
    <x:row r="1753">
      <x:c r="A1753" s="2" t="str">
        <x:v>LiND-Hybrid</x:v>
      </x:c>
      <x:c r="B1753" s="4" t="str">
        <x:v>LiCl</x:v>
      </x:c>
      <x:c r="C1753" s="23" t="n">
        <x:v>2.173878</x:v>
      </x:c>
      <x:c r="D1753" s="23" t="n">
        <x:v>-2.239815</x:v>
      </x:c>
      <x:c r="E1753" s="23" t="n">
        <x:f>'Parameters'!$B$2*'Parameters'!$B$3*LN(4*PI()*C1753^2)</x:f>
        <x:v>10.124183429734147</x:v>
      </x:c>
      <x:c r="F1753" s="23" t="n">
        <x:f>D1753+E1753</x:f>
        <x:v>7.884368429734147</x:v>
      </x:c>
      <x:c r="G1753" s="23" t="n">
        <x:f>AVERAGE($F$1742:$F$1766)</x:f>
        <x:v>7.973833075519117</x:v>
      </x:c>
      <x:c r="H1753" s="24" t="n">
        <x:f>F1753-G1753</x:f>
        <x:v>-0.08946464578496993</x:v>
      </x:c>
    </x:row>
    <x:row r="1754">
      <x:c r="A1754" s="2" t="str">
        <x:v>LiND-Hybrid</x:v>
      </x:c>
      <x:c r="B1754" s="4" t="str">
        <x:v>LiCl</x:v>
      </x:c>
      <x:c r="C1754" s="23" t="n">
        <x:v>2.186212</x:v>
      </x:c>
      <x:c r="D1754" s="23" t="n">
        <x:v>-2.147959</x:v>
      </x:c>
      <x:c r="E1754" s="23" t="n">
        <x:f>'Parameters'!$B$2*'Parameters'!$B$3*LN(4*PI()*C1754^2)</x:f>
        <x:v>10.152233802604341</x:v>
      </x:c>
      <x:c r="F1754" s="23" t="n">
        <x:f>D1754+E1754</x:f>
        <x:v>8.00427480260434</x:v>
      </x:c>
      <x:c r="G1754" s="23" t="n">
        <x:f>AVERAGE($F$1742:$F$1766)</x:f>
        <x:v>7.973833075519117</x:v>
      </x:c>
      <x:c r="H1754" s="24" t="n">
        <x:f>F1754-G1754</x:f>
        <x:v>0.030441727085223746</x:v>
      </x:c>
    </x:row>
    <x:row r="1755">
      <x:c r="A1755" s="2" t="str">
        <x:v>LiND-Hybrid</x:v>
      </x:c>
      <x:c r="B1755" s="4" t="str">
        <x:v>LiCl</x:v>
      </x:c>
      <x:c r="C1755" s="23" t="n">
        <x:v>2.198546</x:v>
      </x:c>
      <x:c r="D1755" s="23" t="n">
        <x:v>-2.128221</x:v>
      </x:c>
      <x:c r="E1755" s="23" t="n">
        <x:f>'Parameters'!$B$2*'Parameters'!$B$3*LN(4*PI()*C1755^2)</x:f>
        <x:v>10.180126367390633</x:v>
      </x:c>
      <x:c r="F1755" s="23" t="n">
        <x:f>D1755+E1755</x:f>
        <x:v>8.051905367390633</x:v>
      </x:c>
      <x:c r="G1755" s="23" t="n">
        <x:f>AVERAGE($F$1742:$F$1766)</x:f>
        <x:v>7.973833075519117</x:v>
      </x:c>
      <x:c r="H1755" s="24" t="n">
        <x:f>F1755-G1755</x:f>
        <x:v>0.07807229187151599</x:v>
      </x:c>
    </x:row>
    <x:row r="1756">
      <x:c r="A1756" s="2" t="str">
        <x:v>LiND-Hybrid</x:v>
      </x:c>
      <x:c r="B1756" s="4" t="str">
        <x:v>LiCl</x:v>
      </x:c>
      <x:c r="C1756" s="23" t="n">
        <x:v>2.21088</x:v>
      </x:c>
      <x:c r="D1756" s="23" t="n">
        <x:v>-2.249449</x:v>
      </x:c>
      <x:c r="E1756" s="23" t="n">
        <x:f>'Parameters'!$B$2*'Parameters'!$B$3*LN(4*PI()*C1756^2)</x:f>
        <x:v>10.207862889783364</x:v>
      </x:c>
      <x:c r="F1756" s="23" t="n">
        <x:f>D1756+E1756</x:f>
        <x:v>7.958413889783364</x:v>
      </x:c>
      <x:c r="G1756" s="23" t="n">
        <x:f>AVERAGE($F$1742:$F$1766)</x:f>
        <x:v>7.973833075519117</x:v>
      </x:c>
      <x:c r="H1756" s="24" t="n">
        <x:f>F1756-G1756</x:f>
        <x:v>-0.015419185735753516</x:v>
      </x:c>
    </x:row>
    <x:row r="1757">
      <x:c r="A1757" s="2" t="str">
        <x:v>LiND-Hybrid</x:v>
      </x:c>
      <x:c r="B1757" s="4" t="str">
        <x:v>LiCl</x:v>
      </x:c>
      <x:c r="C1757" s="23" t="n">
        <x:v>2.223213</x:v>
      </x:c>
      <x:c r="D1757" s="23" t="n">
        <x:v>-2.257762</x:v>
      </x:c>
      <x:c r="E1757" s="23" t="n">
        <x:f>'Parameters'!$B$2*'Parameters'!$B$3*LN(4*PI()*C1757^2)</x:f>
        <x:v>10.23544287593705</x:v>
      </x:c>
      <x:c r="F1757" s="23" t="n">
        <x:f>D1757+E1757</x:f>
        <x:v>7.97768087593705</x:v>
      </x:c>
      <x:c r="G1757" s="23" t="n">
        <x:f>AVERAGE($F$1742:$F$1766)</x:f>
        <x:v>7.973833075519117</x:v>
      </x:c>
      <x:c r="H1757" s="24" t="n">
        <x:f>F1757-G1757</x:f>
        <x:v>0.0038478004179332004</x:v>
      </x:c>
    </x:row>
    <x:row r="1758">
      <x:c r="A1758" s="2" t="str">
        <x:v>LiND-Hybrid</x:v>
      </x:c>
      <x:c r="B1758" s="4" t="str">
        <x:v>LiCl</x:v>
      </x:c>
      <x:c r="C1758" s="23" t="n">
        <x:v>2.235547</x:v>
      </x:c>
      <x:c r="D1758" s="23" t="n">
        <x:v>-2.283875</x:v>
      </x:c>
      <x:c r="E1758" s="23" t="n">
        <x:f>'Parameters'!$B$2*'Parameters'!$B$3*LN(4*PI()*C1758^2)</x:f>
        <x:v>10.262872505692517</x:v>
      </x:c>
      <x:c r="F1758" s="23" t="n">
        <x:f>D1758+E1758</x:f>
        <x:v>7.978997505692517</x:v>
      </x:c>
      <x:c r="G1758" s="23" t="n">
        <x:f>AVERAGE($F$1742:$F$1766)</x:f>
        <x:v>7.973833075519117</x:v>
      </x:c>
      <x:c r="H1758" s="24" t="n">
        <x:f>F1758-G1758</x:f>
        <x:v>0.005164430173399737</x:v>
      </x:c>
    </x:row>
    <x:row r="1759">
      <x:c r="A1759" s="2" t="str">
        <x:v>LiND-Hybrid</x:v>
      </x:c>
      <x:c r="B1759" s="4" t="str">
        <x:v>LiCl</x:v>
      </x:c>
      <x:c r="C1759" s="23" t="n">
        <x:v>2.247881</x:v>
      </x:c>
      <x:c r="D1759" s="23" t="n">
        <x:v>-2.243498</x:v>
      </x:c>
      <x:c r="E1759" s="23" t="n">
        <x:f>'Parameters'!$B$2*'Parameters'!$B$3*LN(4*PI()*C1759^2)</x:f>
        <x:v>10.290151215765505</x:v>
      </x:c>
      <x:c r="F1759" s="23" t="n">
        <x:f>D1759+E1759</x:f>
        <x:v>8.046653215765504</x:v>
      </x:c>
      <x:c r="G1759" s="23" t="n">
        <x:f>AVERAGE($F$1742:$F$1766)</x:f>
        <x:v>7.973833075519117</x:v>
      </x:c>
      <x:c r="H1759" s="24" t="n">
        <x:f>F1759-G1759</x:f>
        <x:v>0.07282014024638706</x:v>
      </x:c>
    </x:row>
    <x:row r="1760">
      <x:c r="A1760" s="2" t="str">
        <x:v>LiND-Hybrid</x:v>
      </x:c>
      <x:c r="B1760" s="4" t="str">
        <x:v>LiCl</x:v>
      </x:c>
      <x:c r="C1760" s="23" t="n">
        <x:v>2.260215</x:v>
      </x:c>
      <x:c r="D1760" s="23" t="n">
        <x:v>-2.34363</x:v>
      </x:c>
      <x:c r="E1760" s="23" t="n">
        <x:f>'Parameters'!$B$2*'Parameters'!$B$3*LN(4*PI()*C1760^2)</x:f>
        <x:v>10.31728065781328</x:v>
      </x:c>
      <x:c r="F1760" s="23" t="n">
        <x:f>D1760+E1760</x:f>
        <x:v>7.9736506578132795</x:v>
      </x:c>
      <x:c r="G1760" s="23" t="n">
        <x:f>AVERAGE($F$1742:$F$1766)</x:f>
        <x:v>7.973833075519117</x:v>
      </x:c>
      <x:c r="H1760" s="24" t="n">
        <x:f>F1760-G1760</x:f>
        <x:v>-0.00018241770583760086</x:v>
      </x:c>
    </x:row>
    <x:row r="1761">
      <x:c r="A1761" s="2" t="str">
        <x:v>LiND-Hybrid</x:v>
      </x:c>
      <x:c r="B1761" s="4" t="str">
        <x:v>LiCl</x:v>
      </x:c>
      <x:c r="C1761" s="23" t="n">
        <x:v>2.272548</x:v>
      </x:c>
      <x:c r="D1761" s="23" t="n">
        <x:v>-2.436248</x:v>
      </x:c>
      <x:c r="E1761" s="23" t="n">
        <x:f>'Parameters'!$B$2*'Parameters'!$B$3*LN(4*PI()*C1761^2)</x:f>
        <x:v>10.344260274873317</x:v>
      </x:c>
      <x:c r="F1761" s="23" t="n">
        <x:f>D1761+E1761</x:f>
        <x:v>7.908012274873317</x:v>
      </x:c>
      <x:c r="G1761" s="23" t="n">
        <x:f>AVERAGE($F$1742:$F$1766)</x:f>
        <x:v>7.973833075519117</x:v>
      </x:c>
      <x:c r="H1761" s="24" t="n">
        <x:f>F1761-G1761</x:f>
        <x:v>-0.06582080064579987</x:v>
      </x:c>
    </x:row>
    <x:row r="1762">
      <x:c r="A1762" s="2" t="str">
        <x:v>LiND-Hybrid</x:v>
      </x:c>
      <x:c r="B1762" s="4" t="str">
        <x:v>LiCl</x:v>
      </x:c>
      <x:c r="C1762" s="23" t="n">
        <x:v>2.284882</x:v>
      </x:c>
      <x:c r="D1762" s="23" t="n">
        <x:v>-2.343945</x:v>
      </x:c>
      <x:c r="E1762" s="23" t="n">
        <x:f>'Parameters'!$B$2*'Parameters'!$B$3*LN(4*PI()*C1762^2)</x:f>
        <x:v>10.371096040339102</x:v>
      </x:c>
      <x:c r="F1762" s="23" t="n">
        <x:f>D1762+E1762</x:f>
        <x:v>8.027151040339103</x:v>
      </x:c>
      <x:c r="G1762" s="23" t="n">
        <x:f>AVERAGE($F$1742:$F$1766)</x:f>
        <x:v>7.973833075519117</x:v>
      </x:c>
      <x:c r="H1762" s="24" t="n">
        <x:f>F1762-G1762</x:f>
        <x:v>0.05331796481998552</x:v>
      </x:c>
    </x:row>
    <x:row r="1763">
      <x:c r="A1763" s="2" t="str">
        <x:v>LiND-Hybrid</x:v>
      </x:c>
      <x:c r="B1763" s="4" t="str">
        <x:v>LiCl</x:v>
      </x:c>
      <x:c r="C1763" s="23" t="n">
        <x:v>2.297216</x:v>
      </x:c>
      <x:c r="D1763" s="23" t="n">
        <x:v>-2.430063</x:v>
      </x:c>
      <x:c r="E1763" s="23" t="n">
        <x:f>'Parameters'!$B$2*'Parameters'!$B$3*LN(4*PI()*C1763^2)</x:f>
        <x:v>10.397787333148722</x:v>
      </x:c>
      <x:c r="F1763" s="23" t="n">
        <x:f>D1763+E1763</x:f>
        <x:v>7.9677243331487215</x:v>
      </x:c>
      <x:c r="G1763" s="23" t="n">
        <x:f>AVERAGE($F$1742:$F$1766)</x:f>
        <x:v>7.973833075519117</x:v>
      </x:c>
      <x:c r="H1763" s="24" t="n">
        <x:f>F1763-G1763</x:f>
        <x:v>-0.006108742370395603</x:v>
      </x:c>
    </x:row>
    <x:row r="1764">
      <x:c r="A1764" s="2" t="str">
        <x:v>LiND-Hybrid</x:v>
      </x:c>
      <x:c r="B1764" s="4" t="str">
        <x:v>LiCl</x:v>
      </x:c>
      <x:c r="C1764" s="23" t="n">
        <x:v>2.30955</x:v>
      </x:c>
      <x:c r="D1764" s="23" t="n">
        <x:v>-2.477505</x:v>
      </x:c>
      <x:c r="E1764" s="23" t="n">
        <x:f>'Parameters'!$B$2*'Parameters'!$B$3*LN(4*PI()*C1764^2)</x:f>
        <x:v>10.424335700538204</x:v>
      </x:c>
      <x:c r="F1764" s="23" t="n">
        <x:f>D1764+E1764</x:f>
        <x:v>7.946830700538205</x:v>
      </x:c>
      <x:c r="G1764" s="23" t="n">
        <x:f>AVERAGE($F$1742:$F$1766)</x:f>
        <x:v>7.973833075519117</x:v>
      </x:c>
      <x:c r="H1764" s="24" t="n">
        <x:f>F1764-G1764</x:f>
        <x:v>-0.027002374980912514</x:v>
      </x:c>
    </x:row>
    <x:row r="1765">
      <x:c r="A1765" s="2" t="str">
        <x:v>LiND-Hybrid</x:v>
      </x:c>
      <x:c r="B1765" s="4" t="str">
        <x:v>LiCl</x:v>
      </x:c>
      <x:c r="C1765" s="23" t="n">
        <x:v>2.321883</x:v>
      </x:c>
      <x:c r="D1765" s="23" t="n">
        <x:v>-2.457884</x:v>
      </x:c>
      <x:c r="E1765" s="23" t="n">
        <x:f>'Parameters'!$B$2*'Parameters'!$B$3*LN(4*PI()*C1765^2)</x:f>
        <x:v>10.45074052972225</x:v>
      </x:c>
      <x:c r="F1765" s="23" t="n">
        <x:f>D1765+E1765</x:f>
        <x:v>7.99285652972225</x:v>
      </x:c>
      <x:c r="G1765" s="23" t="n">
        <x:f>AVERAGE($F$1742:$F$1766)</x:f>
        <x:v>7.973833075519117</x:v>
      </x:c>
      <x:c r="H1765" s="24" t="n">
        <x:f>F1765-G1765</x:f>
        <x:v>0.019023454203132673</x:v>
      </x:c>
    </x:row>
    <x:row r="1766">
      <x:c r="A1766" s="2" t="str">
        <x:v>LiND-Hybrid</x:v>
      </x:c>
      <x:c r="B1766" s="4" t="str">
        <x:v>LiCl</x:v>
      </x:c>
      <x:c r="C1766" s="23" t="n">
        <x:v>2.334217</x:v>
      </x:c>
      <x:c r="D1766" s="23" t="n">
        <x:v>-2.586311</x:v>
      </x:c>
      <x:c r="E1766" s="23" t="n">
        <x:f>'Parameters'!$B$2*'Parameters'!$B$3*LN(4*PI()*C1766^2)</x:f>
        <x:v>10.477007600894567</x:v>
      </x:c>
      <x:c r="F1766" s="23" t="n">
        <x:f>D1766+E1766</x:f>
        <x:v>7.890696600894566</x:v>
      </x:c>
      <x:c r="G1766" s="23" t="n">
        <x:f>AVERAGE($F$1742:$F$1766)</x:f>
        <x:v>7.973833075519117</x:v>
      </x:c>
      <x:c r="H1766" s="24" t="n">
        <x:f>F1766-G1766</x:f>
        <x:v>-0.08313647462455087</x:v>
      </x:c>
    </x:row>
    <x:row r="1767">
      <x:c r="A1767" s="2" t="str">
        <x:v>LiND-Hybrid</x:v>
      </x:c>
      <x:c r="B1767" s="4" t="str">
        <x:v>LiCl</x:v>
      </x:c>
      <x:c r="C1767" s="23" t="n">
        <x:v>2.346551</x:v>
      </x:c>
      <x:c r="D1767" s="23" t="n">
        <x:v>-2.674892</x:v>
      </x:c>
      <x:c r="E1767" s="23" t="n">
        <x:f>'Parameters'!$B$2*'Parameters'!$B$3*LN(4*PI()*C1767^2)</x:f>
        <x:v>10.503136241980407</x:v>
      </x:c>
      <x:c r="F1767" s="23" t="n">
        <x:f>D1767+E1767</x:f>
        <x:v>7.828244241980407</x:v>
      </x:c>
      <x:c r="G1767" s="23" t="n">
        <x:f>AVERAGE($F$1742:$F$1766)</x:f>
        <x:v>7.973833075519117</x:v>
      </x:c>
      <x:c r="H1767" s="24" t="n">
        <x:f>F1767-G1767</x:f>
        <x:v>-0.1455888335387101</x:v>
      </x:c>
    </x:row>
    <x:row r="1768">
      <x:c r="A1768" s="2" t="str">
        <x:v>LiND-Hybrid</x:v>
      </x:c>
      <x:c r="B1768" s="4" t="str">
        <x:v>LiCl</x:v>
      </x:c>
      <x:c r="C1768" s="23" t="n">
        <x:v>2.358885</x:v>
      </x:c>
      <x:c r="D1768" s="23" t="n">
        <x:v>-2.599265</x:v>
      </x:c>
      <x:c r="E1768" s="23" t="n">
        <x:f>'Parameters'!$B$2*'Parameters'!$B$3*LN(4*PI()*C1768^2)</x:f>
        <x:v>10.529127904414654</x:v>
      </x:c>
      <x:c r="F1768" s="23" t="n">
        <x:f>D1768+E1768</x:f>
        <x:v>7.929862904414654</x:v>
      </x:c>
      <x:c r="G1768" s="23" t="n">
        <x:f>AVERAGE($F$1742:$F$1766)</x:f>
        <x:v>7.973833075519117</x:v>
      </x:c>
      <x:c r="H1768" s="24" t="n">
        <x:f>F1768-G1768</x:f>
        <x:v>-0.043970171104462885</x:v>
      </x:c>
    </x:row>
    <x:row r="1769">
      <x:c r="A1769" s="2" t="str">
        <x:v>LiND-Hybrid</x:v>
      </x:c>
      <x:c r="B1769" s="4" t="str">
        <x:v>LiCl</x:v>
      </x:c>
      <x:c r="C1769" s="23" t="n">
        <x:v>2.371218</x:v>
      </x:c>
      <x:c r="D1769" s="23" t="n">
        <x:v>-2.576955</x:v>
      </x:c>
      <x:c r="E1769" s="23" t="n">
        <x:f>'Parameters'!$B$2*'Parameters'!$B$3*LN(4*PI()*C1769^2)</x:f>
        <x:v>10.554981926051937</x:v>
      </x:c>
      <x:c r="F1769" s="23" t="n">
        <x:f>D1769+E1769</x:f>
        <x:v>7.978026926051937</x:v>
      </x:c>
      <x:c r="G1769" s="23" t="n">
        <x:f>AVERAGE($F$1742:$F$1766)</x:f>
        <x:v>7.973833075519117</x:v>
      </x:c>
      <x:c r="H1769" s="24" t="n">
        <x:f>F1769-G1769</x:f>
        <x:v>0.004193850532820065</x:v>
      </x:c>
    </x:row>
    <x:row r="1770">
      <x:c r="A1770" s="2" t="str">
        <x:v>LiND-Hybrid</x:v>
      </x:c>
      <x:c r="B1770" s="4" t="str">
        <x:v>LiCl</x:v>
      </x:c>
      <x:c r="C1770" s="23" t="n">
        <x:v>2.383552</x:v>
      </x:c>
      <x:c r="D1770" s="23" t="n">
        <x:v>-2.57006</x:v>
      </x:c>
      <x:c r="E1770" s="23" t="n">
        <x:f>'Parameters'!$B$2*'Parameters'!$B$3*LN(4*PI()*C1770^2)</x:f>
        <x:v>10.580703905944867</x:v>
      </x:c>
      <x:c r="F1770" s="23" t="n">
        <x:f>D1770+E1770</x:f>
        <x:v>8.010643905944868</x:v>
      </x:c>
      <x:c r="G1770" s="23" t="n">
        <x:f>AVERAGE($F$1742:$F$1766)</x:f>
        <x:v>7.973833075519117</x:v>
      </x:c>
      <x:c r="H1770" s="24" t="n">
        <x:f>F1770-G1770</x:f>
        <x:v>0.036810830425750396</x:v>
      </x:c>
    </x:row>
    <x:row r="1771">
      <x:c r="A1771" s="2" t="str">
        <x:v>LiND-Hybrid</x:v>
      </x:c>
      <x:c r="B1771" s="4" t="str">
        <x:v>LiCl</x:v>
      </x:c>
      <x:c r="C1771" s="23" t="n">
        <x:v>2.395886</x:v>
      </x:c>
      <x:c r="D1771" s="23" t="n">
        <x:v>-2.583438</x:v>
      </x:c>
      <x:c r="E1771" s="23" t="n">
        <x:f>'Parameters'!$B$2*'Parameters'!$B$3*LN(4*PI()*C1771^2)</x:f>
        <x:v>10.606293127002049</x:v>
      </x:c>
      <x:c r="F1771" s="23" t="n">
        <x:f>D1771+E1771</x:f>
        <x:v>8.02285512700205</x:v>
      </x:c>
      <x:c r="G1771" s="23" t="n">
        <x:f>AVERAGE($F$1742:$F$1766)</x:f>
        <x:v>7.973833075519117</x:v>
      </x:c>
      <x:c r="H1771" s="24" t="n">
        <x:f>F1771-G1771</x:f>
        <x:v>0.04902205148293248</x:v>
      </x:c>
    </x:row>
    <x:row r="1772">
      <x:c r="A1772" s="2" t="str">
        <x:v>LiND-Hybrid</x:v>
      </x:c>
      <x:c r="B1772" s="4" t="str">
        <x:v>LiCl</x:v>
      </x:c>
      <x:c r="C1772" s="23" t="n">
        <x:v>2.40822</x:v>
      </x:c>
      <x:c r="D1772" s="23" t="n">
        <x:v>-2.689338</x:v>
      </x:c>
      <x:c r="E1772" s="23" t="n">
        <x:f>'Parameters'!$B$2*'Parameters'!$B$3*LN(4*PI()*C1772^2)</x:f>
        <x:v>10.63175095260583</x:v>
      </x:c>
      <x:c r="F1772" s="23" t="n">
        <x:f>D1772+E1772</x:f>
        <x:v>7.94241295260583</x:v>
      </x:c>
      <x:c r="G1772" s="23" t="n">
        <x:f>AVERAGE($F$1742:$F$1766)</x:f>
        <x:v>7.973833075519117</x:v>
      </x:c>
      <x:c r="H1772" s="24" t="n">
        <x:f>F1772-G1772</x:f>
        <x:v>-0.03142012291328733</x:v>
      </x:c>
    </x:row>
    <x:row r="1773">
      <x:c r="A1773" s="2" t="str">
        <x:v>LiND-Hybrid</x:v>
      </x:c>
      <x:c r="B1773" s="4" t="str">
        <x:v>LiCl</x:v>
      </x:c>
      <x:c r="C1773" s="23" t="n">
        <x:v>2.420553</x:v>
      </x:c>
      <x:c r="D1773" s="23" t="n">
        <x:v>-2.790425</x:v>
      </x:c>
      <x:c r="E1773" s="23" t="n">
        <x:f>'Parameters'!$B$2*'Parameters'!$B$3*LN(4*PI()*C1773^2)</x:f>
        <x:v>10.657076676987336</x:v>
      </x:c>
      <x:c r="F1773" s="23" t="n">
        <x:f>D1773+E1773</x:f>
        <x:v>7.866651676987336</x:v>
      </x:c>
      <x:c r="G1773" s="23" t="n">
        <x:f>AVERAGE($F$1742:$F$1766)</x:f>
        <x:v>7.973833075519117</x:v>
      </x:c>
      <x:c r="H1773" s="24" t="n">
        <x:f>F1773-G1773</x:f>
        <x:v>-0.10718139853178155</x:v>
      </x:c>
    </x:row>
    <x:row r="1774">
      <x:c r="A1774" s="2" t="str">
        <x:v>LiND-Hybrid</x:v>
      </x:c>
      <x:c r="B1774" s="4" t="str">
        <x:v>LiCl</x:v>
      </x:c>
      <x:c r="C1774" s="23" t="n">
        <x:v>2.432887</x:v>
      </x:c>
      <x:c r="D1774" s="23" t="n">
        <x:v>-2.711457</x:v>
      </x:c>
      <x:c r="E1774" s="23" t="n">
        <x:f>'Parameters'!$B$2*'Parameters'!$B$3*LN(4*PI()*C1774^2)</x:f>
        <x:v>10.682275729060693</x:v>
      </x:c>
      <x:c r="F1774" s="23" t="n">
        <x:f>D1774+E1774</x:f>
        <x:v>7.970818729060694</x:v>
      </x:c>
      <x:c r="G1774" s="23" t="n">
        <x:f>AVERAGE($F$1742:$F$1766)</x:f>
        <x:v>7.973833075519117</x:v>
      </x:c>
      <x:c r="H1774" s="24" t="n">
        <x:f>F1774-G1774</x:f>
        <x:v>-0.003014346458423134</x:v>
      </x:c>
    </x:row>
    <x:row r="1775">
      <x:c r="A1775" s="2" t="str">
        <x:v>LiND-Hybrid</x:v>
      </x:c>
      <x:c r="B1775" s="4" t="str">
        <x:v>LiCl</x:v>
      </x:c>
      <x:c r="C1775" s="23" t="n">
        <x:v>2.445221</x:v>
      </x:c>
      <x:c r="D1775" s="23" t="n">
        <x:v>-2.764174</x:v>
      </x:c>
      <x:c r="E1775" s="23" t="n">
        <x:f>'Parameters'!$B$2*'Parameters'!$B$3*LN(4*PI()*C1775^2)</x:f>
        <x:v>10.707347352042158</x:v>
      </x:c>
      <x:c r="F1775" s="23" t="n">
        <x:f>D1775+E1775</x:f>
        <x:v>7.943173352042157</x:v>
      </x:c>
      <x:c r="G1775" s="23" t="n">
        <x:f>AVERAGE($F$1742:$F$1766)</x:f>
        <x:v>7.973833075519117</x:v>
      </x:c>
      <x:c r="H1775" s="24" t="n">
        <x:f>F1775-G1775</x:f>
        <x:v>-0.03065972347696011</x:v>
      </x:c>
    </x:row>
    <x:row r="1776">
      <x:c r="A1776" s="2" t="str">
        <x:v>LiND-Hybrid</x:v>
      </x:c>
      <x:c r="B1776" s="4" t="str">
        <x:v>LiCl</x:v>
      </x:c>
      <x:c r="C1776" s="23" t="n">
        <x:v>2.457555</x:v>
      </x:c>
      <x:c r="D1776" s="23" t="n">
        <x:v>-2.712988</x:v>
      </x:c>
      <x:c r="E1776" s="23" t="n">
        <x:f>'Parameters'!$B$2*'Parameters'!$B$3*LN(4*PI()*C1776^2)</x:f>
        <x:v>10.732292828242336</x:v>
      </x:c>
      <x:c r="F1776" s="23" t="n">
        <x:f>D1776+E1776</x:f>
        <x:v>8.019304828242337</x:v>
      </x:c>
      <x:c r="G1776" s="23" t="n">
        <x:f>AVERAGE($F$1742:$F$1766)</x:f>
        <x:v>7.973833075519117</x:v>
      </x:c>
      <x:c r="H1776" s="24" t="n">
        <x:f>F1776-G1776</x:f>
        <x:v>0.045471752723219794</x:v>
      </x:c>
    </x:row>
    <x:row r="1777">
      <x:c r="A1777" s="2" t="str">
        <x:v>LiND-Hybrid</x:v>
      </x:c>
      <x:c r="B1777" s="4" t="str">
        <x:v>LiCl</x:v>
      </x:c>
      <x:c r="C1777" s="23" t="n">
        <x:v>2.469888</x:v>
      </x:c>
      <x:c r="D1777" s="23" t="n">
        <x:v>-2.623383</x:v>
      </x:c>
      <x:c r="E1777" s="23" t="n">
        <x:f>'Parameters'!$B$2*'Parameters'!$B$3*LN(4*PI()*C1777^2)</x:f>
        <x:v>10.757111413369714</x:v>
      </x:c>
      <x:c r="F1777" s="23" t="n">
        <x:f>D1777+E1777</x:f>
        <x:v>8.133728413369713</x:v>
      </x:c>
      <x:c r="G1777" s="23" t="n">
        <x:f>AVERAGE($F$1742:$F$1766)</x:f>
        <x:v>7.973833075519117</x:v>
      </x:c>
      <x:c r="H1777" s="24" t="n">
        <x:f>F1777-G1777</x:f>
        <x:v>0.15989533785059606</x:v>
      </x:c>
    </x:row>
    <x:row r="1778">
      <x:c r="A1778" s="2" t="str">
        <x:v>LiND-Hybrid</x:v>
      </x:c>
      <x:c r="B1778" s="4" t="str">
        <x:v>LiCl</x:v>
      </x:c>
      <x:c r="C1778" s="23" t="n">
        <x:v>2.482222</x:v>
      </x:c>
      <x:c r="D1778" s="23" t="n">
        <x:v>-2.64716</x:v>
      </x:c>
      <x:c r="E1778" s="23" t="n">
        <x:f>'Parameters'!$B$2*'Parameters'!$B$3*LN(4*PI()*C1778^2)</x:f>
        <x:v>10.78180837626183</x:v>
      </x:c>
      <x:c r="F1778" s="23" t="n">
        <x:f>D1778+E1778</x:f>
        <x:v>8.134648376261831</x:v>
      </x:c>
      <x:c r="G1778" s="23" t="n">
        <x:f>AVERAGE($F$1742:$F$1766)</x:f>
        <x:v>7.973833075519117</x:v>
      </x:c>
      <x:c r="H1778" s="24" t="n">
        <x:f>F1778-G1778</x:f>
        <x:v>0.16081530074271377</x:v>
      </x:c>
    </x:row>
    <x:row r="1779">
      <x:c r="A1779" s="2" t="str">
        <x:v>LiND-Hybrid</x:v>
      </x:c>
      <x:c r="B1779" s="4" t="str">
        <x:v>LiCl</x:v>
      </x:c>
      <x:c r="C1779" s="23" t="n">
        <x:v>2.494556</x:v>
      </x:c>
      <x:c r="D1779" s="23" t="n">
        <x:v>-2.703352</x:v>
      </x:c>
      <x:c r="E1779" s="23" t="n">
        <x:f>'Parameters'!$B$2*'Parameters'!$B$3*LN(4*PI()*C1779^2)</x:f>
        <x:v>10.806382925178191</x:v>
      </x:c>
      <x:c r="F1779" s="23" t="n">
        <x:f>D1779+E1779</x:f>
        <x:v>8.10303092517819</x:v>
      </x:c>
      <x:c r="G1779" s="23" t="n">
        <x:f>AVERAGE($F$1742:$F$1766)</x:f>
        <x:v>7.973833075519117</x:v>
      </x:c>
      <x:c r="H1779" s="24" t="n">
        <x:f>F1779-G1779</x:f>
        <x:v>0.12919784965907333</x:v>
      </x:c>
    </x:row>
    <x:row r="1780">
      <x:c r="A1780" s="2" t="str">
        <x:v>LiND-Hybrid</x:v>
      </x:c>
      <x:c r="B1780" s="4" t="str">
        <x:v>LiCl</x:v>
      </x:c>
      <x:c r="C1780" s="23" t="n">
        <x:v>2.50689</x:v>
      </x:c>
      <x:c r="D1780" s="23" t="n">
        <x:v>-2.733597</x:v>
      </x:c>
      <x:c r="E1780" s="23" t="n">
        <x:f>'Parameters'!$B$2*'Parameters'!$B$3*LN(4*PI()*C1780^2)</x:f>
        <x:v>10.830836267660143</x:v>
      </x:c>
      <x:c r="F1780" s="23" t="n">
        <x:f>D1780+E1780</x:f>
        <x:v>8.097239267660143</x:v>
      </x:c>
      <x:c r="G1780" s="23" t="n">
        <x:f>AVERAGE($F$1742:$F$1766)</x:f>
        <x:v>7.973833075519117</x:v>
      </x:c>
      <x:c r="H1780" s="24" t="n">
        <x:f>F1780-G1780</x:f>
        <x:v>0.12340619214102588</x:v>
      </x:c>
    </x:row>
    <x:row r="1781">
      <x:c r="A1781" s="2" t="str">
        <x:v>LiND-Hybrid</x:v>
      </x:c>
      <x:c r="B1781" s="4" t="str">
        <x:v>LiCl</x:v>
      </x:c>
      <x:c r="C1781" s="23" t="n">
        <x:v>2.519223</x:v>
      </x:c>
      <x:c r="D1781" s="23" t="n">
        <x:v>-2.688541</x:v>
      </x:c>
      <x:c r="E1781" s="23" t="n">
        <x:f>'Parameters'!$B$2*'Parameters'!$B$3*LN(4*PI()*C1781^2)</x:f>
        <x:v>10.855167625436529</x:v>
      </x:c>
      <x:c r="F1781" s="23" t="n">
        <x:f>D1781+E1781</x:f>
        <x:v>8.166626625436528</x:v>
      </x:c>
      <x:c r="G1781" s="23" t="n">
        <x:f>AVERAGE($F$1742:$F$1766)</x:f>
        <x:v>7.973833075519117</x:v>
      </x:c>
      <x:c r="H1781" s="24" t="n">
        <x:f>F1781-G1781</x:f>
        <x:v>0.19279354991741116</x:v>
      </x:c>
    </x:row>
    <x:row r="1782">
      <x:c r="A1782" s="2" t="str">
        <x:v>LiND-Hybrid</x:v>
      </x:c>
      <x:c r="B1782" s="4" t="str">
        <x:v>LiCl</x:v>
      </x:c>
      <x:c r="C1782" s="23" t="n">
        <x:v>2.531557</x:v>
      </x:c>
      <x:c r="D1782" s="23" t="n">
        <x:v>-2.695866</x:v>
      </x:c>
      <x:c r="E1782" s="23" t="n">
        <x:f>'Parameters'!$B$2*'Parameters'!$B$3*LN(4*PI()*C1782^2)</x:f>
        <x:v>10.879382116490037</x:v>
      </x:c>
      <x:c r="F1782" s="23" t="n">
        <x:f>D1782+E1782</x:f>
        <x:v>8.183516116490036</x:v>
      </x:c>
      <x:c r="G1782" s="23" t="n">
        <x:f>AVERAGE($F$1742:$F$1766)</x:f>
        <x:v>7.973833075519117</x:v>
      </x:c>
      <x:c r="H1782" s="24" t="n">
        <x:f>F1782-G1782</x:f>
        <x:v>0.20968304097091917</x:v>
      </x:c>
    </x:row>
    <x:row r="1783">
      <x:c r="A1783" s="2" t="str">
        <x:v>LiND-Hybrid</x:v>
      </x:c>
      <x:c r="B1783" s="4" t="str">
        <x:v>LiCl</x:v>
      </x:c>
      <x:c r="C1783" s="23" t="n">
        <x:v>2.543891</x:v>
      </x:c>
      <x:c r="D1783" s="23" t="n">
        <x:v>-2.81593</x:v>
      </x:c>
      <x:c r="E1783" s="23" t="n">
        <x:f>'Parameters'!$B$2*'Parameters'!$B$3*LN(4*PI()*C1783^2)</x:f>
        <x:v>10.903478918341975</x:v>
      </x:c>
      <x:c r="F1783" s="23" t="n">
        <x:f>D1783+E1783</x:f>
        <x:v>8.087548918341975</x:v>
      </x:c>
      <x:c r="G1783" s="23" t="n">
        <x:f>AVERAGE($F$1742:$F$1766)</x:f>
        <x:v>7.973833075519117</x:v>
      </x:c>
      <x:c r="H1783" s="24" t="n">
        <x:f>F1783-G1783</x:f>
        <x:v>0.11371584282285774</x:v>
      </x:c>
    </x:row>
    <x:row r="1784">
      <x:c r="A1784" s="2" t="str">
        <x:v>LiND-Hybrid</x:v>
      </x:c>
      <x:c r="B1784" s="4" t="str">
        <x:v>LiCl</x:v>
      </x:c>
      <x:c r="C1784" s="23" t="n">
        <x:v>2.556225</x:v>
      </x:c>
      <x:c r="D1784" s="23" t="n">
        <x:v>-2.929362</x:v>
      </x:c>
      <x:c r="E1784" s="23" t="n">
        <x:f>'Parameters'!$B$2*'Parameters'!$B$3*LN(4*PI()*C1784^2)</x:f>
        <x:v>10.927459169466168</x:v>
      </x:c>
      <x:c r="F1784" s="23" t="n">
        <x:f>D1784+E1784</x:f>
        <x:v>7.998097169466169</x:v>
      </x:c>
      <x:c r="G1784" s="23" t="n">
        <x:f>AVERAGE($F$1742:$F$1766)</x:f>
        <x:v>7.973833075519117</x:v>
      </x:c>
      <x:c r="H1784" s="24" t="n">
        <x:f>F1784-G1784</x:f>
        <x:v>0.024264093947051535</x:v>
      </x:c>
    </x:row>
    <x:row r="1785">
      <x:c r="A1785" s="2" t="str">
        <x:v>LiND-Hybrid</x:v>
      </x:c>
      <x:c r="B1785" s="4" t="str">
        <x:v>LiCl</x:v>
      </x:c>
      <x:c r="C1785" s="23" t="n">
        <x:v>2.568558</x:v>
      </x:c>
      <x:c r="D1785" s="23" t="n">
        <x:v>-2.858848</x:v>
      </x:c>
      <x:c r="E1785" s="23" t="n">
        <x:f>'Parameters'!$B$2*'Parameters'!$B$3*LN(4*PI()*C1785^2)</x:f>
        <x:v>10.95132206166418</x:v>
      </x:c>
      <x:c r="F1785" s="23" t="n">
        <x:f>D1785+E1785</x:f>
        <x:v>8.09247406166418</x:v>
      </x:c>
      <x:c r="G1785" s="23" t="n">
        <x:f>AVERAGE($F$1742:$F$1766)</x:f>
        <x:v>7.973833075519117</x:v>
      </x:c>
      <x:c r="H1785" s="24" t="n">
        <x:f>F1785-G1785</x:f>
        <x:v>0.11864098614506347</x:v>
      </x:c>
    </x:row>
    <x:row r="1786">
      <x:c r="A1786" s="2" t="str">
        <x:v>LiND-Hybrid</x:v>
      </x:c>
      <x:c r="B1786" s="4" t="str">
        <x:v>LiCl</x:v>
      </x:c>
      <x:c r="C1786" s="23" t="n">
        <x:v>2.580892</x:v>
      </x:c>
      <x:c r="D1786" s="23" t="n">
        <x:v>-2.818504</x:v>
      </x:c>
      <x:c r="E1786" s="23" t="n">
        <x:f>'Parameters'!$B$2*'Parameters'!$B$3*LN(4*PI()*C1786^2)</x:f>
        <x:v>10.975072570533255</x:v>
      </x:c>
      <x:c r="F1786" s="23" t="n">
        <x:f>D1786+E1786</x:f>
        <x:v>8.156568570533256</x:v>
      </x:c>
      <x:c r="G1786" s="23" t="n">
        <x:f>AVERAGE($F$1742:$F$1766)</x:f>
        <x:v>7.973833075519117</x:v>
      </x:c>
      <x:c r="H1786" s="24" t="n">
        <x:f>F1786-G1786</x:f>
        <x:v>0.1827354950141391</x:v>
      </x:c>
    </x:row>
    <x:row r="1787">
      <x:c r="A1787" s="2" t="str">
        <x:v>LiND-Hybrid</x:v>
      </x:c>
      <x:c r="B1787" s="4" t="str">
        <x:v>LiCl</x:v>
      </x:c>
      <x:c r="C1787" s="23" t="n">
        <x:v>2.593226</x:v>
      </x:c>
      <x:c r="D1787" s="23" t="n">
        <x:v>-2.754231</x:v>
      </x:c>
      <x:c r="E1787" s="23" t="n">
        <x:f>'Parameters'!$B$2*'Parameters'!$B$3*LN(4*PI()*C1787^2)</x:f>
        <x:v>10.998709846619933</x:v>
      </x:c>
      <x:c r="F1787" s="23" t="n">
        <x:f>D1787+E1787</x:f>
        <x:v>8.244478846619934</x:v>
      </x:c>
      <x:c r="G1787" s="23" t="n">
        <x:f>AVERAGE($F$1742:$F$1766)</x:f>
        <x:v>7.973833075519117</x:v>
      </x:c>
      <x:c r="H1787" s="24" t="n">
        <x:f>F1787-G1787</x:f>
        <x:v>0.270645771100817</x:v>
      </x:c>
    </x:row>
    <x:row r="1788">
      <x:c r="A1788" s="2" t="str">
        <x:v>LiND-Hybrid</x:v>
      </x:c>
      <x:c r="B1788" s="4" t="str">
        <x:v>LiCl</x:v>
      </x:c>
      <x:c r="C1788" s="23" t="n">
        <x:v>2.60556</x:v>
      </x:c>
      <x:c r="D1788" s="23" t="n">
        <x:v>-2.822785</x:v>
      </x:c>
      <x:c r="E1788" s="23" t="n">
        <x:f>'Parameters'!$B$2*'Parameters'!$B$3*LN(4*PI()*C1788^2)</x:f>
        <x:v>11.022234964498958</x:v>
      </x:c>
      <x:c r="F1788" s="23" t="n">
        <x:f>D1788+E1788</x:f>
        <x:v>8.199449964498958</x:v>
      </x:c>
      <x:c r="G1788" s="23" t="n">
        <x:f>AVERAGE($F$1742:$F$1766)</x:f>
        <x:v>7.973833075519117</x:v>
      </x:c>
      <x:c r="H1788" s="24" t="n">
        <x:f>F1788-G1788</x:f>
        <x:v>0.22561688897984133</x:v>
      </x:c>
    </x:row>
    <x:row r="1789">
      <x:c r="A1789" s="2" t="str">
        <x:v>LiND-Hybrid</x:v>
      </x:c>
      <x:c r="B1789" s="4" t="str">
        <x:v>LiCl</x:v>
      </x:c>
      <x:c r="C1789" s="23" t="n">
        <x:v>2.617893</x:v>
      </x:c>
      <x:c r="D1789" s="23" t="n">
        <x:v>-2.771051</x:v>
      </x:c>
      <x:c r="E1789" s="23" t="n">
        <x:f>'Parameters'!$B$2*'Parameters'!$B$3*LN(4*PI()*C1789^2)</x:f>
        <x:v>11.045647089664497</x:v>
      </x:c>
      <x:c r="F1789" s="23" t="n">
        <x:f>D1789+E1789</x:f>
        <x:v>8.274596089664497</x:v>
      </x:c>
      <x:c r="G1789" s="23" t="n">
        <x:f>AVERAGE($F$1742:$F$1766)</x:f>
        <x:v>7.973833075519117</x:v>
      </x:c>
      <x:c r="H1789" s="24" t="n">
        <x:f>F1789-G1789</x:f>
        <x:v>0.30076301414537987</x:v>
      </x:c>
    </x:row>
    <x:row r="1790">
      <x:c r="A1790" s="2" t="str">
        <x:v>LiND-Hybrid</x:v>
      </x:c>
      <x:c r="B1790" s="4" t="str">
        <x:v>LiCl</x:v>
      </x:c>
      <x:c r="C1790" s="23" t="n">
        <x:v>2.630227</x:v>
      </x:c>
      <x:c r="D1790" s="23" t="n">
        <x:v>-2.794387</x:v>
      </x:c>
      <x:c r="E1790" s="23" t="n">
        <x:f>'Parameters'!$B$2*'Parameters'!$B$3*LN(4*PI()*C1790^2)</x:f>
        <x:v>11.068951063122421</x:v>
      </x:c>
      <x:c r="F1790" s="23" t="n">
        <x:f>D1790+E1790</x:f>
        <x:v>8.27456406312242</x:v>
      </x:c>
      <x:c r="G1790" s="23" t="n">
        <x:f>AVERAGE($F$1742:$F$1766)</x:f>
        <x:v>7.973833075519117</x:v>
      </x:c>
      <x:c r="H1790" s="24" t="n">
        <x:f>F1790-G1790</x:f>
        <x:v>0.30073098760330375</x:v>
      </x:c>
    </x:row>
    <x:row r="1791">
      <x:c r="A1791" s="2" t="str">
        <x:v>LiND-Hybrid</x:v>
      </x:c>
      <x:c r="B1791" s="4" t="str">
        <x:v>LiCl</x:v>
      </x:c>
      <x:c r="C1791" s="23" t="n">
        <x:v>2.642561</x:v>
      </x:c>
      <x:c r="D1791" s="23" t="n">
        <x:v>-2.908491</x:v>
      </x:c>
      <x:c r="E1791" s="23" t="n">
        <x:f>'Parameters'!$B$2*'Parameters'!$B$3*LN(4*PI()*C1791^2)</x:f>
        <x:v>11.092146011806506</x:v>
      </x:c>
      <x:c r="F1791" s="23" t="n">
        <x:f>D1791+E1791</x:f>
        <x:v>8.183655011806506</x:v>
      </x:c>
      <x:c r="G1791" s="23" t="n">
        <x:f>AVERAGE($F$1742:$F$1766)</x:f>
        <x:v>7.973833075519117</x:v>
      </x:c>
      <x:c r="H1791" s="24" t="n">
        <x:f>F1791-G1791</x:f>
        <x:v>0.20982193628738877</x:v>
      </x:c>
    </x:row>
    <x:row r="1792">
      <x:c r="A1792" s="2" t="str">
        <x:v>LiND-Hybrid</x:v>
      </x:c>
      <x:c r="B1792" s="4" t="str">
        <x:v>LiCl</x:v>
      </x:c>
      <x:c r="C1792" s="23" t="n">
        <x:v>2.654895</x:v>
      </x:c>
      <x:c r="D1792" s="23" t="n">
        <x:v>-2.94445</x:v>
      </x:c>
      <x:c r="E1792" s="23" t="n">
        <x:f>'Parameters'!$B$2*'Parameters'!$B$3*LN(4*PI()*C1792^2)</x:f>
        <x:v>11.115232951086305</x:v>
      </x:c>
      <x:c r="F1792" s="23" t="n">
        <x:f>D1792+E1792</x:f>
        <x:v>8.170782951086306</x:v>
      </x:c>
      <x:c r="G1792" s="23" t="n">
        <x:f>AVERAGE($F$1742:$F$1766)</x:f>
        <x:v>7.973833075519117</x:v>
      </x:c>
      <x:c r="H1792" s="24" t="n">
        <x:f>F1792-G1792</x:f>
        <x:v>0.19694987556718857</x:v>
      </x:c>
    </x:row>
    <x:row r="1793">
      <x:c r="A1793" s="2" t="str">
        <x:v>LiND-Hybrid</x:v>
      </x:c>
      <x:c r="B1793" s="4" t="str">
        <x:v>LiCl</x:v>
      </x:c>
      <x:c r="C1793" s="23" t="n">
        <x:v>2.667228</x:v>
      </x:c>
      <x:c r="D1793" s="23" t="n">
        <x:v>-2.755171</x:v>
      </x:c>
      <x:c r="E1793" s="23" t="n">
        <x:f>'Parameters'!$B$2*'Parameters'!$B$3*LN(4*PI()*C1793^2)</x:f>
        <x:v>11.138211023386441</x:v>
      </x:c>
      <x:c r="F1793" s="23" t="n">
        <x:f>D1793+E1793</x:f>
        <x:v>8.383040023386442</x:v>
      </x:c>
      <x:c r="G1793" s="23" t="n">
        <x:f>AVERAGE($F$1742:$F$1766)</x:f>
        <x:v>7.973833075519117</x:v>
      </x:c>
      <x:c r="H1793" s="24" t="n">
        <x:f>F1793-G1793</x:f>
        <x:v>0.40920694786732525</x:v>
      </x:c>
    </x:row>
    <x:row r="1794">
      <x:c r="A1794" s="2" t="str">
        <x:v>LiND-Hybrid</x:v>
      </x:c>
      <x:c r="B1794" s="4" t="str">
        <x:v>LiCl</x:v>
      </x:c>
      <x:c r="C1794" s="23" t="n">
        <x:v>2.679562</x:v>
      </x:c>
      <x:c r="D1794" s="23" t="n">
        <x:v>-3.075048</x:v>
      </x:c>
      <x:c r="E1794" s="23" t="n">
        <x:f>'Parameters'!$B$2*'Parameters'!$B$3*LN(4*PI()*C1794^2)</x:f>
        <x:v>11.161084942307888</x:v>
      </x:c>
      <x:c r="F1794" s="23" t="n">
        <x:f>D1794+E1794</x:f>
        <x:v>8.086036942307889</x:v>
      </x:c>
      <x:c r="G1794" s="23" t="n">
        <x:f>AVERAGE($F$1742:$F$1766)</x:f>
        <x:v>7.973833075519117</x:v>
      </x:c>
      <x:c r="H1794" s="24" t="n">
        <x:f>F1794-G1794</x:f>
        <x:v>0.11220386678877148</x:v>
      </x:c>
    </x:row>
    <x:row r="1795">
      <x:c r="A1795" s="2" t="str">
        <x:v>LiND-Hybrid</x:v>
      </x:c>
      <x:c r="B1795" s="4" t="str">
        <x:v>LiCl</x:v>
      </x:c>
      <x:c r="C1795" s="23" t="n">
        <x:v>2.691896</x:v>
      </x:c>
      <x:c r="D1795" s="23" t="n">
        <x:v>-2.848788</x:v>
      </x:c>
      <x:c r="E1795" s="23" t="n">
        <x:f>'Parameters'!$B$2*'Parameters'!$B$3*LN(4*PI()*C1795^2)</x:f>
        <x:v>11.183853814178805</x:v>
      </x:c>
      <x:c r="F1795" s="23" t="n">
        <x:f>D1795+E1795</x:f>
        <x:v>8.335065814178805</x:v>
      </x:c>
      <x:c r="G1795" s="23" t="n">
        <x:f>AVERAGE($F$1742:$F$1766)</x:f>
        <x:v>7.973833075519117</x:v>
      </x:c>
      <x:c r="H1795" s="24" t="n">
        <x:f>F1795-G1795</x:f>
        <x:v>0.3612327386596874</x:v>
      </x:c>
    </x:row>
    <x:row r="1796">
      <x:c r="A1796" s="2" t="str">
        <x:v>LiND-Hybrid</x:v>
      </x:c>
      <x:c r="B1796" s="4" t="str">
        <x:v>LiCl</x:v>
      </x:c>
      <x:c r="C1796" s="23" t="n">
        <x:v>2.70423</x:v>
      </x:c>
      <x:c r="D1796" s="23" t="n">
        <x:v>-3.034976</x:v>
      </x:c>
      <x:c r="E1796" s="23" t="n">
        <x:f>'Parameters'!$B$2*'Parameters'!$B$3*LN(4*PI()*C1796^2)</x:f>
        <x:v>11.20651859943424</x:v>
      </x:c>
      <x:c r="F1796" s="23" t="n">
        <x:f>D1796+E1796</x:f>
        <x:v>8.17154259943424</x:v>
      </x:c>
      <x:c r="G1796" s="23" t="n">
        <x:f>AVERAGE($F$1742:$F$1766)</x:f>
        <x:v>7.973833075519117</x:v>
      </x:c>
      <x:c r="H1796" s="24" t="n">
        <x:f>F1796-G1796</x:f>
        <x:v>0.19770952391512253</x:v>
      </x:c>
    </x:row>
    <x:row r="1797">
      <x:c r="A1797" s="2" t="str">
        <x:v>LiND-Hybrid</x:v>
      </x:c>
      <x:c r="B1797" s="4" t="str">
        <x:v>LiCl</x:v>
      </x:c>
      <x:c r="C1797" s="23" t="n">
        <x:v>2.716563</x:v>
      </x:c>
      <x:c r="D1797" s="23" t="n">
        <x:v>-2.45188</x:v>
      </x:c>
      <x:c r="E1797" s="23" t="n">
        <x:f>'Parameters'!$B$2*'Parameters'!$B$3*LN(4*PI()*C1797^2)</x:f>
        <x:v>11.22907842032905</x:v>
      </x:c>
      <x:c r="F1797" s="23" t="n">
        <x:f>D1797+E1797</x:f>
        <x:v>8.77719842032905</x:v>
      </x:c>
      <x:c r="G1797" s="23" t="n">
        <x:f>AVERAGE($F$1742:$F$1766)</x:f>
        <x:v>7.973833075519117</x:v>
      </x:c>
      <x:c r="H1797" s="24" t="n">
        <x:f>F1797-G1797</x:f>
        <x:v>0.8033653448099329</x:v>
      </x:c>
    </x:row>
    <x:row r="1798">
      <x:c r="A1798" s="2" t="str">
        <x:v>LiND-Hybrid</x:v>
      </x:c>
      <x:c r="B1798" s="4" t="str">
        <x:v>LiCl</x:v>
      </x:c>
      <x:c r="C1798" s="23" t="n">
        <x:v>2.728897</x:v>
      </x:c>
      <x:c r="D1798" s="23" t="n">
        <x:v>-3.577537</x:v>
      </x:c>
      <x:c r="E1798" s="23" t="n">
        <x:f>'Parameters'!$B$2*'Parameters'!$B$3*LN(4*PI()*C1798^2)</x:f>
        <x:v>11.251537869697794</x:v>
      </x:c>
      <x:c r="F1798" s="23" t="n">
        <x:f>D1798+E1798</x:f>
        <x:v>7.674000869697794</x:v>
      </x:c>
      <x:c r="G1798" s="23" t="n">
        <x:f>AVERAGE($F$1742:$F$1766)</x:f>
        <x:v>7.973833075519117</x:v>
      </x:c>
      <x:c r="H1798" s="24" t="n">
        <x:f>F1798-G1798</x:f>
        <x:v>-0.299832205821323</x:v>
      </x:c>
    </x:row>
    <x:row r="1799">
      <x:c r="A1799" s="2" t="str">
        <x:v>LiND-Hybrid</x:v>
      </x:c>
      <x:c r="B1799" s="4" t="str">
        <x:v>LiCl</x:v>
      </x:c>
      <x:c r="C1799" s="23" t="n">
        <x:v>2.741231</x:v>
      </x:c>
      <x:c r="D1799" s="23" t="n">
        <x:v>-2.60807</x:v>
      </x:c>
      <x:c r="E1799" s="23" t="n">
        <x:f>'Parameters'!$B$2*'Parameters'!$B$3*LN(4*PI()*C1799^2)</x:f>
        <x:v>11.273896035955957</x:v>
      </x:c>
      <x:c r="F1799" s="23" t="n">
        <x:f>D1799+E1799</x:f>
        <x:v>8.665826035955957</x:v>
      </x:c>
      <x:c r="G1799" s="23" t="n">
        <x:f>AVERAGE($F$1742:$F$1766)</x:f>
        <x:v>7.973833075519117</x:v>
      </x:c>
      <x:c r="H1799" s="24" t="n">
        <x:f>F1799-G1799</x:f>
        <x:v>0.6919929604368402</x:v>
      </x:c>
    </x:row>
    <x:row r="1800">
      <x:c r="A1800" s="2" t="str">
        <x:v>LiND-Hybrid</x:v>
      </x:c>
      <x:c r="B1800" s="4" t="str">
        <x:v>LiCl</x:v>
      </x:c>
      <x:c r="C1800" s="23" t="n">
        <x:v>2.753565</x:v>
      </x:c>
      <x:c r="D1800" s="23" t="n">
        <x:v>-3.009665</x:v>
      </x:c>
      <x:c r="E1800" s="23" t="n">
        <x:f>'Parameters'!$B$2*'Parameters'!$B$3*LN(4*PI()*C1800^2)</x:f>
        <x:v>11.296153828496507</x:v>
      </x:c>
      <x:c r="F1800" s="23" t="n">
        <x:f>D1800+E1800</x:f>
        <x:v>8.286488828496507</x:v>
      </x:c>
      <x:c r="G1800" s="23" t="n">
        <x:f>AVERAGE($F$1742:$F$1766)</x:f>
        <x:v>7.973833075519117</x:v>
      </x:c>
      <x:c r="H1800" s="24" t="n">
        <x:f>F1800-G1800</x:f>
        <x:v>0.3126557529773901</x:v>
      </x:c>
    </x:row>
    <x:row r="1801">
      <x:c r="A1801" s="2" t="str">
        <x:v>LiND-Hybrid</x:v>
      </x:c>
      <x:c r="B1801" s="4" t="str">
        <x:v>LiCl</x:v>
      </x:c>
      <x:c r="C1801" s="23" t="n">
        <x:v>2.765898</x:v>
      </x:c>
      <x:c r="D1801" s="23" t="n">
        <x:v>-4.059708</x:v>
      </x:c>
      <x:c r="E1801" s="23" t="n">
        <x:f>'Parameters'!$B$2*'Parameters'!$B$3*LN(4*PI()*C1801^2)</x:f>
        <x:v>11.318310352004525</x:v>
      </x:c>
      <x:c r="F1801" s="23" t="n">
        <x:f>D1801+E1801</x:f>
        <x:v>7.258602352004526</x:v>
      </x:c>
      <x:c r="G1801" s="23" t="n">
        <x:f>AVERAGE($F$1742:$F$1766)</x:f>
        <x:v>7.973833075519117</x:v>
      </x:c>
      <x:c r="H1801" s="24" t="n">
        <x:f>F1801-G1801</x:f>
        <x:v>-0.7152307235145914</x:v>
      </x:c>
    </x:row>
    <x:row r="1802">
      <x:c r="A1802" s="2" t="str">
        <x:v>LiND-Hybrid</x:v>
      </x:c>
      <x:c r="B1802" s="4" t="str">
        <x:v>NaCl</x:v>
      </x:c>
      <x:c r="C1802" s="23" t="n">
        <x:v>0.3488877</x:v>
      </x:c>
      <x:c r="D1802" s="23" t="n">
        <x:v>0</x:v>
      </x:c>
      <x:c r="E1802" s="23" t="n">
        <x:f>'Parameters'!$B$2*'Parameters'!$B$3*LN(4*PI()*C1802^2)</x:f>
        <x:v>1.0535911376684537</x:v>
      </x:c>
      <x:c r="F1802" s="23" t="n">
        <x:f>D1802+E1802</x:f>
        <x:v>1.0535911376684537</x:v>
      </x:c>
      <x:c r="G1802" s="23" t="n">
        <x:f>AVERAGE($F$1942:$F$1966)</x:f>
        <x:v>-9.161306428882424</x:v>
      </x:c>
      <x:c r="H1802" s="24" t="n">
        <x:f>F1802-G1802</x:f>
        <x:v>10.214897566550878</x:v>
      </x:c>
    </x:row>
    <x:row r="1803">
      <x:c r="A1803" s="2" t="str">
        <x:v>LiND-Hybrid</x:v>
      </x:c>
      <x:c r="B1803" s="4" t="str">
        <x:v>NaCl</x:v>
      </x:c>
      <x:c r="C1803" s="23" t="n">
        <x:v>0.3609956</x:v>
      </x:c>
      <x:c r="D1803" s="23" t="n">
        <x:v>0.44634</x:v>
      </x:c>
      <x:c r="E1803" s="23" t="n">
        <x:f>'Parameters'!$B$2*'Parameters'!$B$3*LN(4*PI()*C1803^2)</x:f>
        <x:v>1.222733727229088</x:v>
      </x:c>
      <x:c r="F1803" s="23" t="n">
        <x:f>D1803+E1803</x:f>
        <x:v>1.6690737272290879</x:v>
      </x:c>
      <x:c r="G1803" s="23" t="n">
        <x:f>AVERAGE($F$1942:$F$1966)</x:f>
        <x:v>-9.161306428882424</x:v>
      </x:c>
      <x:c r="H1803" s="24" t="n">
        <x:f>F1803-G1803</x:f>
        <x:v>10.830380156111513</x:v>
      </x:c>
    </x:row>
    <x:row r="1804">
      <x:c r="A1804" s="2" t="str">
        <x:v>LiND-Hybrid</x:v>
      </x:c>
      <x:c r="B1804" s="4" t="str">
        <x:v>NaCl</x:v>
      </x:c>
      <x:c r="C1804" s="23" t="n">
        <x:v>0.3731035</x:v>
      </x:c>
      <x:c r="D1804" s="23" t="n">
        <x:v>-3.862287</x:v>
      </x:c>
      <x:c r="E1804" s="23" t="n">
        <x:f>'Parameters'!$B$2*'Parameters'!$B$3*LN(4*PI()*C1804^2)</x:f>
        <x:v>1.386295763971986</x:v>
      </x:c>
      <x:c r="F1804" s="23" t="n">
        <x:f>D1804+E1804</x:f>
        <x:v>-2.4759912360280136</x:v>
      </x:c>
      <x:c r="G1804" s="23" t="n">
        <x:f>AVERAGE($F$1942:$F$1966)</x:f>
        <x:v>-9.161306428882424</x:v>
      </x:c>
      <x:c r="H1804" s="24" t="n">
        <x:f>F1804-G1804</x:f>
        <x:v>6.685315192854411</x:v>
      </x:c>
    </x:row>
    <x:row r="1805">
      <x:c r="A1805" s="2" t="str">
        <x:v>LiND-Hybrid</x:v>
      </x:c>
      <x:c r="B1805" s="4" t="str">
        <x:v>NaCl</x:v>
      </x:c>
      <x:c r="C1805" s="23" t="n">
        <x:v>0.3852114</x:v>
      </x:c>
      <x:c r="D1805" s="23" t="n">
        <x:v>-5.226646</x:v>
      </x:c>
      <x:c r="E1805" s="23" t="n">
        <x:f>'Parameters'!$B$2*'Parameters'!$B$3*LN(4*PI()*C1805^2)</x:f>
        <x:v>1.5446337572434443</x:v>
      </x:c>
      <x:c r="F1805" s="23" t="n">
        <x:f>D1805+E1805</x:f>
        <x:v>-3.6820122427565556</x:v>
      </x:c>
      <x:c r="G1805" s="23" t="n">
        <x:f>AVERAGE($F$1942:$F$1966)</x:f>
        <x:v>-9.161306428882424</x:v>
      </x:c>
      <x:c r="H1805" s="24" t="n">
        <x:f>F1805-G1805</x:f>
        <x:v>5.479294186125869</x:v>
      </x:c>
    </x:row>
    <x:row r="1806">
      <x:c r="A1806" s="2" t="str">
        <x:v>LiND-Hybrid</x:v>
      </x:c>
      <x:c r="B1806" s="4" t="str">
        <x:v>NaCl</x:v>
      </x:c>
      <x:c r="C1806" s="23" t="n">
        <x:v>0.3973193</x:v>
      </x:c>
      <x:c r="D1806" s="23" t="n">
        <x:v>-7.120103</x:v>
      </x:c>
      <x:c r="E1806" s="23" t="n">
        <x:f>'Parameters'!$B$2*'Parameters'!$B$3*LN(4*PI()*C1806^2)</x:f>
        <x:v>1.6980711082185076</x:v>
      </x:c>
      <x:c r="F1806" s="23" t="n">
        <x:f>D1806+E1806</x:f>
        <x:v>-5.422031891781493</x:v>
      </x:c>
      <x:c r="G1806" s="23" t="n">
        <x:f>AVERAGE($F$1942:$F$1966)</x:f>
        <x:v>-9.161306428882424</x:v>
      </x:c>
      <x:c r="H1806" s="24" t="n">
        <x:f>F1806-G1806</x:f>
        <x:v>3.7392745371009317</x:v>
      </x:c>
    </x:row>
    <x:row r="1807">
      <x:c r="A1807" s="2" t="str">
        <x:v>LiND-Hybrid</x:v>
      </x:c>
      <x:c r="B1807" s="4" t="str">
        <x:v>NaCl</x:v>
      </x:c>
      <x:c r="C1807" s="23" t="n">
        <x:v>0.4094272</x:v>
      </x:c>
      <x:c r="D1807" s="23" t="n">
        <x:v>-8.491212</x:v>
      </x:c>
      <x:c r="E1807" s="23" t="n">
        <x:f>'Parameters'!$B$2*'Parameters'!$B$3*LN(4*PI()*C1807^2)</x:f>
        <x:v>1.8469020866732557</x:v>
      </x:c>
      <x:c r="F1807" s="23" t="n">
        <x:f>D1807+E1807</x:f>
        <x:v>-6.644309913326746</x:v>
      </x:c>
      <x:c r="G1807" s="23" t="n">
        <x:f>AVERAGE($F$1942:$F$1966)</x:f>
        <x:v>-9.161306428882424</x:v>
      </x:c>
      <x:c r="H1807" s="24" t="n">
        <x:f>F1807-G1807</x:f>
        <x:v>2.516996515555679</x:v>
      </x:c>
    </x:row>
    <x:row r="1808">
      <x:c r="A1808" s="2" t="str">
        <x:v>LiND-Hybrid</x:v>
      </x:c>
      <x:c r="B1808" s="4" t="str">
        <x:v>NaCl</x:v>
      </x:c>
      <x:c r="C1808" s="23" t="n">
        <x:v>0.4215352</x:v>
      </x:c>
      <x:c r="D1808" s="23" t="n">
        <x:v>-9.970837</x:v>
      </x:c>
      <x:c r="E1808" s="23" t="n">
        <x:f>'Parameters'!$B$2*'Parameters'!$B$3*LN(4*PI()*C1808^2)</x:f>
        <x:v>1.9913964041946304</x:v>
      </x:c>
      <x:c r="F1808" s="23" t="n">
        <x:f>D1808+E1808</x:f>
        <x:v>-7.979440595805369</x:v>
      </x:c>
      <x:c r="G1808" s="23" t="n">
        <x:f>AVERAGE($F$1942:$F$1966)</x:f>
        <x:v>-9.161306428882424</x:v>
      </x:c>
      <x:c r="H1808" s="24" t="n">
        <x:f>F1808-G1808</x:f>
        <x:v>1.1818658330770555</x:v>
      </x:c>
    </x:row>
    <x:row r="1809">
      <x:c r="A1809" s="2" t="str">
        <x:v>LiND-Hybrid</x:v>
      </x:c>
      <x:c r="B1809" s="4" t="str">
        <x:v>NaCl</x:v>
      </x:c>
      <x:c r="C1809" s="23" t="n">
        <x:v>0.4336431</x:v>
      </x:c>
      <x:c r="D1809" s="23" t="n">
        <x:v>-11.33789</x:v>
      </x:c>
      <x:c r="E1809" s="23" t="n">
        <x:f>'Parameters'!$B$2*'Parameters'!$B$3*LN(4*PI()*C1809^2)</x:f>
        <x:v>2.131797392592347</x:v>
      </x:c>
      <x:c r="F1809" s="23" t="n">
        <x:f>D1809+E1809</x:f>
        <x:v>-9.206092607407653</x:v>
      </x:c>
      <x:c r="G1809" s="23" t="n">
        <x:f>AVERAGE($F$1942:$F$1966)</x:f>
        <x:v>-9.161306428882424</x:v>
      </x:c>
      <x:c r="H1809" s="24" t="n">
        <x:f>F1809-G1809</x:f>
        <x:v>-0.04478617852522859</x:v>
      </x:c>
    </x:row>
    <x:row r="1810">
      <x:c r="A1810" s="2" t="str">
        <x:v>LiND-Hybrid</x:v>
      </x:c>
      <x:c r="B1810" s="4" t="str">
        <x:v>NaCl</x:v>
      </x:c>
      <x:c r="C1810" s="23" t="n">
        <x:v>0.445751</x:v>
      </x:c>
      <x:c r="D1810" s="23" t="n">
        <x:v>-13.12195</x:v>
      </x:c>
      <x:c r="E1810" s="23" t="n">
        <x:f>'Parameters'!$B$2*'Parameters'!$B$3*LN(4*PI()*C1810^2)</x:f>
        <x:v>2.268331675386261</x:v>
      </x:c>
      <x:c r="F1810" s="23" t="n">
        <x:f>D1810+E1810</x:f>
        <x:v>-10.85361832461374</x:v>
      </x:c>
      <x:c r="G1810" s="23" t="n">
        <x:f>AVERAGE($F$1942:$F$1966)</x:f>
        <x:v>-9.161306428882424</x:v>
      </x:c>
      <x:c r="H1810" s="24" t="n">
        <x:f>F1810-G1810</x:f>
        <x:v>-1.692311895731315</x:v>
      </x:c>
    </x:row>
    <x:row r="1811">
      <x:c r="A1811" s="2" t="str">
        <x:v>LiND-Hybrid</x:v>
      </x:c>
      <x:c r="B1811" s="4" t="str">
        <x:v>NaCl</x:v>
      </x:c>
      <x:c r="C1811" s="23" t="n">
        <x:v>0.4578589</x:v>
      </x:c>
      <x:c r="D1811" s="23" t="n">
        <x:v>-14.81331</x:v>
      </x:c>
      <x:c r="E1811" s="23" t="n">
        <x:f>'Parameters'!$B$2*'Parameters'!$B$3*LN(4*PI()*C1811^2)</x:f>
        <x:v>2.401206538167851</x:v>
      </x:c>
      <x:c r="F1811" s="23" t="n">
        <x:f>D1811+E1811</x:f>
        <x:v>-12.41210346183215</x:v>
      </x:c>
      <x:c r="G1811" s="23" t="n">
        <x:f>AVERAGE($F$1942:$F$1966)</x:f>
        <x:v>-9.161306428882424</x:v>
      </x:c>
      <x:c r="H1811" s="24" t="n">
        <x:f>F1811-G1811</x:f>
        <x:v>-3.250797032949725</x:v>
      </x:c>
    </x:row>
    <x:row r="1812">
      <x:c r="A1812" s="2" t="str">
        <x:v>LiND-Hybrid</x:v>
      </x:c>
      <x:c r="B1812" s="4" t="str">
        <x:v>NaCl</x:v>
      </x:c>
      <x:c r="C1812" s="23" t="n">
        <x:v>0.4699668</x:v>
      </x:c>
      <x:c r="D1812" s="23" t="n">
        <x:v>-16.5133</x:v>
      </x:c>
      <x:c r="E1812" s="23" t="n">
        <x:f>'Parameters'!$B$2*'Parameters'!$B$3*LN(4*PI()*C1812^2)</x:f>
        <x:v>2.5306130325292875</x:v>
      </x:c>
      <x:c r="F1812" s="23" t="n">
        <x:f>D1812+E1812</x:f>
        <x:v>-13.982686967470713</x:v>
      </x:c>
      <x:c r="G1812" s="23" t="n">
        <x:f>AVERAGE($F$1942:$F$1966)</x:f>
        <x:v>-9.161306428882424</x:v>
      </x:c>
      <x:c r="H1812" s="24" t="n">
        <x:f>F1812-G1812</x:f>
        <x:v>-4.821380538588288</x:v>
      </x:c>
    </x:row>
    <x:row r="1813">
      <x:c r="A1813" s="2" t="str">
        <x:v>LiND-Hybrid</x:v>
      </x:c>
      <x:c r="B1813" s="4" t="str">
        <x:v>NaCl</x:v>
      </x:c>
      <x:c r="C1813" s="23" t="n">
        <x:v>0.4820747</x:v>
      </x:c>
      <x:c r="D1813" s="23" t="n">
        <x:v>-17.75467</x:v>
      </x:c>
      <x:c r="E1813" s="23" t="n">
        <x:f>'Parameters'!$B$2*'Parameters'!$B$3*LN(4*PI()*C1813^2)</x:f>
        <x:v>2.656727628222973</x:v>
      </x:c>
      <x:c r="F1813" s="23" t="n">
        <x:f>D1813+E1813</x:f>
        <x:v>-15.097942371777028</x:v>
      </x:c>
      <x:c r="G1813" s="23" t="n">
        <x:f>AVERAGE($F$1942:$F$1966)</x:f>
        <x:v>-9.161306428882424</x:v>
      </x:c>
      <x:c r="H1813" s="24" t="n">
        <x:f>F1813-G1813</x:f>
        <x:v>-5.936635942894604</x:v>
      </x:c>
    </x:row>
    <x:row r="1814">
      <x:c r="A1814" s="2" t="str">
        <x:v>LiND-Hybrid</x:v>
      </x:c>
      <x:c r="B1814" s="4" t="str">
        <x:v>NaCl</x:v>
      </x:c>
      <x:c r="C1814" s="23" t="n">
        <x:v>0.4941826</x:v>
      </x:c>
      <x:c r="D1814" s="23" t="n">
        <x:v>-18.10636</x:v>
      </x:c>
      <x:c r="E1814" s="23" t="n">
        <x:f>'Parameters'!$B$2*'Parameters'!$B$3*LN(4*PI()*C1814^2)</x:f>
        <x:v>2.7797136603468604</x:v>
      </x:c>
      <x:c r="F1814" s="23" t="n">
        <x:f>D1814+E1814</x:f>
        <x:v>-15.326646339653138</x:v>
      </x:c>
      <x:c r="G1814" s="23" t="n">
        <x:f>AVERAGE($F$1942:$F$1966)</x:f>
        <x:v>-9.161306428882424</x:v>
      </x:c>
      <x:c r="H1814" s="24" t="n">
        <x:f>F1814-G1814</x:f>
        <x:v>-6.165339910770713</x:v>
      </x:c>
    </x:row>
    <x:row r="1815">
      <x:c r="A1815" s="2" t="str">
        <x:v>LiND-Hybrid</x:v>
      </x:c>
      <x:c r="B1815" s="4" t="str">
        <x:v>NaCl</x:v>
      </x:c>
      <x:c r="C1815" s="23" t="n">
        <x:v>0.5062906</x:v>
      </x:c>
      <x:c r="D1815" s="23" t="n">
        <x:v>-17.72553</x:v>
      </x:c>
      <x:c r="E1815" s="23" t="n">
        <x:f>'Parameters'!$B$2*'Parameters'!$B$3*LN(4*PI()*C1815^2)</x:f>
        <x:v>2.899723580596778</x:v>
      </x:c>
      <x:c r="F1815" s="23" t="n">
        <x:f>D1815+E1815</x:f>
        <x:v>-14.825806419403222</x:v>
      </x:c>
      <x:c r="G1815" s="23" t="n">
        <x:f>AVERAGE($F$1942:$F$1966)</x:f>
        <x:v>-9.161306428882424</x:v>
      </x:c>
      <x:c r="H1815" s="24" t="n">
        <x:f>F1815-G1815</x:f>
        <x:v>-5.664499990520797</x:v>
      </x:c>
    </x:row>
    <x:row r="1816">
      <x:c r="A1816" s="2" t="str">
        <x:v>LiND-Hybrid</x:v>
      </x:c>
      <x:c r="B1816" s="4" t="str">
        <x:v>NaCl</x:v>
      </x:c>
      <x:c r="C1816" s="23" t="n">
        <x:v>0.5183985</x:v>
      </x:c>
      <x:c r="D1816" s="23" t="n">
        <x:v>-16.4151</x:v>
      </x:c>
      <x:c r="E1816" s="23" t="n">
        <x:f>'Parameters'!$B$2*'Parameters'!$B$3*LN(4*PI()*C1816^2)</x:f>
        <x:v>3.016896138988506</x:v>
      </x:c>
      <x:c r="F1816" s="23" t="n">
        <x:f>D1816+E1816</x:f>
        <x:v>-13.398203861011492</x:v>
      </x:c>
      <x:c r="G1816" s="23" t="n">
        <x:f>AVERAGE($F$1942:$F$1966)</x:f>
        <x:v>-9.161306428882424</x:v>
      </x:c>
      <x:c r="H1816" s="24" t="n">
        <x:f>F1816-G1816</x:f>
        <x:v>-4.2368974321290676</x:v>
      </x:c>
    </x:row>
    <x:row r="1817">
      <x:c r="A1817" s="2" t="str">
        <x:v>LiND-Hybrid</x:v>
      </x:c>
      <x:c r="B1817" s="4" t="str">
        <x:v>NaCl</x:v>
      </x:c>
      <x:c r="C1817" s="23" t="n">
        <x:v>0.5305064</x:v>
      </x:c>
      <x:c r="D1817" s="23" t="n">
        <x:v>-14.836</x:v>
      </x:c>
      <x:c r="E1817" s="23" t="n">
        <x:f>'Parameters'!$B$2*'Parameters'!$B$3*LN(4*PI()*C1817^2)</x:f>
        <x:v>3.1313633212257157</x:v>
      </x:c>
      <x:c r="F1817" s="23" t="n">
        <x:f>D1817+E1817</x:f>
        <x:v>-11.704636678774285</x:v>
      </x:c>
      <x:c r="G1817" s="23" t="n">
        <x:f>AVERAGE($F$1942:$F$1966)</x:f>
        <x:v>-9.161306428882424</x:v>
      </x:c>
      <x:c r="H1817" s="24" t="n">
        <x:f>F1817-G1817</x:f>
        <x:v>-2.543330249891861</x:v>
      </x:c>
    </x:row>
    <x:row r="1818">
      <x:c r="A1818" s="2" t="str">
        <x:v>LiND-Hybrid</x:v>
      </x:c>
      <x:c r="B1818" s="4" t="str">
        <x:v>NaCl</x:v>
      </x:c>
      <x:c r="C1818" s="23" t="n">
        <x:v>0.5426143</x:v>
      </x:c>
      <x:c r="D1818" s="23" t="n">
        <x:v>-13.68386</x:v>
      </x:c>
      <x:c r="E1818" s="23" t="n">
        <x:f>'Parameters'!$B$2*'Parameters'!$B$3*LN(4*PI()*C1818^2)</x:f>
        <x:v>3.243247241036321</x:v>
      </x:c>
      <x:c r="F1818" s="23" t="n">
        <x:f>D1818+E1818</x:f>
        <x:v>-10.440612758963677</x:v>
      </x:c>
      <x:c r="G1818" s="23" t="n">
        <x:f>AVERAGE($F$1942:$F$1966)</x:f>
        <x:v>-9.161306428882424</x:v>
      </x:c>
      <x:c r="H1818" s="24" t="n">
        <x:f>F1818-G1818</x:f>
        <x:v>-1.279306330081253</x:v>
      </x:c>
    </x:row>
    <x:row r="1819">
      <x:c r="A1819" s="2" t="str">
        <x:v>LiND-Hybrid</x:v>
      </x:c>
      <x:c r="B1819" s="4" t="str">
        <x:v>NaCl</x:v>
      </x:c>
      <x:c r="C1819" s="23" t="n">
        <x:v>0.5547222</x:v>
      </x:c>
      <x:c r="D1819" s="23" t="n">
        <x:v>-12.94664</x:v>
      </x:c>
      <x:c r="E1819" s="23" t="n">
        <x:f>'Parameters'!$B$2*'Parameters'!$B$3*LN(4*PI()*C1819^2)</x:f>
        <x:v>3.352661926446765</x:v>
      </x:c>
      <x:c r="F1819" s="23" t="n">
        <x:f>D1819+E1819</x:f>
        <x:v>-9.593978073553235</x:v>
      </x:c>
      <x:c r="G1819" s="23" t="n">
        <x:f>AVERAGE($F$1942:$F$1966)</x:f>
        <x:v>-9.161306428882424</x:v>
      </x:c>
      <x:c r="H1819" s="24" t="n">
        <x:f>F1819-G1819</x:f>
        <x:v>-0.4326716446708101</x:v>
      </x:c>
    </x:row>
    <x:row r="1820">
      <x:c r="A1820" s="2" t="str">
        <x:v>LiND-Hybrid</x:v>
      </x:c>
      <x:c r="B1820" s="4" t="str">
        <x:v>NaCl</x:v>
      </x:c>
      <x:c r="C1820" s="23" t="n">
        <x:v>0.5668301</x:v>
      </x:c>
      <x:c r="D1820" s="23" t="n">
        <x:v>-12.5742</x:v>
      </x:c>
      <x:c r="E1820" s="23" t="n">
        <x:f>'Parameters'!$B$2*'Parameters'!$B$3*LN(4*PI()*C1820^2)</x:f>
        <x:v>3.4597140182479658</x:v>
      </x:c>
      <x:c r="F1820" s="23" t="n">
        <x:f>D1820+E1820</x:f>
        <x:v>-9.114485981752033</x:v>
      </x:c>
      <x:c r="G1820" s="23" t="n">
        <x:f>AVERAGE($F$1942:$F$1966)</x:f>
        <x:v>-9.161306428882424</x:v>
      </x:c>
      <x:c r="H1820" s="24" t="n">
        <x:f>F1820-G1820</x:f>
        <x:v>0.046820447130391685</x:v>
      </x:c>
    </x:row>
    <x:row r="1821">
      <x:c r="A1821" s="2" t="str">
        <x:v>LiND-Hybrid</x:v>
      </x:c>
      <x:c r="B1821" s="4" t="str">
        <x:v>NaCl</x:v>
      </x:c>
      <x:c r="C1821" s="23" t="n">
        <x:v>0.5789381</x:v>
      </x:c>
      <x:c r="D1821" s="23" t="n">
        <x:v>-12.3954</x:v>
      </x:c>
      <x:c r="E1821" s="23" t="n">
        <x:f>'Parameters'!$B$2*'Parameters'!$B$3*LN(4*PI()*C1821^2)</x:f>
        <x:v>3.5645042510142395</x:v>
      </x:c>
      <x:c r="F1821" s="23" t="n">
        <x:f>D1821+E1821</x:f>
        <x:v>-8.83089574898576</x:v>
      </x:c>
      <x:c r="G1821" s="23" t="n">
        <x:f>AVERAGE($F$1942:$F$1966)</x:f>
        <x:v>-9.161306428882424</x:v>
      </x:c>
      <x:c r="H1821" s="24" t="n">
        <x:f>F1821-G1821</x:f>
        <x:v>0.33041067989666395</x:v>
      </x:c>
    </x:row>
    <x:row r="1822">
      <x:c r="A1822" s="2" t="str">
        <x:v>LiND-Hybrid</x:v>
      </x:c>
      <x:c r="B1822" s="4" t="str">
        <x:v>NaCl</x:v>
      </x:c>
      <x:c r="C1822" s="23" t="n">
        <x:v>0.591046</x:v>
      </x:c>
      <x:c r="D1822" s="23" t="n">
        <x:v>-12.74442</x:v>
      </x:c>
      <x:c r="E1822" s="23" t="n">
        <x:f>'Parameters'!$B$2*'Parameters'!$B$3*LN(4*PI()*C1822^2)</x:f>
        <x:v>3.6671245700179758</x:v>
      </x:c>
      <x:c r="F1822" s="23" t="n">
        <x:f>D1822+E1822</x:f>
        <x:v>-9.077295429982025</x:v>
      </x:c>
      <x:c r="G1822" s="23" t="n">
        <x:f>AVERAGE($F$1942:$F$1966)</x:f>
        <x:v>-9.161306428882424</x:v>
      </x:c>
      <x:c r="H1822" s="24" t="n">
        <x:f>F1822-G1822</x:f>
        <x:v>0.08401099890039987</x:v>
      </x:c>
    </x:row>
    <x:row r="1823">
      <x:c r="A1823" s="2" t="str">
        <x:v>LiND-Hybrid</x:v>
      </x:c>
      <x:c r="B1823" s="4" t="str">
        <x:v>NaCl</x:v>
      </x:c>
      <x:c r="C1823" s="23" t="n">
        <x:v>0.6031539</x:v>
      </x:c>
      <x:c r="D1823" s="23" t="n">
        <x:v>-13.13413</x:v>
      </x:c>
      <x:c r="E1823" s="23" t="n">
        <x:f>'Parameters'!$B$2*'Parameters'!$B$3*LN(4*PI()*C1823^2)</x:f>
        <x:v>3.767663826041585</x:v>
      </x:c>
      <x:c r="F1823" s="23" t="n">
        <x:f>D1823+E1823</x:f>
        <x:v>-9.366466173958415</x:v>
      </x:c>
      <x:c r="G1823" s="23" t="n">
        <x:f>AVERAGE($F$1942:$F$1966)</x:f>
        <x:v>-9.161306428882424</x:v>
      </x:c>
      <x:c r="H1823" s="24" t="n">
        <x:f>F1823-G1823</x:f>
        <x:v>-0.20515974507599033</x:v>
      </x:c>
    </x:row>
    <x:row r="1824">
      <x:c r="A1824" s="2" t="str">
        <x:v>LiND-Hybrid</x:v>
      </x:c>
      <x:c r="B1824" s="4" t="str">
        <x:v>NaCl</x:v>
      </x:c>
      <x:c r="C1824" s="23" t="n">
        <x:v>0.6152618</x:v>
      </x:c>
      <x:c r="D1824" s="23" t="n">
        <x:v>-13.39913</x:v>
      </x:c>
      <x:c r="E1824" s="23" t="n">
        <x:f>'Parameters'!$B$2*'Parameters'!$B$3*LN(4*PI()*C1824^2)</x:f>
        <x:v>3.8662047489519065</x:v>
      </x:c>
      <x:c r="F1824" s="23" t="n">
        <x:f>D1824+E1824</x:f>
        <x:v>-9.532925251048093</x:v>
      </x:c>
      <x:c r="G1824" s="23" t="n">
        <x:f>AVERAGE($F$1942:$F$1966)</x:f>
        <x:v>-9.161306428882424</x:v>
      </x:c>
      <x:c r="H1824" s="24" t="n">
        <x:f>F1824-G1824</x:f>
        <x:v>-0.37161882216566866</x:v>
      </x:c>
    </x:row>
    <x:row r="1825">
      <x:c r="A1825" s="2" t="str">
        <x:v>LiND-Hybrid</x:v>
      </x:c>
      <x:c r="B1825" s="4" t="str">
        <x:v>NaCl</x:v>
      </x:c>
      <x:c r="C1825" s="23" t="n">
        <x:v>0.6273697</x:v>
      </x:c>
      <x:c r="D1825" s="23" t="n">
        <x:v>-13.71602</x:v>
      </x:c>
      <x:c r="E1825" s="23" t="n">
        <x:f>'Parameters'!$B$2*'Parameters'!$B$3*LN(4*PI()*C1825^2)</x:f>
        <x:v>3.9628252313861525</x:v>
      </x:c>
      <x:c r="F1825" s="23" t="n">
        <x:f>D1825+E1825</x:f>
        <x:v>-9.753194768613849</x:v>
      </x:c>
      <x:c r="G1825" s="23" t="n">
        <x:f>AVERAGE($F$1942:$F$1966)</x:f>
        <x:v>-9.161306428882424</x:v>
      </x:c>
      <x:c r="H1825" s="24" t="n">
        <x:f>F1825-G1825</x:f>
        <x:v>-0.5918883397314243</x:v>
      </x:c>
    </x:row>
    <x:row r="1826">
      <x:c r="A1826" s="2" t="str">
        <x:v>LiND-Hybrid</x:v>
      </x:c>
      <x:c r="B1826" s="4" t="str">
        <x:v>NaCl</x:v>
      </x:c>
      <x:c r="C1826" s="23" t="n">
        <x:v>0.6394776</x:v>
      </x:c>
      <x:c r="D1826" s="23" t="n">
        <x:v>-13.8955</x:v>
      </x:c>
      <x:c r="E1826" s="23" t="n">
        <x:f>'Parameters'!$B$2*'Parameters'!$B$3*LN(4*PI()*C1826^2)</x:f>
        <x:v>4.057598698665283</x:v>
      </x:c>
      <x:c r="F1826" s="23" t="n">
        <x:f>D1826+E1826</x:f>
        <x:v>-9.837901301334718</x:v>
      </x:c>
      <x:c r="G1826" s="23" t="n">
        <x:f>AVERAGE($F$1942:$F$1966)</x:f>
        <x:v>-9.161306428882424</x:v>
      </x:c>
      <x:c r="H1826" s="24" t="n">
        <x:f>F1826-G1826</x:f>
        <x:v>-0.6765948724522932</x:v>
      </x:c>
    </x:row>
    <x:row r="1827">
      <x:c r="A1827" s="2" t="str">
        <x:v>LiND-Hybrid</x:v>
      </x:c>
      <x:c r="B1827" s="4" t="str">
        <x:v>NaCl</x:v>
      </x:c>
      <x:c r="C1827" s="23" t="n">
        <x:v>0.6515856</x:v>
      </x:c>
      <x:c r="D1827" s="23" t="n">
        <x:v>-14.18811</x:v>
      </x:c>
      <x:c r="E1827" s="23" t="n">
        <x:f>'Parameters'!$B$2*'Parameters'!$B$3*LN(4*PI()*C1827^2)</x:f>
        <x:v>4.150595204909568</x:v>
      </x:c>
      <x:c r="F1827" s="23" t="n">
        <x:f>D1827+E1827</x:f>
        <x:v>-10.037514795090432</x:v>
      </x:c>
      <x:c r="G1827" s="23" t="n">
        <x:f>AVERAGE($F$1942:$F$1966)</x:f>
        <x:v>-9.161306428882424</x:v>
      </x:c>
      <x:c r="H1827" s="24" t="n">
        <x:f>F1827-G1827</x:f>
        <x:v>-0.876208366208008</x:v>
      </x:c>
    </x:row>
    <x:row r="1828">
      <x:c r="A1828" s="2" t="str">
        <x:v>LiND-Hybrid</x:v>
      </x:c>
      <x:c r="B1828" s="4" t="str">
        <x:v>NaCl</x:v>
      </x:c>
      <x:c r="C1828" s="23" t="n">
        <x:v>0.6636935</x:v>
      </x:c>
      <x:c r="D1828" s="23" t="n">
        <x:v>-14.21795</x:v>
      </x:c>
      <x:c r="E1828" s="23" t="n">
        <x:f>'Parameters'!$B$2*'Parameters'!$B$3*LN(4*PI()*C1828^2)</x:f>
        <x:v>4.241878679909148</x:v>
      </x:c>
      <x:c r="F1828" s="23" t="n">
        <x:f>D1828+E1828</x:f>
        <x:v>-9.976071320090853</x:v>
      </x:c>
      <x:c r="G1828" s="23" t="n">
        <x:f>AVERAGE($F$1942:$F$1966)</x:f>
        <x:v>-9.161306428882424</x:v>
      </x:c>
      <x:c r="H1828" s="24" t="n">
        <x:f>F1828-G1828</x:f>
        <x:v>-0.8147648912084282</x:v>
      </x:c>
    </x:row>
    <x:row r="1829">
      <x:c r="A1829" s="2" t="str">
        <x:v>LiND-Hybrid</x:v>
      </x:c>
      <x:c r="B1829" s="4" t="str">
        <x:v>NaCl</x:v>
      </x:c>
      <x:c r="C1829" s="23" t="n">
        <x:v>0.6758014</x:v>
      </x:c>
      <x:c r="D1829" s="23" t="n">
        <x:v>-14.48079</x:v>
      </x:c>
      <x:c r="E1829" s="23" t="n">
        <x:f>'Parameters'!$B$2*'Parameters'!$B$3*LN(4*PI()*C1829^2)</x:f>
        <x:v>4.331511813500937</x:v>
      </x:c>
      <x:c r="F1829" s="23" t="n">
        <x:f>D1829+E1829</x:f>
        <x:v>-10.149278186499064</x:v>
      </x:c>
      <x:c r="G1829" s="23" t="n">
        <x:f>AVERAGE($F$1942:$F$1966)</x:f>
        <x:v>-9.161306428882424</x:v>
      </x:c>
      <x:c r="H1829" s="24" t="n">
        <x:f>F1829-G1829</x:f>
        <x:v>-0.9879717576166396</x:v>
      </x:c>
    </x:row>
    <x:row r="1830">
      <x:c r="A1830" s="2" t="str">
        <x:v>LiND-Hybrid</x:v>
      </x:c>
      <x:c r="B1830" s="4" t="str">
        <x:v>NaCl</x:v>
      </x:c>
      <x:c r="C1830" s="23" t="n">
        <x:v>0.6879093</x:v>
      </x:c>
      <x:c r="D1830" s="23" t="n">
        <x:v>-14.65037</x:v>
      </x:c>
      <x:c r="E1830" s="23" t="n">
        <x:f>'Parameters'!$B$2*'Parameters'!$B$3*LN(4*PI()*C1830^2)</x:f>
        <x:v>4.419553221556721</x:v>
      </x:c>
      <x:c r="F1830" s="23" t="n">
        <x:f>D1830+E1830</x:f>
        <x:v>-10.23081677844328</x:v>
      </x:c>
      <x:c r="G1830" s="23" t="n">
        <x:f>AVERAGE($F$1942:$F$1966)</x:f>
        <x:v>-9.161306428882424</x:v>
      </x:c>
      <x:c r="H1830" s="24" t="n">
        <x:f>F1830-G1830</x:f>
        <x:v>-1.069510349560856</x:v>
      </x:c>
    </x:row>
    <x:row r="1831">
      <x:c r="A1831" s="2" t="str">
        <x:v>LiND-Hybrid</x:v>
      </x:c>
      <x:c r="B1831" s="4" t="str">
        <x:v>NaCl</x:v>
      </x:c>
      <x:c r="C1831" s="23" t="n">
        <x:v>0.7000172</x:v>
      </x:c>
      <x:c r="D1831" s="23" t="n">
        <x:v>-14.7857</x:v>
      </x:c>
      <x:c r="E1831" s="23" t="n">
        <x:f>'Parameters'!$B$2*'Parameters'!$B$3*LN(4*PI()*C1831^2)</x:f>
        <x:v>4.5060584515332085</x:v>
      </x:c>
      <x:c r="F1831" s="23" t="n">
        <x:f>D1831+E1831</x:f>
        <x:v>-10.279641548466792</x:v>
      </x:c>
      <x:c r="G1831" s="23" t="n">
        <x:f>AVERAGE($F$1942:$F$1966)</x:f>
        <x:v>-9.161306428882424</x:v>
      </x:c>
      <x:c r="H1831" s="24" t="n">
        <x:f>F1831-G1831</x:f>
        <x:v>-1.1183351195843674</x:v>
      </x:c>
    </x:row>
    <x:row r="1832">
      <x:c r="A1832" s="2" t="str">
        <x:v>LiND-Hybrid</x:v>
      </x:c>
      <x:c r="B1832" s="4" t="str">
        <x:v>NaCl</x:v>
      </x:c>
      <x:c r="C1832" s="23" t="n">
        <x:v>0.7121251</x:v>
      </x:c>
      <x:c r="D1832" s="23" t="n">
        <x:v>-14.84784</x:v>
      </x:c>
      <x:c r="E1832" s="23" t="n">
        <x:f>'Parameters'!$B$2*'Parameters'!$B$3*LN(4*PI()*C1832^2)</x:f>
        <x:v>4.5910801929708125</x:v>
      </x:c>
      <x:c r="F1832" s="23" t="n">
        <x:f>D1832+E1832</x:f>
        <x:v>-10.256759807029187</x:v>
      </x:c>
      <x:c r="G1832" s="23" t="n">
        <x:f>AVERAGE($F$1942:$F$1966)</x:f>
        <x:v>-9.161306428882424</x:v>
      </x:c>
      <x:c r="H1832" s="24" t="n">
        <x:f>F1832-G1832</x:f>
        <x:v>-1.0954533781467628</x:v>
      </x:c>
    </x:row>
    <x:row r="1833">
      <x:c r="A1833" s="2" t="str">
        <x:v>LiND-Hybrid</x:v>
      </x:c>
      <x:c r="B1833" s="4" t="str">
        <x:v>NaCl</x:v>
      </x:c>
      <x:c r="C1833" s="23" t="n">
        <x:v>0.724233</x:v>
      </x:c>
      <x:c r="D1833" s="23" t="n">
        <x:v>-14.93823</x:v>
      </x:c>
      <x:c r="E1833" s="23" t="n">
        <x:f>'Parameters'!$B$2*'Parameters'!$B$3*LN(4*PI()*C1833^2)</x:f>
        <x:v>4.674668470245633</x:v>
      </x:c>
      <x:c r="F1833" s="23" t="n">
        <x:f>D1833+E1833</x:f>
        <x:v>-10.263561529754368</x:v>
      </x:c>
      <x:c r="G1833" s="23" t="n">
        <x:f>AVERAGE($F$1942:$F$1966)</x:f>
        <x:v>-9.161306428882424</x:v>
      </x:c>
      <x:c r="H1833" s="24" t="n">
        <x:f>F1833-G1833</x:f>
        <x:v>-1.1022551008719432</x:v>
      </x:c>
    </x:row>
    <x:row r="1834">
      <x:c r="A1834" s="2" t="str">
        <x:v>LiND-Hybrid</x:v>
      </x:c>
      <x:c r="B1834" s="4" t="str">
        <x:v>NaCl</x:v>
      </x:c>
      <x:c r="C1834" s="23" t="n">
        <x:v>0.736341</x:v>
      </x:c>
      <x:c r="D1834" s="23" t="n">
        <x:v>-14.85163</x:v>
      </x:c>
      <x:c r="E1834" s="23" t="n">
        <x:f>'Parameters'!$B$2*'Parameters'!$B$3*LN(4*PI()*C1834^2)</x:f>
        <x:v>4.7568714926580595</x:v>
      </x:c>
      <x:c r="F1834" s="23" t="n">
        <x:f>D1834+E1834</x:f>
        <x:v>-10.09475850734194</x:v>
      </x:c>
      <x:c r="G1834" s="23" t="n">
        <x:f>AVERAGE($F$1942:$F$1966)</x:f>
        <x:v>-9.161306428882424</x:v>
      </x:c>
      <x:c r="H1834" s="24" t="n">
        <x:f>F1834-G1834</x:f>
        <x:v>-0.9334520784595153</x:v>
      </x:c>
    </x:row>
    <x:row r="1835">
      <x:c r="A1835" s="2" t="str">
        <x:v>LiND-Hybrid</x:v>
      </x:c>
      <x:c r="B1835" s="4" t="str">
        <x:v>NaCl</x:v>
      </x:c>
      <x:c r="C1835" s="23" t="n">
        <x:v>0.7484489</x:v>
      </x:c>
      <x:c r="D1835" s="23" t="n">
        <x:v>-14.9289</x:v>
      </x:c>
      <x:c r="E1835" s="23" t="n">
        <x:f>'Parameters'!$B$2*'Parameters'!$B$3*LN(4*PI()*C1835^2)</x:f>
        <x:v>4.837733112623318</x:v>
      </x:c>
      <x:c r="F1835" s="23" t="n">
        <x:f>D1835+E1835</x:f>
        <x:v>-10.091166887376684</x:v>
      </x:c>
      <x:c r="G1835" s="23" t="n">
        <x:f>AVERAGE($F$1942:$F$1966)</x:f>
        <x:v>-9.161306428882424</x:v>
      </x:c>
      <x:c r="H1835" s="24" t="n">
        <x:f>F1835-G1835</x:f>
        <x:v>-0.9298604584942591</x:v>
      </x:c>
    </x:row>
    <x:row r="1836">
      <x:c r="A1836" s="2" t="str">
        <x:v>LiND-Hybrid</x:v>
      </x:c>
      <x:c r="B1836" s="4" t="str">
        <x:v>NaCl</x:v>
      </x:c>
      <x:c r="C1836" s="23" t="n">
        <x:v>0.7605568</x:v>
      </x:c>
      <x:c r="D1836" s="23" t="n">
        <x:v>-15.0071</x:v>
      </x:c>
      <x:c r="E1836" s="23" t="n">
        <x:f>'Parameters'!$B$2*'Parameters'!$B$3*LN(4*PI()*C1836^2)</x:f>
        <x:v>4.91729704792727</x:v>
      </x:c>
      <x:c r="F1836" s="23" t="n">
        <x:f>D1836+E1836</x:f>
        <x:v>-10.08980295207273</x:v>
      </x:c>
      <x:c r="G1836" s="23" t="n">
        <x:f>AVERAGE($F$1942:$F$1966)</x:f>
        <x:v>-9.161306428882424</x:v>
      </x:c>
      <x:c r="H1836" s="24" t="n">
        <x:f>F1836-G1836</x:f>
        <x:v>-0.9284965231903062</x:v>
      </x:c>
    </x:row>
    <x:row r="1837">
      <x:c r="A1837" s="2" t="str">
        <x:v>LiND-Hybrid</x:v>
      </x:c>
      <x:c r="B1837" s="4" t="str">
        <x:v>NaCl</x:v>
      </x:c>
      <x:c r="C1837" s="23" t="n">
        <x:v>0.7726647</x:v>
      </x:c>
      <x:c r="D1837" s="23" t="n">
        <x:v>-15.02749</x:v>
      </x:c>
      <x:c r="E1837" s="23" t="n">
        <x:f>'Parameters'!$B$2*'Parameters'!$B$3*LN(4*PI()*C1837^2)</x:f>
        <x:v>4.995604292599628</x:v>
      </x:c>
      <x:c r="F1837" s="23" t="n">
        <x:f>D1837+E1837</x:f>
        <x:v>-10.031885707400372</x:v>
      </x:c>
      <x:c r="G1837" s="23" t="n">
        <x:f>AVERAGE($F$1942:$F$1966)</x:f>
        <x:v>-9.161306428882424</x:v>
      </x:c>
      <x:c r="H1837" s="24" t="n">
        <x:f>F1837-G1837</x:f>
        <x:v>-0.8705792785179476</x:v>
      </x:c>
    </x:row>
    <x:row r="1838">
      <x:c r="A1838" s="2" t="str">
        <x:v>LiND-Hybrid</x:v>
      </x:c>
      <x:c r="B1838" s="4" t="str">
        <x:v>NaCl</x:v>
      </x:c>
      <x:c r="C1838" s="23" t="n">
        <x:v>0.7847726</x:v>
      </x:c>
      <x:c r="D1838" s="23" t="n">
        <x:v>-15.03391</x:v>
      </x:c>
      <x:c r="E1838" s="23" t="n">
        <x:f>'Parameters'!$B$2*'Parameters'!$B$3*LN(4*PI()*C1838^2)</x:f>
        <x:v>5.072693928326361</x:v>
      </x:c>
      <x:c r="F1838" s="23" t="n">
        <x:f>D1838+E1838</x:f>
        <x:v>-9.96121607167364</x:v>
      </x:c>
      <x:c r="G1838" s="23" t="n">
        <x:f>AVERAGE($F$1942:$F$1966)</x:f>
        <x:v>-9.161306428882424</x:v>
      </x:c>
      <x:c r="H1838" s="24" t="n">
        <x:f>F1838-G1838</x:f>
        <x:v>-0.7999096427912153</x:v>
      </x:c>
    </x:row>
    <x:row r="1839">
      <x:c r="A1839" s="2" t="str">
        <x:v>LiND-Hybrid</x:v>
      </x:c>
      <x:c r="B1839" s="4" t="str">
        <x:v>NaCl</x:v>
      </x:c>
      <x:c r="C1839" s="23" t="n">
        <x:v>0.7968805</x:v>
      </x:c>
      <x:c r="D1839" s="23" t="n">
        <x:v>-15.14245</x:v>
      </x:c>
      <x:c r="E1839" s="23" t="n">
        <x:f>'Parameters'!$B$2*'Parameters'!$B$3*LN(4*PI()*C1839^2)</x:f>
        <x:v>5.148603241576756</x:v>
      </x:c>
      <x:c r="F1839" s="23" t="n">
        <x:f>D1839+E1839</x:f>
        <x:v>-9.993846758423244</x:v>
      </x:c>
      <x:c r="G1839" s="23" t="n">
        <x:f>AVERAGE($F$1942:$F$1966)</x:f>
        <x:v>-9.161306428882424</x:v>
      </x:c>
      <x:c r="H1839" s="24" t="n">
        <x:f>F1839-G1839</x:f>
        <x:v>-0.8325403295408194</x:v>
      </x:c>
    </x:row>
    <x:row r="1840">
      <x:c r="A1840" s="2" t="str">
        <x:v>LiND-Hybrid</x:v>
      </x:c>
      <x:c r="B1840" s="4" t="str">
        <x:v>NaCl</x:v>
      </x:c>
      <x:c r="C1840" s="23" t="n">
        <x:v>0.8089885</x:v>
      </x:c>
      <x:c r="D1840" s="23" t="n">
        <x:v>-15.21654</x:v>
      </x:c>
      <x:c r="E1840" s="23" t="n">
        <x:f>'Parameters'!$B$2*'Parameters'!$B$3*LN(4*PI()*C1840^2)</x:f>
        <x:v>5.223368444751853</x:v>
      </x:c>
      <x:c r="F1840" s="23" t="n">
        <x:f>D1840+E1840</x:f>
        <x:v>-9.993171555248146</x:v>
      </x:c>
      <x:c r="G1840" s="23" t="n">
        <x:f>AVERAGE($F$1942:$F$1966)</x:f>
        <x:v>-9.161306428882424</x:v>
      </x:c>
      <x:c r="H1840" s="24" t="n">
        <x:f>F1840-G1840</x:f>
        <x:v>-0.831865126365722</x:v>
      </x:c>
    </x:row>
    <x:row r="1841">
      <x:c r="A1841" s="2" t="str">
        <x:v>LiND-Hybrid</x:v>
      </x:c>
      <x:c r="B1841" s="4" t="str">
        <x:v>NaCl</x:v>
      </x:c>
      <x:c r="C1841" s="23" t="n">
        <x:v>0.8210964</x:v>
      </x:c>
      <x:c r="D1841" s="23" t="n">
        <x:v>-15.26073</x:v>
      </x:c>
      <x:c r="E1841" s="23" t="n">
        <x:f>'Parameters'!$B$2*'Parameters'!$B$3*LN(4*PI()*C1841^2)</x:f>
        <x:v>5.29702231598335</x:v>
      </x:c>
      <x:c r="F1841" s="23" t="n">
        <x:f>D1841+E1841</x:f>
        <x:v>-9.96370768401665</x:v>
      </x:c>
      <x:c r="G1841" s="23" t="n">
        <x:f>AVERAGE($F$1942:$F$1966)</x:f>
        <x:v>-9.161306428882424</x:v>
      </x:c>
      <x:c r="H1841" s="24" t="n">
        <x:f>F1841-G1841</x:f>
        <x:v>-0.8024012551342263</x:v>
      </x:c>
    </x:row>
    <x:row r="1842">
      <x:c r="A1842" s="2" t="str">
        <x:v>LiND-Hybrid</x:v>
      </x:c>
      <x:c r="B1842" s="4" t="str">
        <x:v>NaCl</x:v>
      </x:c>
      <x:c r="C1842" s="23" t="n">
        <x:v>0.8332043</x:v>
      </x:c>
      <x:c r="D1842" s="23" t="n">
        <x:v>-15.25408</x:v>
      </x:c>
      <x:c r="E1842" s="23" t="n">
        <x:f>'Parameters'!$B$2*'Parameters'!$B$3*LN(4*PI()*C1842^2)</x:f>
        <x:v>5.369597996540652</x:v>
      </x:c>
      <x:c r="F1842" s="23" t="n">
        <x:f>D1842+E1842</x:f>
        <x:v>-9.884482003459347</x:v>
      </x:c>
      <x:c r="G1842" s="23" t="n">
        <x:f>AVERAGE($F$1942:$F$1966)</x:f>
        <x:v>-9.161306428882424</x:v>
      </x:c>
      <x:c r="H1842" s="24" t="n">
        <x:f>F1842-G1842</x:f>
        <x:v>-0.7231755745769224</x:v>
      </x:c>
    </x:row>
    <x:row r="1843">
      <x:c r="A1843" s="2" t="str">
        <x:v>LiND-Hybrid</x:v>
      </x:c>
      <x:c r="B1843" s="4" t="str">
        <x:v>NaCl</x:v>
      </x:c>
      <x:c r="C1843" s="23" t="n">
        <x:v>0.8453122</x:v>
      </x:c>
      <x:c r="D1843" s="23" t="n">
        <x:v>-15.34228</x:v>
      </x:c>
      <x:c r="E1843" s="23" t="n">
        <x:f>'Parameters'!$B$2*'Parameters'!$B$3*LN(4*PI()*C1843^2)</x:f>
        <x:v>5.441126597977863</x:v>
      </x:c>
      <x:c r="F1843" s="23" t="n">
        <x:f>D1843+E1843</x:f>
        <x:v>-9.901153402022137</x:v>
      </x:c>
      <x:c r="G1843" s="23" t="n">
        <x:f>AVERAGE($F$1942:$F$1966)</x:f>
        <x:v>-9.161306428882424</x:v>
      </x:c>
      <x:c r="H1843" s="24" t="n">
        <x:f>F1843-G1843</x:f>
        <x:v>-0.7398469731397128</x:v>
      </x:c>
    </x:row>
    <x:row r="1844">
      <x:c r="A1844" s="2" t="str">
        <x:v>LiND-Hybrid</x:v>
      </x:c>
      <x:c r="B1844" s="4" t="str">
        <x:v>NaCl</x:v>
      </x:c>
      <x:c r="C1844" s="23" t="n">
        <x:v>0.8574201</x:v>
      </x:c>
      <x:c r="D1844" s="23" t="n">
        <x:v>-15.40547</x:v>
      </x:c>
      <x:c r="E1844" s="23" t="n">
        <x:f>'Parameters'!$B$2*'Parameters'!$B$3*LN(4*PI()*C1844^2)</x:f>
        <x:v>5.511637904377194</x:v>
      </x:c>
      <x:c r="F1844" s="23" t="n">
        <x:f>D1844+E1844</x:f>
        <x:v>-9.893832095622805</x:v>
      </x:c>
      <x:c r="G1844" s="23" t="n">
        <x:f>AVERAGE($F$1942:$F$1966)</x:f>
        <x:v>-9.161306428882424</x:v>
      </x:c>
      <x:c r="H1844" s="24" t="n">
        <x:f>F1844-G1844</x:f>
        <x:v>-0.732525666740381</x:v>
      </x:c>
    </x:row>
    <x:row r="1845">
      <x:c r="A1845" s="2" t="str">
        <x:v>LiND-Hybrid</x:v>
      </x:c>
      <x:c r="B1845" s="4" t="str">
        <x:v>NaCl</x:v>
      </x:c>
      <x:c r="C1845" s="23" t="n">
        <x:v>0.869528</x:v>
      </x:c>
      <x:c r="D1845" s="23" t="n">
        <x:v>-15.41161</x:v>
      </x:c>
      <x:c r="E1845" s="23" t="n">
        <x:f>'Parameters'!$B$2*'Parameters'!$B$3*LN(4*PI()*C1845^2)</x:f>
        <x:v>5.581160446812131</x:v>
      </x:c>
      <x:c r="F1845" s="23" t="n">
        <x:f>D1845+E1845</x:f>
        <x:v>-9.830449553187869</x:v>
      </x:c>
      <x:c r="G1845" s="23" t="n">
        <x:f>AVERAGE($F$1942:$F$1966)</x:f>
        <x:v>-9.161306428882424</x:v>
      </x:c>
      <x:c r="H1845" s="24" t="n">
        <x:f>F1845-G1845</x:f>
        <x:v>-0.6691431243054442</x:v>
      </x:c>
    </x:row>
    <x:row r="1846">
      <x:c r="A1846" s="2" t="str">
        <x:v>LiND-Hybrid</x:v>
      </x:c>
      <x:c r="B1846" s="4" t="str">
        <x:v>NaCl</x:v>
      </x:c>
      <x:c r="C1846" s="23" t="n">
        <x:v>0.881636</x:v>
      </x:c>
      <x:c r="D1846" s="23" t="n">
        <x:v>-15.57684</x:v>
      </x:c>
      <x:c r="E1846" s="23" t="n">
        <x:f>'Parameters'!$B$2*'Parameters'!$B$3*LN(4*PI()*C1846^2)</x:f>
        <x:v>5.649722135015442</x:v>
      </x:c>
      <x:c r="F1846" s="23" t="n">
        <x:f>D1846+E1846</x:f>
        <x:v>-9.92711786498456</x:v>
      </x:c>
      <x:c r="G1846" s="23" t="n">
        <x:f>AVERAGE($F$1942:$F$1966)</x:f>
        <x:v>-9.161306428882424</x:v>
      </x:c>
      <x:c r="H1846" s="24" t="n">
        <x:f>F1846-G1846</x:f>
        <x:v>-0.7658114361021351</x:v>
      </x:c>
    </x:row>
    <x:row r="1847">
      <x:c r="A1847" s="2" t="str">
        <x:v>LiND-Hybrid</x:v>
      </x:c>
      <x:c r="B1847" s="4" t="str">
        <x:v>NaCl</x:v>
      </x:c>
      <x:c r="C1847" s="23" t="n">
        <x:v>0.8937439</x:v>
      </x:c>
      <x:c r="D1847" s="23" t="n">
        <x:v>-15.47124</x:v>
      </x:c>
      <x:c r="E1847" s="23" t="n">
        <x:f>'Parameters'!$B$2*'Parameters'!$B$3*LN(4*PI()*C1847^2)</x:f>
        <x:v>5.717348064931705</x:v>
      </x:c>
      <x:c r="F1847" s="23" t="n">
        <x:f>D1847+E1847</x:f>
        <x:v>-9.753891935068296</x:v>
      </x:c>
      <x:c r="G1847" s="23" t="n">
        <x:f>AVERAGE($F$1942:$F$1966)</x:f>
        <x:v>-9.161306428882424</x:v>
      </x:c>
      <x:c r="H1847" s="24" t="n">
        <x:f>F1847-G1847</x:f>
        <x:v>-0.5925855061858716</x:v>
      </x:c>
    </x:row>
    <x:row r="1848">
      <x:c r="A1848" s="2" t="str">
        <x:v>LiND-Hybrid</x:v>
      </x:c>
      <x:c r="B1848" s="4" t="str">
        <x:v>NaCl</x:v>
      </x:c>
      <x:c r="C1848" s="23" t="n">
        <x:v>0.9058518</x:v>
      </x:c>
      <x:c r="D1848" s="23" t="n">
        <x:v>-15.43518</x:v>
      </x:c>
      <x:c r="E1848" s="23" t="n">
        <x:f>'Parameters'!$B$2*'Parameters'!$B$3*LN(4*PI()*C1848^2)</x:f>
        <x:v>5.784063976140242</x:v>
      </x:c>
      <x:c r="F1848" s="23" t="n">
        <x:f>D1848+E1848</x:f>
        <x:v>-9.651116023859759</x:v>
      </x:c>
      <x:c r="G1848" s="23" t="n">
        <x:f>AVERAGE($F$1942:$F$1966)</x:f>
        <x:v>-9.161306428882424</x:v>
      </x:c>
      <x:c r="H1848" s="24" t="n">
        <x:f>F1848-G1848</x:f>
        <x:v>-0.48980959497733423</x:v>
      </x:c>
    </x:row>
    <x:row r="1849">
      <x:c r="A1849" s="2" t="str">
        <x:v>LiND-Hybrid</x:v>
      </x:c>
      <x:c r="B1849" s="4" t="str">
        <x:v>NaCl</x:v>
      </x:c>
      <x:c r="C1849" s="23" t="n">
        <x:v>0.9179597</x:v>
      </x:c>
      <x:c r="D1849" s="23" t="n">
        <x:v>-15.51543</x:v>
      </x:c>
      <x:c r="E1849" s="23" t="n">
        <x:f>'Parameters'!$B$2*'Parameters'!$B$3*LN(4*PI()*C1849^2)</x:f>
        <x:v>5.849894035409928</x:v>
      </x:c>
      <x:c r="F1849" s="23" t="n">
        <x:f>D1849+E1849</x:f>
        <x:v>-9.665535964590072</x:v>
      </x:c>
      <x:c r="G1849" s="23" t="n">
        <x:f>AVERAGE($F$1942:$F$1966)</x:f>
        <x:v>-9.161306428882424</x:v>
      </x:c>
      <x:c r="H1849" s="24" t="n">
        <x:f>F1849-G1849</x:f>
        <x:v>-0.5042295357076476</x:v>
      </x:c>
    </x:row>
    <x:row r="1850">
      <x:c r="A1850" s="2" t="str">
        <x:v>LiND-Hybrid</x:v>
      </x:c>
      <x:c r="B1850" s="4" t="str">
        <x:v>NaCl</x:v>
      </x:c>
      <x:c r="C1850" s="23" t="n">
        <x:v>0.9300676</x:v>
      </x:c>
      <x:c r="D1850" s="23" t="n">
        <x:v>-15.52178</x:v>
      </x:c>
      <x:c r="E1850" s="23" t="n">
        <x:f>'Parameters'!$B$2*'Parameters'!$B$3*LN(4*PI()*C1850^2)</x:f>
        <x:v>5.914861459439554</x:v>
      </x:c>
      <x:c r="F1850" s="23" t="n">
        <x:f>D1850+E1850</x:f>
        <x:v>-9.606918540560446</x:v>
      </x:c>
      <x:c r="G1850" s="23" t="n">
        <x:f>AVERAGE($F$1942:$F$1966)</x:f>
        <x:v>-9.161306428882424</x:v>
      </x:c>
      <x:c r="H1850" s="24" t="n">
        <x:f>F1850-G1850</x:f>
        <x:v>-0.44561211167802206</x:v>
      </x:c>
    </x:row>
    <x:row r="1851">
      <x:c r="A1851" s="2" t="str">
        <x:v>LiND-Hybrid</x:v>
      </x:c>
      <x:c r="B1851" s="4" t="str">
        <x:v>NaCl</x:v>
      </x:c>
      <x:c r="C1851" s="23" t="n">
        <x:v>0.9421755</x:v>
      </x:c>
      <x:c r="D1851" s="23" t="n">
        <x:v>-15.45222</x:v>
      </x:c>
      <x:c r="E1851" s="23" t="n">
        <x:f>'Parameters'!$B$2*'Parameters'!$B$3*LN(4*PI()*C1851^2)</x:f>
        <x:v>5.9789885640145926</x:v>
      </x:c>
      <x:c r="F1851" s="23" t="n">
        <x:f>D1851+E1851</x:f>
        <x:v>-9.473231435985408</x:v>
      </x:c>
      <x:c r="G1851" s="23" t="n">
        <x:f>AVERAGE($F$1942:$F$1966)</x:f>
        <x:v>-9.161306428882424</x:v>
      </x:c>
      <x:c r="H1851" s="24" t="n">
        <x:f>F1851-G1851</x:f>
        <x:v>-0.31192500710298354</x:v>
      </x:c>
    </x:row>
    <x:row r="1852">
      <x:c r="A1852" s="2" t="str">
        <x:v>LiND-Hybrid</x:v>
      </x:c>
      <x:c r="B1852" s="4" t="str">
        <x:v>NaCl</x:v>
      </x:c>
      <x:c r="C1852" s="23" t="n">
        <x:v>0.9542834</x:v>
      </x:c>
      <x:c r="D1852" s="23" t="n">
        <x:v>-15.42413</x:v>
      </x:c>
      <x:c r="E1852" s="23" t="n">
        <x:f>'Parameters'!$B$2*'Parameters'!$B$3*LN(4*PI()*C1852^2)</x:f>
        <x:v>6.042296810025299</x:v>
      </x:c>
      <x:c r="F1852" s="23" t="n">
        <x:f>D1852+E1852</x:f>
        <x:v>-9.381833189974701</x:v>
      </x:c>
      <x:c r="G1852" s="23" t="n">
        <x:f>AVERAGE($F$1942:$F$1966)</x:f>
        <x:v>-9.161306428882424</x:v>
      </x:c>
      <x:c r="H1852" s="24" t="n">
        <x:f>F1852-G1852</x:f>
        <x:v>-0.22052676109227676</x:v>
      </x:c>
    </x:row>
    <x:row r="1853">
      <x:c r="A1853" s="2" t="str">
        <x:v>LiND-Hybrid</x:v>
      </x:c>
      <x:c r="B1853" s="4" t="str">
        <x:v>NaCl</x:v>
      </x:c>
      <x:c r="C1853" s="23" t="n">
        <x:v>0.9663914</x:v>
      </x:c>
      <x:c r="D1853" s="23" t="n">
        <x:v>-15.48812</x:v>
      </x:c>
      <x:c r="E1853" s="23" t="n">
        <x:f>'Parameters'!$B$2*'Parameters'!$B$3*LN(4*PI()*C1853^2)</x:f>
        <x:v>6.104807359617372</x:v>
      </x:c>
      <x:c r="F1853" s="23" t="n">
        <x:f>D1853+E1853</x:f>
        <x:v>-9.383312640382627</x:v>
      </x:c>
      <x:c r="G1853" s="23" t="n">
        <x:f>AVERAGE($F$1942:$F$1966)</x:f>
        <x:v>-9.161306428882424</x:v>
      </x:c>
      <x:c r="H1853" s="24" t="n">
        <x:f>F1853-G1853</x:f>
        <x:v>-0.2220062115002026</x:v>
      </x:c>
    </x:row>
    <x:row r="1854">
      <x:c r="A1854" s="2" t="str">
        <x:v>LiND-Hybrid</x:v>
      </x:c>
      <x:c r="B1854" s="4" t="str">
        <x:v>NaCl</x:v>
      </x:c>
      <x:c r="C1854" s="23" t="n">
        <x:v>0.9784993</x:v>
      </x:c>
      <x:c r="D1854" s="23" t="n">
        <x:v>-15.62326</x:v>
      </x:c>
      <x:c r="E1854" s="23" t="n">
        <x:f>'Parameters'!$B$2*'Parameters'!$B$3*LN(4*PI()*C1854^2)</x:f>
        <x:v>6.166539058141032</x:v>
      </x:c>
      <x:c r="F1854" s="23" t="n">
        <x:f>D1854+E1854</x:f>
        <x:v>-9.456720941858968</x:v>
      </x:c>
      <x:c r="G1854" s="23" t="n">
        <x:f>AVERAGE($F$1942:$F$1966)</x:f>
        <x:v>-9.161306428882424</x:v>
      </x:c>
      <x:c r="H1854" s="24" t="n">
        <x:f>F1854-G1854</x:f>
        <x:v>-0.295414512976544</x:v>
      </x:c>
    </x:row>
    <x:row r="1855">
      <x:c r="A1855" s="2" t="str">
        <x:v>LiND-Hybrid</x:v>
      </x:c>
      <x:c r="B1855" s="4" t="str">
        <x:v>NaCl</x:v>
      </x:c>
      <x:c r="C1855" s="23" t="n">
        <x:v>0.9906072</x:v>
      </x:c>
      <x:c r="D1855" s="23" t="n">
        <x:v>-15.70012</x:v>
      </x:c>
      <x:c r="E1855" s="23" t="n">
        <x:f>'Parameters'!$B$2*'Parameters'!$B$3*LN(4*PI()*C1855^2)</x:f>
        <x:v>6.227511569499701</x:v>
      </x:c>
      <x:c r="F1855" s="23" t="n">
        <x:f>D1855+E1855</x:f>
        <x:v>-9.472608430500298</x:v>
      </x:c>
      <x:c r="G1855" s="23" t="n">
        <x:f>AVERAGE($F$1942:$F$1966)</x:f>
        <x:v>-9.161306428882424</x:v>
      </x:c>
      <x:c r="H1855" s="24" t="n">
        <x:f>F1855-G1855</x:f>
        <x:v>-0.31130200161787336</x:v>
      </x:c>
    </x:row>
    <x:row r="1856">
      <x:c r="A1856" s="2" t="str">
        <x:v>LiND-Hybrid</x:v>
      </x:c>
      <x:c r="B1856" s="4" t="str">
        <x:v>NaCl</x:v>
      </x:c>
      <x:c r="C1856" s="23" t="n">
        <x:v>1.002715</x:v>
      </x:c>
      <x:c r="D1856" s="23" t="n">
        <x:v>-15.84504</x:v>
      </x:c>
      <x:c r="E1856" s="23" t="n">
        <x:f>'Parameters'!$B$2*'Parameters'!$B$3*LN(4*PI()*C1856^2)</x:f>
        <x:v>6.2877428458461635</x:v>
      </x:c>
      <x:c r="F1856" s="23" t="n">
        <x:f>D1856+E1856</x:f>
        <x:v>-9.557297154153837</x:v>
      </x:c>
      <x:c r="G1856" s="23" t="n">
        <x:f>AVERAGE($F$1942:$F$1966)</x:f>
        <x:v>-9.161306428882424</x:v>
      </x:c>
      <x:c r="H1856" s="24" t="n">
        <x:f>F1856-G1856</x:f>
        <x:v>-0.3959907252714121</x:v>
      </x:c>
    </x:row>
    <x:row r="1857">
      <x:c r="A1857" s="2" t="str">
        <x:v>LiND-Hybrid</x:v>
      </x:c>
      <x:c r="B1857" s="4" t="str">
        <x:v>NaCl</x:v>
      </x:c>
      <x:c r="C1857" s="23" t="n">
        <x:v>1.014823</x:v>
      </x:c>
      <x:c r="D1857" s="23" t="n">
        <x:v>-15.86526</x:v>
      </x:c>
      <x:c r="E1857" s="23" t="n">
        <x:f>'Parameters'!$B$2*'Parameters'!$B$3*LN(4*PI()*C1857^2)</x:f>
        <x:v>6.347252152872312</x:v>
      </x:c>
      <x:c r="F1857" s="23" t="n">
        <x:f>D1857+E1857</x:f>
        <x:v>-9.518007847127688</x:v>
      </x:c>
      <x:c r="G1857" s="23" t="n">
        <x:f>AVERAGE($F$1942:$F$1966)</x:f>
        <x:v>-9.161306428882424</x:v>
      </x:c>
      <x:c r="H1857" s="24" t="n">
        <x:f>F1857-G1857</x:f>
        <x:v>-0.35670141824526347</x:v>
      </x:c>
    </x:row>
    <x:row r="1858">
      <x:c r="A1858" s="2" t="str">
        <x:v>LiND-Hybrid</x:v>
      </x:c>
      <x:c r="B1858" s="4" t="str">
        <x:v>NaCl</x:v>
      </x:c>
      <x:c r="C1858" s="23" t="n">
        <x:v>1.026931</x:v>
      </x:c>
      <x:c r="D1858" s="23" t="n">
        <x:v>-15.84318</x:v>
      </x:c>
      <x:c r="E1858" s="23" t="n">
        <x:f>'Parameters'!$B$2*'Parameters'!$B$3*LN(4*PI()*C1858^2)</x:f>
        <x:v>6.406055639624061</x:v>
      </x:c>
      <x:c r="F1858" s="23" t="n">
        <x:f>D1858+E1858</x:f>
        <x:v>-9.43712436037594</x:v>
      </x:c>
      <x:c r="G1858" s="23" t="n">
        <x:f>AVERAGE($F$1942:$F$1966)</x:f>
        <x:v>-9.161306428882424</x:v>
      </x:c>
      <x:c r="H1858" s="24" t="n">
        <x:f>F1858-G1858</x:f>
        <x:v>-0.2758179314935152</x:v>
      </x:c>
    </x:row>
    <x:row r="1859">
      <x:c r="A1859" s="2" t="str">
        <x:v>LiND-Hybrid</x:v>
      </x:c>
      <x:c r="B1859" s="4" t="str">
        <x:v>NaCl</x:v>
      </x:c>
      <x:c r="C1859" s="23" t="n">
        <x:v>1.039039</x:v>
      </x:c>
      <x:c r="D1859" s="23" t="n">
        <x:v>-15.93974</x:v>
      </x:c>
      <x:c r="E1859" s="23" t="n">
        <x:f>'Parameters'!$B$2*'Parameters'!$B$3*LN(4*PI()*C1859^2)</x:f>
        <x:v>6.464169853038566</x:v>
      </x:c>
      <x:c r="F1859" s="23" t="n">
        <x:f>D1859+E1859</x:f>
        <x:v>-9.475570146961434</x:v>
      </x:c>
      <x:c r="G1859" s="23" t="n">
        <x:f>AVERAGE($F$1942:$F$1966)</x:f>
        <x:v>-9.161306428882424</x:v>
      </x:c>
      <x:c r="H1859" s="24" t="n">
        <x:f>F1859-G1859</x:f>
        <x:v>-0.31426371807901</x:v>
      </x:c>
    </x:row>
    <x:row r="1860">
      <x:c r="A1860" s="2" t="str">
        <x:v>LiND-Hybrid</x:v>
      </x:c>
      <x:c r="B1860" s="4" t="str">
        <x:v>NaCl</x:v>
      </x:c>
      <x:c r="C1860" s="23" t="n">
        <x:v>1.051147</x:v>
      </x:c>
      <x:c r="D1860" s="23" t="n">
        <x:v>-15.93398</x:v>
      </x:c>
      <x:c r="E1860" s="23" t="n">
        <x:f>'Parameters'!$B$2*'Parameters'!$B$3*LN(4*PI()*C1860^2)</x:f>
        <x:v>6.521610764909608</x:v>
      </x:c>
      <x:c r="F1860" s="23" t="n">
        <x:f>D1860+E1860</x:f>
        <x:v>-9.412369235090392</x:v>
      </x:c>
      <x:c r="G1860" s="23" t="n">
        <x:f>AVERAGE($F$1942:$F$1966)</x:f>
        <x:v>-9.161306428882424</x:v>
      </x:c>
      <x:c r="H1860" s="24" t="n">
        <x:f>F1860-G1860</x:f>
        <x:v>-0.25106280620796717</x:v>
      </x:c>
    </x:row>
    <x:row r="1861">
      <x:c r="A1861" s="2" t="str">
        <x:v>LiND-Hybrid</x:v>
      </x:c>
      <x:c r="B1861" s="4" t="str">
        <x:v>NaCl</x:v>
      </x:c>
      <x:c r="C1861" s="23" t="n">
        <x:v>1.063255</x:v>
      </x:c>
      <x:c r="D1861" s="23" t="n">
        <x:v>-15.97944</x:v>
      </x:c>
      <x:c r="E1861" s="23" t="n">
        <x:f>'Parameters'!$B$2*'Parameters'!$B$3*LN(4*PI()*C1861^2)</x:f>
        <x:v>6.578393798237259</x:v>
      </x:c>
      <x:c r="F1861" s="23" t="n">
        <x:f>D1861+E1861</x:f>
        <x:v>-9.401046201762743</x:v>
      </x:c>
      <x:c r="G1861" s="23" t="n">
        <x:f>AVERAGE($F$1942:$F$1966)</x:f>
        <x:v>-9.161306428882424</x:v>
      </x:c>
      <x:c r="H1861" s="24" t="n">
        <x:f>F1861-G1861</x:f>
        <x:v>-0.2397397728803181</x:v>
      </x:c>
    </x:row>
    <x:row r="1862">
      <x:c r="A1862" s="2" t="str">
        <x:v>LiND-Hybrid</x:v>
      </x:c>
      <x:c r="B1862" s="4" t="str">
        <x:v>NaCl</x:v>
      </x:c>
      <x:c r="C1862" s="23" t="n">
        <x:v>1.075363</x:v>
      </x:c>
      <x:c r="D1862" s="23" t="n">
        <x:v>-16.0306</x:v>
      </x:c>
      <x:c r="E1862" s="23" t="n">
        <x:f>'Parameters'!$B$2*'Parameters'!$B$3*LN(4*PI()*C1862^2)</x:f>
        <x:v>6.634533852085656</x:v>
      </x:c>
      <x:c r="F1862" s="23" t="n">
        <x:f>D1862+E1862</x:f>
        <x:v>-9.396066147914343</x:v>
      </x:c>
      <x:c r="G1862" s="23" t="n">
        <x:f>AVERAGE($F$1942:$F$1966)</x:f>
        <x:v>-9.161306428882424</x:v>
      </x:c>
      <x:c r="H1862" s="24" t="n">
        <x:f>F1862-G1862</x:f>
        <x:v>-0.23475971903191883</x:v>
      </x:c>
    </x:row>
    <x:row r="1863">
      <x:c r="A1863" s="2" t="str">
        <x:v>LiND-Hybrid</x:v>
      </x:c>
      <x:c r="B1863" s="4" t="str">
        <x:v>NaCl</x:v>
      </x:c>
      <x:c r="C1863" s="23" t="n">
        <x:v>1.087471</x:v>
      </x:c>
      <x:c r="D1863" s="23" t="n">
        <x:v>-16.01982</x:v>
      </x:c>
      <x:c r="E1863" s="23" t="n">
        <x:f>'Parameters'!$B$2*'Parameters'!$B$3*LN(4*PI()*C1863^2)</x:f>
        <x:v>6.690045325049074</x:v>
      </x:c>
      <x:c r="F1863" s="23" t="n">
        <x:f>D1863+E1863</x:f>
        <x:v>-9.329774674950926</x:v>
      </x:c>
      <x:c r="G1863" s="23" t="n">
        <x:f>AVERAGE($F$1942:$F$1966)</x:f>
        <x:v>-9.161306428882424</x:v>
      </x:c>
      <x:c r="H1863" s="24" t="n">
        <x:f>F1863-G1863</x:f>
        <x:v>-0.16846824606850141</x:v>
      </x:c>
    </x:row>
    <x:row r="1864">
      <x:c r="A1864" s="2" t="str">
        <x:v>LiND-Hybrid</x:v>
      </x:c>
      <x:c r="B1864" s="4" t="str">
        <x:v>NaCl</x:v>
      </x:c>
      <x:c r="C1864" s="23" t="n">
        <x:v>1.099578</x:v>
      </x:c>
      <x:c r="D1864" s="23" t="n">
        <x:v>-16.21295</x:v>
      </x:c>
      <x:c r="E1864" s="23" t="n">
        <x:f>'Parameters'!$B$2*'Parameters'!$B$3*LN(4*PI()*C1864^2)</x:f>
        <x:v>6.7449376284964675</x:v>
      </x:c>
      <x:c r="F1864" s="23" t="n">
        <x:f>D1864+E1864</x:f>
        <x:v>-9.468012371503532</x:v>
      </x:c>
      <x:c r="G1864" s="23" t="n">
        <x:f>AVERAGE($F$1942:$F$1966)</x:f>
        <x:v>-9.161306428882424</x:v>
      </x:c>
      <x:c r="H1864" s="24" t="n">
        <x:f>F1864-G1864</x:f>
        <x:v>-0.3067059426211074</x:v>
      </x:c>
    </x:row>
    <x:row r="1865">
      <x:c r="A1865" s="2" t="str">
        <x:v>LiND-Hybrid</x:v>
      </x:c>
      <x:c r="B1865" s="4" t="str">
        <x:v>NaCl</x:v>
      </x:c>
      <x:c r="C1865" s="23" t="n">
        <x:v>1.111686</x:v>
      </x:c>
      <x:c r="D1865" s="23" t="n">
        <x:v>-16.03882</x:v>
      </x:c>
      <x:c r="E1865" s="23" t="n">
        <x:f>'Parameters'!$B$2*'Parameters'!$B$3*LN(4*PI()*C1865^2)</x:f>
        <x:v>6.799233292323028</x:v>
      </x:c>
      <x:c r="F1865" s="23" t="n">
        <x:f>D1865+E1865</x:f>
        <x:v>-9.239586707676974</x:v>
      </x:c>
      <x:c r="G1865" s="23" t="n">
        <x:f>AVERAGE($F$1942:$F$1966)</x:f>
        <x:v>-9.161306428882424</x:v>
      </x:c>
      <x:c r="H1865" s="24" t="n">
        <x:f>F1865-G1865</x:f>
        <x:v>-0.07828027879454957</x:v>
      </x:c>
    </x:row>
    <x:row r="1866">
      <x:c r="A1866" s="2" t="str">
        <x:v>LiND-Hybrid</x:v>
      </x:c>
      <x:c r="B1866" s="4" t="str">
        <x:v>NaCl</x:v>
      </x:c>
      <x:c r="C1866" s="23" t="n">
        <x:v>1.123794</x:v>
      </x:c>
      <x:c r="D1866" s="23" t="n">
        <x:v>-16.25513</x:v>
      </x:c>
      <x:c r="E1866" s="23" t="n">
        <x:f>'Parameters'!$B$2*'Parameters'!$B$3*LN(4*PI()*C1866^2)</x:f>
        <x:v>6.852940782848429</x:v>
      </x:c>
      <x:c r="F1866" s="23" t="n">
        <x:f>D1866+E1866</x:f>
        <x:v>-9.402189217151573</x:v>
      </x:c>
      <x:c r="G1866" s="23" t="n">
        <x:f>AVERAGE($F$1942:$F$1966)</x:f>
        <x:v>-9.161306428882424</x:v>
      </x:c>
      <x:c r="H1866" s="24" t="n">
        <x:f>F1866-G1866</x:f>
        <x:v>-0.24088278826914866</x:v>
      </x:c>
    </x:row>
    <x:row r="1867">
      <x:c r="A1867" s="2" t="str">
        <x:v>LiND-Hybrid</x:v>
      </x:c>
      <x:c r="B1867" s="4" t="str">
        <x:v>NaCl</x:v>
      </x:c>
      <x:c r="C1867" s="23" t="n">
        <x:v>1.135902</x:v>
      </x:c>
      <x:c r="D1867" s="23" t="n">
        <x:v>-16.26814</x:v>
      </x:c>
      <x:c r="E1867" s="23" t="n">
        <x:f>'Parameters'!$B$2*'Parameters'!$B$3*LN(4*PI()*C1867^2)</x:f>
        <x:v>6.906072706740177</x:v>
      </x:c>
      <x:c r="F1867" s="23" t="n">
        <x:f>D1867+E1867</x:f>
        <x:v>-9.362067293259823</x:v>
      </x:c>
      <x:c r="G1867" s="23" t="n">
        <x:f>AVERAGE($F$1942:$F$1966)</x:f>
        <x:v>-9.161306428882424</x:v>
      </x:c>
      <x:c r="H1867" s="24" t="n">
        <x:f>F1867-G1867</x:f>
        <x:v>-0.20076086437739882</x:v>
      </x:c>
    </x:row>
    <x:row r="1868">
      <x:c r="A1868" s="2" t="str">
        <x:v>LiND-Hybrid</x:v>
      </x:c>
      <x:c r="B1868" s="4" t="str">
        <x:v>NaCl</x:v>
      </x:c>
      <x:c r="C1868" s="23" t="n">
        <x:v>1.14801</x:v>
      </x:c>
      <x:c r="D1868" s="23" t="n">
        <x:v>-16.47174</x:v>
      </x:c>
      <x:c r="E1868" s="23" t="n">
        <x:f>'Parameters'!$B$2*'Parameters'!$B$3*LN(4*PI()*C1868^2)</x:f>
        <x:v>6.958641269650299</x:v>
      </x:c>
      <x:c r="F1868" s="23" t="n">
        <x:f>D1868+E1868</x:f>
        <x:v>-9.513098730349702</x:v>
      </x:c>
      <x:c r="G1868" s="23" t="n">
        <x:f>AVERAGE($F$1942:$F$1966)</x:f>
        <x:v>-9.161306428882424</x:v>
      </x:c>
      <x:c r="H1868" s="24" t="n">
        <x:f>F1868-G1868</x:f>
        <x:v>-0.35179230146727747</x:v>
      </x:c>
    </x:row>
    <x:row r="1869">
      <x:c r="A1869" s="2" t="str">
        <x:v>LiND-Hybrid</x:v>
      </x:c>
      <x:c r="B1869" s="4" t="str">
        <x:v>NaCl</x:v>
      </x:c>
      <x:c r="C1869" s="23" t="n">
        <x:v>1.160118</x:v>
      </x:c>
      <x:c r="D1869" s="23" t="n">
        <x:v>-16.47957</x:v>
      </x:c>
      <x:c r="E1869" s="23" t="n">
        <x:f>'Parameters'!$B$2*'Parameters'!$B$3*LN(4*PI()*C1869^2)</x:f>
        <x:v>7.010658293045343</x:v>
      </x:c>
      <x:c r="F1869" s="23" t="n">
        <x:f>D1869+E1869</x:f>
        <x:v>-9.468911706954657</x:v>
      </x:c>
      <x:c r="G1869" s="23" t="n">
        <x:f>AVERAGE($F$1942:$F$1966)</x:f>
        <x:v>-9.161306428882424</x:v>
      </x:c>
      <x:c r="H1869" s="24" t="n">
        <x:f>F1869-G1869</x:f>
        <x:v>-0.3076052780722325</x:v>
      </x:c>
    </x:row>
    <x:row r="1870">
      <x:c r="A1870" s="2" t="str">
        <x:v>LiND-Hybrid</x:v>
      </x:c>
      <x:c r="B1870" s="4" t="str">
        <x:v>NaCl</x:v>
      </x:c>
      <x:c r="C1870" s="23" t="n">
        <x:v>1.172226</x:v>
      </x:c>
      <x:c r="D1870" s="23" t="n">
        <x:v>-16.66456</x:v>
      </x:c>
      <x:c r="E1870" s="23" t="n">
        <x:f>'Parameters'!$B$2*'Parameters'!$B$3*LN(4*PI()*C1870^2)</x:f>
        <x:v>7.062135230162617</x:v>
      </x:c>
      <x:c r="F1870" s="23" t="n">
        <x:f>D1870+E1870</x:f>
        <x:v>-9.602424769837384</x:v>
      </x:c>
      <x:c r="G1870" s="23" t="n">
        <x:f>AVERAGE($F$1942:$F$1966)</x:f>
        <x:v>-9.161306428882424</x:v>
      </x:c>
      <x:c r="H1870" s="24" t="n">
        <x:f>F1870-G1870</x:f>
        <x:v>-0.4411183409549597</x:v>
      </x:c>
    </x:row>
    <x:row r="1871">
      <x:c r="A1871" s="2" t="str">
        <x:v>LiND-Hybrid</x:v>
      </x:c>
      <x:c r="B1871" s="4" t="str">
        <x:v>NaCl</x:v>
      </x:c>
      <x:c r="C1871" s="23" t="n">
        <x:v>1.184334</x:v>
      </x:c>
      <x:c r="D1871" s="23" t="n">
        <x:v>-16.73375</x:v>
      </x:c>
      <x:c r="E1871" s="23" t="n">
        <x:f>'Parameters'!$B$2*'Parameters'!$B$3*LN(4*PI()*C1871^2)</x:f>
        <x:v>7.113083181146553</x:v>
      </x:c>
      <x:c r="F1871" s="23" t="n">
        <x:f>D1871+E1871</x:f>
        <x:v>-9.620666818853447</x:v>
      </x:c>
      <x:c r="G1871" s="23" t="n">
        <x:f>AVERAGE($F$1942:$F$1966)</x:f>
        <x:v>-9.161306428882424</x:v>
      </x:c>
      <x:c r="H1871" s="24" t="n">
        <x:f>F1871-G1871</x:f>
        <x:v>-0.4593603899710228</x:v>
      </x:c>
    </x:row>
    <x:row r="1872">
      <x:c r="A1872" s="2" t="str">
        <x:v>LiND-Hybrid</x:v>
      </x:c>
      <x:c r="B1872" s="4" t="str">
        <x:v>NaCl</x:v>
      </x:c>
      <x:c r="C1872" s="23" t="n">
        <x:v>1.196442</x:v>
      </x:c>
      <x:c r="D1872" s="23" t="n">
        <x:v>-16.60416</x:v>
      </x:c>
      <x:c r="E1872" s="23" t="n">
        <x:f>'Parameters'!$B$2*'Parameters'!$B$3*LN(4*PI()*C1872^2)</x:f>
        <x:v>7.163512907415255</x:v>
      </x:c>
      <x:c r="F1872" s="23" t="n">
        <x:f>D1872+E1872</x:f>
        <x:v>-9.440647092584745</x:v>
      </x:c>
      <x:c r="G1872" s="23" t="n">
        <x:f>AVERAGE($F$1942:$F$1966)</x:f>
        <x:v>-9.161306428882424</x:v>
      </x:c>
      <x:c r="H1872" s="24" t="n">
        <x:f>F1872-G1872</x:f>
        <x:v>-0.279340663702321</x:v>
      </x:c>
    </x:row>
    <x:row r="1873">
      <x:c r="A1873" s="2" t="str">
        <x:v>LiND-Hybrid</x:v>
      </x:c>
      <x:c r="B1873" s="4" t="str">
        <x:v>NaCl</x:v>
      </x:c>
      <x:c r="C1873" s="23" t="n">
        <x:v>1.20855</x:v>
      </x:c>
      <x:c r="D1873" s="23" t="n">
        <x:v>-16.66374</x:v>
      </x:c>
      <x:c r="E1873" s="23" t="n">
        <x:f>'Parameters'!$B$2*'Parameters'!$B$3*LN(4*PI()*C1873^2)</x:f>
        <x:v>7.213434845303687</x:v>
      </x:c>
      <x:c r="F1873" s="23" t="n">
        <x:f>D1873+E1873</x:f>
        <x:v>-9.450305154696313</x:v>
      </x:c>
      <x:c r="G1873" s="23" t="n">
        <x:f>AVERAGE($F$1942:$F$1966)</x:f>
        <x:v>-9.161306428882424</x:v>
      </x:c>
      <x:c r="H1873" s="24" t="n">
        <x:f>F1873-G1873</x:f>
        <x:v>-0.2889987258138884</x:v>
      </x:c>
    </x:row>
    <x:row r="1874">
      <x:c r="A1874" s="2" t="str">
        <x:v>LiND-Hybrid</x:v>
      </x:c>
      <x:c r="B1874" s="4" t="str">
        <x:v>NaCl</x:v>
      </x:c>
      <x:c r="C1874" s="23" t="n">
        <x:v>1.220658</x:v>
      </x:c>
      <x:c r="D1874" s="23" t="n">
        <x:v>-16.75623</x:v>
      </x:c>
      <x:c r="E1874" s="23" t="n">
        <x:f>'Parameters'!$B$2*'Parameters'!$B$3*LN(4*PI()*C1874^2)</x:f>
        <x:v>7.262859119026829</x:v>
      </x:c>
      <x:c r="F1874" s="23" t="n">
        <x:f>D1874+E1874</x:f>
        <x:v>-9.49337088097317</x:v>
      </x:c>
      <x:c r="G1874" s="23" t="n">
        <x:f>AVERAGE($F$1942:$F$1966)</x:f>
        <x:v>-9.161306428882424</x:v>
      </x:c>
      <x:c r="H1874" s="24" t="n">
        <x:f>F1874-G1874</x:f>
        <x:v>-0.3320644520907461</x:v>
      </x:c>
    </x:row>
    <x:row r="1875">
      <x:c r="A1875" s="2" t="str">
        <x:v>LiND-Hybrid</x:v>
      </x:c>
      <x:c r="B1875" s="4" t="str">
        <x:v>NaCl</x:v>
      </x:c>
      <x:c r="C1875" s="23" t="n">
        <x:v>1.232766</x:v>
      </x:c>
      <x:c r="D1875" s="23" t="n">
        <x:v>-16.76851</x:v>
      </x:c>
      <x:c r="E1875" s="23" t="n">
        <x:f>'Parameters'!$B$2*'Parameters'!$B$3*LN(4*PI()*C1875^2)</x:f>
        <x:v>7.311795553003048</x:v>
      </x:c>
      <x:c r="F1875" s="23" t="n">
        <x:f>D1875+E1875</x:f>
        <x:v>-9.456714446996951</x:v>
      </x:c>
      <x:c r="G1875" s="23" t="n">
        <x:f>AVERAGE($F$1942:$F$1966)</x:f>
        <x:v>-9.161306428882424</x:v>
      </x:c>
      <x:c r="H1875" s="24" t="n">
        <x:f>F1875-G1875</x:f>
        <x:v>-0.2954080181145269</x:v>
      </x:c>
    </x:row>
    <x:row r="1876">
      <x:c r="A1876" s="2" t="str">
        <x:v>LiND-Hybrid</x:v>
      </x:c>
      <x:c r="B1876" s="4" t="str">
        <x:v>NaCl</x:v>
      </x:c>
      <x:c r="C1876" s="23" t="n">
        <x:v>1.244873</x:v>
      </x:c>
      <x:c r="D1876" s="23" t="n">
        <x:v>-16.84945</x:v>
      </x:c>
      <x:c r="E1876" s="23" t="n">
        <x:f>'Parameters'!$B$2*'Parameters'!$B$3*LN(4*PI()*C1876^2)</x:f>
        <x:v>7.36024970091024</x:v>
      </x:c>
      <x:c r="F1876" s="23" t="n">
        <x:f>D1876+E1876</x:f>
        <x:v>-9.489200299089761</x:v>
      </x:c>
      <x:c r="G1876" s="23" t="n">
        <x:f>AVERAGE($F$1942:$F$1966)</x:f>
        <x:v>-9.161306428882424</x:v>
      </x:c>
      <x:c r="H1876" s="24" t="n">
        <x:f>F1876-G1876</x:f>
        <x:v>-0.32789387020733685</x:v>
      </x:c>
    </x:row>
    <x:row r="1877">
      <x:c r="A1877" s="2" t="str">
        <x:v>LiND-Hybrid</x:v>
      </x:c>
      <x:c r="B1877" s="4" t="str">
        <x:v>NaCl</x:v>
      </x:c>
      <x:c r="C1877" s="23" t="n">
        <x:v>1.256981</x:v>
      </x:c>
      <x:c r="D1877" s="23" t="n">
        <x:v>-16.81698</x:v>
      </x:c>
      <x:c r="E1877" s="23" t="n">
        <x:f>'Parameters'!$B$2*'Parameters'!$B$3*LN(4*PI()*C1877^2)</x:f>
        <x:v>7.408238825862889</x:v>
      </x:c>
      <x:c r="F1877" s="23" t="n">
        <x:f>D1877+E1877</x:f>
        <x:v>-9.408741174137113</x:v>
      </x:c>
      <x:c r="G1877" s="23" t="n">
        <x:f>AVERAGE($F$1942:$F$1966)</x:f>
        <x:v>-9.161306428882424</x:v>
      </x:c>
      <x:c r="H1877" s="24" t="n">
        <x:f>F1877-G1877</x:f>
        <x:v>-0.24743474525468834</x:v>
      </x:c>
    </x:row>
    <x:row r="1878">
      <x:c r="A1878" s="2" t="str">
        <x:v>LiND-Hybrid</x:v>
      </x:c>
      <x:c r="B1878" s="4" t="str">
        <x:v>NaCl</x:v>
      </x:c>
      <x:c r="C1878" s="23" t="n">
        <x:v>1.269089</x:v>
      </x:c>
      <x:c r="D1878" s="23" t="n">
        <x:v>-17.09256</x:v>
      </x:c>
      <x:c r="E1878" s="23" t="n">
        <x:f>'Parameters'!$B$2*'Parameters'!$B$3*LN(4*PI()*C1878^2)</x:f>
        <x:v>7.45576789921924</x:v>
      </x:c>
      <x:c r="F1878" s="23" t="n">
        <x:f>D1878+E1878</x:f>
        <x:v>-9.63679210078076</x:v>
      </x:c>
      <x:c r="G1878" s="23" t="n">
        <x:f>AVERAGE($F$1942:$F$1966)</x:f>
        <x:v>-9.161306428882424</x:v>
      </x:c>
      <x:c r="H1878" s="24" t="n">
        <x:f>F1878-G1878</x:f>
        <x:v>-0.4754856718983351</x:v>
      </x:c>
    </x:row>
    <x:row r="1879">
      <x:c r="A1879" s="2" t="str">
        <x:v>LiND-Hybrid</x:v>
      </x:c>
      <x:c r="B1879" s="4" t="str">
        <x:v>NaCl</x:v>
      </x:c>
      <x:c r="C1879" s="23" t="n">
        <x:v>1.281197</x:v>
      </x:c>
      <x:c r="D1879" s="23" t="n">
        <x:v>-17.08952</x:v>
      </x:c>
      <x:c r="E1879" s="23" t="n">
        <x:f>'Parameters'!$B$2*'Parameters'!$B$3*LN(4*PI()*C1879^2)</x:f>
        <x:v>7.502845657931149</x:v>
      </x:c>
      <x:c r="F1879" s="23" t="n">
        <x:f>D1879+E1879</x:f>
        <x:v>-9.58667434206885</x:v>
      </x:c>
      <x:c r="G1879" s="23" t="n">
        <x:f>AVERAGE($F$1942:$F$1966)</x:f>
        <x:v>-9.161306428882424</x:v>
      </x:c>
      <x:c r="H1879" s="24" t="n">
        <x:f>F1879-G1879</x:f>
        <x:v>-0.42536791318642564</x:v>
      </x:c>
    </x:row>
    <x:row r="1880">
      <x:c r="A1880" s="2" t="str">
        <x:v>LiND-Hybrid</x:v>
      </x:c>
      <x:c r="B1880" s="4" t="str">
        <x:v>NaCl</x:v>
      </x:c>
      <x:c r="C1880" s="23" t="n">
        <x:v>1.293305</x:v>
      </x:c>
      <x:c r="D1880" s="23" t="n">
        <x:v>-16.94932</x:v>
      </x:c>
      <x:c r="E1880" s="23" t="n">
        <x:f>'Parameters'!$B$2*'Parameters'!$B$3*LN(4*PI()*C1880^2)</x:f>
        <x:v>7.5494805924014035</x:v>
      </x:c>
      <x:c r="F1880" s="23" t="n">
        <x:f>D1880+E1880</x:f>
        <x:v>-9.399839407598597</x:v>
      </x:c>
      <x:c r="G1880" s="23" t="n">
        <x:f>AVERAGE($F$1942:$F$1966)</x:f>
        <x:v>-9.161306428882424</x:v>
      </x:c>
      <x:c r="H1880" s="24" t="n">
        <x:f>F1880-G1880</x:f>
        <x:v>-0.2385329787161723</x:v>
      </x:c>
    </x:row>
    <x:row r="1881">
      <x:c r="A1881" s="2" t="str">
        <x:v>LiND-Hybrid</x:v>
      </x:c>
      <x:c r="B1881" s="4" t="str">
        <x:v>NaCl</x:v>
      </x:c>
      <x:c r="C1881" s="23" t="n">
        <x:v>1.305413</x:v>
      </x:c>
      <x:c r="D1881" s="23" t="n">
        <x:v>-17.02686</x:v>
      </x:c>
      <x:c r="E1881" s="23" t="n">
        <x:f>'Parameters'!$B$2*'Parameters'!$B$3*LN(4*PI()*C1881^2)</x:f>
        <x:v>7.595680955673876</x:v>
      </x:c>
      <x:c r="F1881" s="23" t="n">
        <x:f>D1881+E1881</x:f>
        <x:v>-9.431179044326123</x:v>
      </x:c>
      <x:c r="G1881" s="23" t="n">
        <x:f>AVERAGE($F$1942:$F$1966)</x:f>
        <x:v>-9.161306428882424</x:v>
      </x:c>
      <x:c r="H1881" s="24" t="n">
        <x:f>F1881-G1881</x:f>
        <x:v>-0.269872615443699</x:v>
      </x:c>
    </x:row>
    <x:row r="1882">
      <x:c r="A1882" s="2" t="str">
        <x:v>LiND-Hybrid</x:v>
      </x:c>
      <x:c r="B1882" s="4" t="str">
        <x:v>NaCl</x:v>
      </x:c>
      <x:c r="C1882" s="23" t="n">
        <x:v>1.317521</x:v>
      </x:c>
      <x:c r="D1882" s="23" t="n">
        <x:v>-17.1153</x:v>
      </x:c>
      <x:c r="E1882" s="23" t="n">
        <x:f>'Parameters'!$B$2*'Parameters'!$B$3*LN(4*PI()*C1882^2)</x:f>
        <x:v>7.641454772199418</x:v>
      </x:c>
      <x:c r="F1882" s="23" t="n">
        <x:f>D1882+E1882</x:f>
        <x:v>-9.473845227800584</x:v>
      </x:c>
      <x:c r="G1882" s="23" t="n">
        <x:f>AVERAGE($F$1942:$F$1966)</x:f>
        <x:v>-9.161306428882424</x:v>
      </x:c>
      <x:c r="H1882" s="24" t="n">
        <x:f>F1882-G1882</x:f>
        <x:v>-0.31253879891816005</x:v>
      </x:c>
    </x:row>
    <x:row r="1883">
      <x:c r="A1883" s="2" t="str">
        <x:v>LiND-Hybrid</x:v>
      </x:c>
      <x:c r="B1883" s="4" t="str">
        <x:v>NaCl</x:v>
      </x:c>
      <x:c r="C1883" s="23" t="n">
        <x:v>1.329629</x:v>
      </x:c>
      <x:c r="D1883" s="23" t="n">
        <x:v>-17.09486</x:v>
      </x:c>
      <x:c r="E1883" s="23" t="n">
        <x:f>'Parameters'!$B$2*'Parameters'!$B$3*LN(4*PI()*C1883^2)</x:f>
        <x:v>7.686809846200786</x:v>
      </x:c>
      <x:c r="F1883" s="23" t="n">
        <x:f>D1883+E1883</x:f>
        <x:v>-9.408050153799214</x:v>
      </x:c>
      <x:c r="G1883" s="23" t="n">
        <x:f>AVERAGE($F$1942:$F$1966)</x:f>
        <x:v>-9.161306428882424</x:v>
      </x:c>
      <x:c r="H1883" s="24" t="n">
        <x:f>F1883-G1883</x:f>
        <x:v>-0.24674372491679009</x:v>
      </x:c>
    </x:row>
    <x:row r="1884">
      <x:c r="A1884" s="2" t="str">
        <x:v>LiND-Hybrid</x:v>
      </x:c>
      <x:c r="B1884" s="4" t="str">
        <x:v>NaCl</x:v>
      </x:c>
      <x:c r="C1884" s="23" t="n">
        <x:v>1.341737</x:v>
      </x:c>
      <x:c r="D1884" s="23" t="n">
        <x:v>-17.25558</x:v>
      </x:c>
      <x:c r="E1884" s="23" t="n">
        <x:f>'Parameters'!$B$2*'Parameters'!$B$3*LN(4*PI()*C1884^2)</x:f>
        <x:v>7.731753769658419</x:v>
      </x:c>
      <x:c r="F1884" s="23" t="n">
        <x:f>D1884+E1884</x:f>
        <x:v>-9.52382623034158</x:v>
      </x:c>
      <x:c r="G1884" s="23" t="n">
        <x:f>AVERAGE($F$1942:$F$1966)</x:f>
        <x:v>-9.161306428882424</x:v>
      </x:c>
      <x:c r="H1884" s="24" t="n">
        <x:f>F1884-G1884</x:f>
        <x:v>-0.36251980145915574</x:v>
      </x:c>
    </x:row>
    <x:row r="1885">
      <x:c r="A1885" s="2" t="str">
        <x:v>LiND-Hybrid</x:v>
      </x:c>
      <x:c r="B1885" s="4" t="str">
        <x:v>NaCl</x:v>
      </x:c>
      <x:c r="C1885" s="23" t="n">
        <x:v>1.353845</x:v>
      </x:c>
      <x:c r="D1885" s="23" t="n">
        <x:v>-17.25685</x:v>
      </x:c>
      <x:c r="E1885" s="23" t="n">
        <x:f>'Parameters'!$B$2*'Parameters'!$B$3*LN(4*PI()*C1885^2)</x:f>
        <x:v>7.7762939299374825</x:v>
      </x:c>
      <x:c r="F1885" s="23" t="n">
        <x:f>D1885+E1885</x:f>
        <x:v>-9.480556070062518</x:v>
      </x:c>
      <x:c r="G1885" s="23" t="n">
        <x:f>AVERAGE($F$1942:$F$1966)</x:f>
        <x:v>-9.161306428882424</x:v>
      </x:c>
      <x:c r="H1885" s="24" t="n">
        <x:f>F1885-G1885</x:f>
        <x:v>-0.31924964118009314</x:v>
      </x:c>
    </x:row>
    <x:row r="1886">
      <x:c r="A1886" s="2" t="str">
        <x:v>LiND-Hybrid</x:v>
      </x:c>
      <x:c r="B1886" s="4" t="str">
        <x:v>NaCl</x:v>
      </x:c>
      <x:c r="C1886" s="23" t="n">
        <x:v>1.365953</x:v>
      </x:c>
      <x:c r="D1886" s="23" t="n">
        <x:v>-17.29333</x:v>
      </x:c>
      <x:c r="E1886" s="23" t="n">
        <x:f>'Parameters'!$B$2*'Parameters'!$B$3*LN(4*PI()*C1886^2)</x:f>
        <x:v>7.820437517075371</x:v>
      </x:c>
      <x:c r="F1886" s="23" t="n">
        <x:f>D1886+E1886</x:f>
        <x:v>-9.47289248292463</x:v>
      </x:c>
      <x:c r="G1886" s="23" t="n">
        <x:f>AVERAGE($F$1942:$F$1966)</x:f>
        <x:v>-9.161306428882424</x:v>
      </x:c>
      <x:c r="H1886" s="24" t="n">
        <x:f>F1886-G1886</x:f>
        <x:v>-0.3115860540422055</x:v>
      </x:c>
    </x:row>
    <x:row r="1887">
      <x:c r="A1887" s="2" t="str">
        <x:v>LiND-Hybrid</x:v>
      </x:c>
      <x:c r="B1887" s="4" t="str">
        <x:v>NaCl</x:v>
      </x:c>
      <x:c r="C1887" s="23" t="n">
        <x:v>1.378061</x:v>
      </x:c>
      <x:c r="D1887" s="23" t="n">
        <x:v>-17.28254</x:v>
      </x:c>
      <x:c r="E1887" s="23" t="n">
        <x:f>'Parameters'!$B$2*'Parameters'!$B$3*LN(4*PI()*C1887^2)</x:f>
        <x:v>7.864191530747632</x:v>
      </x:c>
      <x:c r="F1887" s="23" t="n">
        <x:f>D1887+E1887</x:f>
        <x:v>-9.418348469252368</x:v>
      </x:c>
      <x:c r="G1887" s="23" t="n">
        <x:f>AVERAGE($F$1942:$F$1966)</x:f>
        <x:v>-9.161306428882424</x:v>
      </x:c>
      <x:c r="H1887" s="24" t="n">
        <x:f>F1887-G1887</x:f>
        <x:v>-0.25704204036994405</x:v>
      </x:c>
    </x:row>
    <x:row r="1888">
      <x:c r="A1888" s="2" t="str">
        <x:v>LiND-Hybrid</x:v>
      </x:c>
      <x:c r="B1888" s="4" t="str">
        <x:v>NaCl</x:v>
      </x:c>
      <x:c r="C1888" s="23" t="n">
        <x:v>1.390168</x:v>
      </x:c>
      <x:c r="D1888" s="23" t="n">
        <x:v>-17.23784</x:v>
      </x:c>
      <x:c r="E1888" s="23" t="n">
        <x:f>'Parameters'!$B$2*'Parameters'!$B$3*LN(4*PI()*C1888^2)</x:f>
        <x:v>7.907559220516872</x:v>
      </x:c>
      <x:c r="F1888" s="23" t="n">
        <x:f>D1888+E1888</x:f>
        <x:v>-9.330280779483125</x:v>
      </x:c>
      <x:c r="G1888" s="23" t="n">
        <x:f>AVERAGE($F$1942:$F$1966)</x:f>
        <x:v>-9.161306428882424</x:v>
      </x:c>
      <x:c r="H1888" s="24" t="n">
        <x:f>F1888-G1888</x:f>
        <x:v>-0.16897435060070087</x:v>
      </x:c>
    </x:row>
    <x:row r="1889">
      <x:c r="A1889" s="2" t="str">
        <x:v>LiND-Hybrid</x:v>
      </x:c>
      <x:c r="B1889" s="4" t="str">
        <x:v>NaCl</x:v>
      </x:c>
      <x:c r="C1889" s="23" t="n">
        <x:v>1.402276</x:v>
      </x:c>
      <x:c r="D1889" s="23" t="n">
        <x:v>-17.2859</x:v>
      </x:c>
      <x:c r="E1889" s="23" t="n">
        <x:f>'Parameters'!$B$2*'Parameters'!$B$3*LN(4*PI()*C1889^2)</x:f>
        <x:v>7.950554388648708</x:v>
      </x:c>
      <x:c r="F1889" s="23" t="n">
        <x:f>D1889+E1889</x:f>
        <x:v>-9.335345611351293</x:v>
      </x:c>
      <x:c r="G1889" s="23" t="n">
        <x:f>AVERAGE($F$1942:$F$1966)</x:f>
        <x:v>-9.161306428882424</x:v>
      </x:c>
      <x:c r="H1889" s="24" t="n">
        <x:f>F1889-G1889</x:f>
        <x:v>-0.17403918246886896</x:v>
      </x:c>
    </x:row>
    <x:row r="1890">
      <x:c r="A1890" s="2" t="str">
        <x:v>LiND-Hybrid</x:v>
      </x:c>
      <x:c r="B1890" s="4" t="str">
        <x:v>NaCl</x:v>
      </x:c>
      <x:c r="C1890" s="23" t="n">
        <x:v>1.414384</x:v>
      </x:c>
      <x:c r="D1890" s="23" t="n">
        <x:v>-17.45154</x:v>
      </x:c>
      <x:c r="E1890" s="23" t="n">
        <x:f>'Parameters'!$B$2*'Parameters'!$B$3*LN(4*PI()*C1890^2)</x:f>
        <x:v>7.993179904826184</x:v>
      </x:c>
      <x:c r="F1890" s="23" t="n">
        <x:f>D1890+E1890</x:f>
        <x:v>-9.458360095173816</x:v>
      </x:c>
      <x:c r="G1890" s="23" t="n">
        <x:f>AVERAGE($F$1942:$F$1966)</x:f>
        <x:v>-9.161306428882424</x:v>
      </x:c>
      <x:c r="H1890" s="24" t="n">
        <x:f>F1890-G1890</x:f>
        <x:v>-0.29705366629139185</x:v>
      </x:c>
    </x:row>
    <x:row r="1891">
      <x:c r="A1891" s="2" t="str">
        <x:v>LiND-Hybrid</x:v>
      </x:c>
      <x:c r="B1891" s="4" t="str">
        <x:v>NaCl</x:v>
      </x:c>
      <x:c r="C1891" s="23" t="n">
        <x:v>1.426492</x:v>
      </x:c>
      <x:c r="D1891" s="23" t="n">
        <x:v>-17.36509</x:v>
      </x:c>
      <x:c r="E1891" s="23" t="n">
        <x:f>'Parameters'!$B$2*'Parameters'!$B$3*LN(4*PI()*C1891^2)</x:f>
        <x:v>8.035442071088351</x:v>
      </x:c>
      <x:c r="F1891" s="23" t="n">
        <x:f>D1891+E1891</x:f>
        <x:v>-9.329647928911648</x:v>
      </x:c>
      <x:c r="G1891" s="23" t="n">
        <x:f>AVERAGE($F$1942:$F$1966)</x:f>
        <x:v>-9.161306428882424</x:v>
      </x:c>
      <x:c r="H1891" s="24" t="n">
        <x:f>F1891-G1891</x:f>
        <x:v>-0.1683415000292232</x:v>
      </x:c>
    </x:row>
    <x:row r="1892">
      <x:c r="A1892" s="2" t="str">
        <x:v>LiND-Hybrid</x:v>
      </x:c>
      <x:c r="B1892" s="4" t="str">
        <x:v>NaCl</x:v>
      </x:c>
      <x:c r="C1892" s="23" t="n">
        <x:v>1.4386</x:v>
      </x:c>
      <x:c r="D1892" s="23" t="n">
        <x:v>-17.43018</x:v>
      </x:c>
      <x:c r="E1892" s="23" t="n">
        <x:f>'Parameters'!$B$2*'Parameters'!$B$3*LN(4*PI()*C1892^2)</x:f>
        <x:v>8.077347029674302</x:v>
      </x:c>
      <x:c r="F1892" s="23" t="n">
        <x:f>D1892+E1892</x:f>
        <x:v>-9.352832970325698</x:v>
      </x:c>
      <x:c r="G1892" s="23" t="n">
        <x:f>AVERAGE($F$1942:$F$1966)</x:f>
        <x:v>-9.161306428882424</x:v>
      </x:c>
      <x:c r="H1892" s="24" t="n">
        <x:f>F1892-G1892</x:f>
        <x:v>-0.19152654144327386</x:v>
      </x:c>
    </x:row>
    <x:row r="1893">
      <x:c r="A1893" s="2" t="str">
        <x:v>LiND-Hybrid</x:v>
      </x:c>
      <x:c r="B1893" s="4" t="str">
        <x:v>NaCl</x:v>
      </x:c>
      <x:c r="C1893" s="23" t="n">
        <x:v>1.450708</x:v>
      </x:c>
      <x:c r="D1893" s="23" t="n">
        <x:v>-17.45979</x:v>
      </x:c>
      <x:c r="E1893" s="23" t="n">
        <x:f>'Parameters'!$B$2*'Parameters'!$B$3*LN(4*PI()*C1893^2)</x:f>
        <x:v>8.118900768380618</x:v>
      </x:c>
      <x:c r="F1893" s="23" t="n">
        <x:f>D1893+E1893</x:f>
        <x:v>-9.340889231619384</x:v>
      </x:c>
      <x:c r="G1893" s="23" t="n">
        <x:f>AVERAGE($F$1942:$F$1966)</x:f>
        <x:v>-9.161306428882424</x:v>
      </x:c>
      <x:c r="H1893" s="24" t="n">
        <x:f>F1893-G1893</x:f>
        <x:v>-0.17958280273695948</x:v>
      </x:c>
    </x:row>
    <x:row r="1894">
      <x:c r="A1894" s="2" t="str">
        <x:v>LiND-Hybrid</x:v>
      </x:c>
      <x:c r="B1894" s="4" t="str">
        <x:v>NaCl</x:v>
      </x:c>
      <x:c r="C1894" s="23" t="n">
        <x:v>1.462816</x:v>
      </x:c>
      <x:c r="D1894" s="23" t="n">
        <x:v>-17.42348</x:v>
      </x:c>
      <x:c r="E1894" s="23" t="n">
        <x:f>'Parameters'!$B$2*'Parameters'!$B$3*LN(4*PI()*C1894^2)</x:f>
        <x:v>8.16010912569618</x:v>
      </x:c>
      <x:c r="F1894" s="23" t="n">
        <x:f>D1894+E1894</x:f>
        <x:v>-9.26337087430382</x:v>
      </x:c>
      <x:c r="G1894" s="23" t="n">
        <x:f>AVERAGE($F$1942:$F$1966)</x:f>
        <x:v>-9.161306428882424</x:v>
      </x:c>
      <x:c r="H1894" s="24" t="n">
        <x:f>F1894-G1894</x:f>
        <x:v>-0.10206444542139614</x:v>
      </x:c>
    </x:row>
    <x:row r="1895">
      <x:c r="A1895" s="2" t="str">
        <x:v>LiND-Hybrid</x:v>
      </x:c>
      <x:c r="B1895" s="4" t="str">
        <x:v>NaCl</x:v>
      </x:c>
      <x:c r="C1895" s="23" t="n">
        <x:v>1.474924</x:v>
      </x:c>
      <x:c r="D1895" s="23" t="n">
        <x:v>-17.54382</x:v>
      </x:c>
      <x:c r="E1895" s="23" t="n">
        <x:f>'Parameters'!$B$2*'Parameters'!$B$3*LN(4*PI()*C1895^2)</x:f>
        <x:v>8.200977795725318</x:v>
      </x:c>
      <x:c r="F1895" s="23" t="n">
        <x:f>D1895+E1895</x:f>
        <x:v>-9.342842204274682</x:v>
      </x:c>
      <x:c r="G1895" s="23" t="n">
        <x:f>AVERAGE($F$1942:$F$1966)</x:f>
        <x:v>-9.161306428882424</x:v>
      </x:c>
      <x:c r="H1895" s="24" t="n">
        <x:f>F1895-G1895</x:f>
        <x:v>-0.1815357753922573</x:v>
      </x:c>
    </x:row>
    <x:row r="1896">
      <x:c r="A1896" s="2" t="str">
        <x:v>LiND-Hybrid</x:v>
      </x:c>
      <x:c r="B1896" s="4" t="str">
        <x:v>NaCl</x:v>
      </x:c>
      <x:c r="C1896" s="23" t="n">
        <x:v>1.487032</x:v>
      </x:c>
      <x:c r="D1896" s="23" t="n">
        <x:v>-17.44121</x:v>
      </x:c>
      <x:c r="E1896" s="23" t="n">
        <x:f>'Parameters'!$B$2*'Parameters'!$B$3*LN(4*PI()*C1896^2)</x:f>
        <x:v>8.241512332909707</x:v>
      </x:c>
      <x:c r="F1896" s="23" t="n">
        <x:f>D1896+E1896</x:f>
        <x:v>-9.199697667090295</x:v>
      </x:c>
      <x:c r="G1896" s="23" t="n">
        <x:f>AVERAGE($F$1942:$F$1966)</x:f>
        <x:v>-9.161306428882424</x:v>
      </x:c>
      <x:c r="H1896" s="24" t="n">
        <x:f>F1896-G1896</x:f>
        <x:v>-0.03839123820787016</x:v>
      </x:c>
    </x:row>
    <x:row r="1897">
      <x:c r="A1897" s="2" t="str">
        <x:v>LiND-Hybrid</x:v>
      </x:c>
      <x:c r="B1897" s="4" t="str">
        <x:v>NaCl</x:v>
      </x:c>
      <x:c r="C1897" s="23" t="n">
        <x:v>1.49914</x:v>
      </x:c>
      <x:c r="D1897" s="23" t="n">
        <x:v>-17.44465</x:v>
      </x:c>
      <x:c r="E1897" s="23" t="n">
        <x:f>'Parameters'!$B$2*'Parameters'!$B$3*LN(4*PI()*C1897^2)</x:f>
        <x:v>8.281718156558812</x:v>
      </x:c>
      <x:c r="F1897" s="23" t="n">
        <x:f>D1897+E1897</x:f>
        <x:v>-9.162931843441187</x:v>
      </x:c>
      <x:c r="G1897" s="23" t="n">
        <x:f>AVERAGE($F$1942:$F$1966)</x:f>
        <x:v>-9.161306428882424</x:v>
      </x:c>
      <x:c r="H1897" s="24" t="n">
        <x:f>F1897-G1897</x:f>
        <x:v>-0.001625414558763083</x:v>
      </x:c>
    </x:row>
    <x:row r="1898">
      <x:c r="A1898" s="2" t="str">
        <x:v>LiND-Hybrid</x:v>
      </x:c>
      <x:c r="B1898" s="4" t="str">
        <x:v>NaCl</x:v>
      </x:c>
      <x:c r="C1898" s="23" t="n">
        <x:v>1.511248</x:v>
      </x:c>
      <x:c r="D1898" s="23" t="n">
        <x:v>-17.34769</x:v>
      </x:c>
      <x:c r="E1898" s="23" t="n">
        <x:f>'Parameters'!$B$2*'Parameters'!$B$3*LN(4*PI()*C1898^2)</x:f>
        <x:v>8.321600555198094</x:v>
      </x:c>
      <x:c r="F1898" s="23" t="n">
        <x:f>D1898+E1898</x:f>
        <x:v>-9.026089444801906</x:v>
      </x:c>
      <x:c r="G1898" s="23" t="n">
        <x:f>AVERAGE($F$1942:$F$1966)</x:f>
        <x:v>-9.161306428882424</x:v>
      </x:c>
      <x:c r="H1898" s="24" t="n">
        <x:f>F1898-G1898</x:f>
        <x:v>0.1352169840805182</x:v>
      </x:c>
    </x:row>
    <x:row r="1899">
      <x:c r="A1899" s="2" t="str">
        <x:v>LiND-Hybrid</x:v>
      </x:c>
      <x:c r="B1899" s="4" t="str">
        <x:v>NaCl</x:v>
      </x:c>
      <x:c r="C1899" s="23" t="n">
        <x:v>1.523355</x:v>
      </x:c>
      <x:c r="D1899" s="23" t="n">
        <x:v>-17.30137</x:v>
      </x:c>
      <x:c r="E1899" s="23" t="n">
        <x:f>'Parameters'!$B$2*'Parameters'!$B$3*LN(4*PI()*C1899^2)</x:f>
        <x:v>8.361161436142908</x:v>
      </x:c>
      <x:c r="F1899" s="23" t="n">
        <x:f>D1899+E1899</x:f>
        <x:v>-8.940208563857091</x:v>
      </x:c>
      <x:c r="G1899" s="23" t="n">
        <x:f>AVERAGE($F$1942:$F$1966)</x:f>
        <x:v>-9.161306428882424</x:v>
      </x:c>
      <x:c r="H1899" s="24" t="n">
        <x:f>F1899-G1899</x:f>
        <x:v>0.22109786502533346</x:v>
      </x:c>
    </x:row>
    <x:row r="1900">
      <x:c r="A1900" s="2" t="str">
        <x:v>LiND-Hybrid</x:v>
      </x:c>
      <x:c r="B1900" s="4" t="str">
        <x:v>NaCl</x:v>
      </x:c>
      <x:c r="C1900" s="23" t="n">
        <x:v>1.535463</x:v>
      </x:c>
      <x:c r="D1900" s="23" t="n">
        <x:v>-17.19056</x:v>
      </x:c>
      <x:c r="E1900" s="23" t="n">
        <x:f>'Parameters'!$B$2*'Parameters'!$B$3*LN(4*PI()*C1900^2)</x:f>
        <x:v>8.400412373575609</x:v>
      </x:c>
      <x:c r="F1900" s="23" t="n">
        <x:f>D1900+E1900</x:f>
        <x:v>-8.790147626424393</x:v>
      </x:c>
      <x:c r="G1900" s="23" t="n">
        <x:f>AVERAGE($F$1942:$F$1966)</x:f>
        <x:v>-9.161306428882424</x:v>
      </x:c>
      <x:c r="H1900" s="24" t="n">
        <x:f>F1900-G1900</x:f>
        <x:v>0.3711588024580319</x:v>
      </x:c>
    </x:row>
    <x:row r="1901">
      <x:c r="A1901" s="2" t="str">
        <x:v>LiND-Hybrid</x:v>
      </x:c>
      <x:c r="B1901" s="4" t="str">
        <x:v>NaCl</x:v>
      </x:c>
      <x:c r="C1901" s="23" t="n">
        <x:v>1.547571</x:v>
      </x:c>
      <x:c r="D1901" s="23" t="n">
        <x:v>-17.32416</x:v>
      </x:c>
      <x:c r="E1901" s="23" t="n">
        <x:f>'Parameters'!$B$2*'Parameters'!$B$3*LN(4*PI()*C1901^2)</x:f>
        <x:v>8.439355007397912</x:v>
      </x:c>
      <x:c r="F1901" s="23" t="n">
        <x:f>D1901+E1901</x:f>
        <x:v>-8.884804992602087</x:v>
      </x:c>
      <x:c r="G1901" s="23" t="n">
        <x:f>AVERAGE($F$1942:$F$1966)</x:f>
        <x:v>-9.161306428882424</x:v>
      </x:c>
      <x:c r="H1901" s="24" t="n">
        <x:f>F1901-G1901</x:f>
        <x:v>0.27650143628033774</x:v>
      </x:c>
    </x:row>
    <x:row r="1902">
      <x:c r="A1902" s="2" t="str">
        <x:v>LiND-Hybrid</x:v>
      </x:c>
      <x:c r="B1902" s="4" t="str">
        <x:v>NaCl</x:v>
      </x:c>
      <x:c r="C1902" s="23" t="n">
        <x:v>1.559679</x:v>
      </x:c>
      <x:c r="D1902" s="23" t="n">
        <x:v>-17.31366</x:v>
      </x:c>
      <x:c r="E1902" s="23" t="n">
        <x:f>'Parameters'!$B$2*'Parameters'!$B$3*LN(4*PI()*C1902^2)</x:f>
        <x:v>8.477994143141714</x:v>
      </x:c>
      <x:c r="F1902" s="23" t="n">
        <x:f>D1902+E1902</x:f>
        <x:v>-8.835665856858284</x:v>
      </x:c>
      <x:c r="G1902" s="23" t="n">
        <x:f>AVERAGE($F$1942:$F$1966)</x:f>
        <x:v>-9.161306428882424</x:v>
      </x:c>
      <x:c r="H1902" s="24" t="n">
        <x:f>F1902-G1902</x:f>
        <x:v>0.32564057202414</x:v>
      </x:c>
    </x:row>
    <x:row r="1903">
      <x:c r="A1903" s="2" t="str">
        <x:v>LiND-Hybrid</x:v>
      </x:c>
      <x:c r="B1903" s="4" t="str">
        <x:v>NaCl</x:v>
      </x:c>
      <x:c r="C1903" s="23" t="n">
        <x:v>1.571787</x:v>
      </x:c>
      <x:c r="D1903" s="23" t="n">
        <x:v>-17.25719</x:v>
      </x:c>
      <x:c r="E1903" s="23" t="n">
        <x:f>'Parameters'!$B$2*'Parameters'!$B$3*LN(4*PI()*C1903^2)</x:f>
        <x:v>8.516334474851408</x:v>
      </x:c>
      <x:c r="F1903" s="23" t="n">
        <x:f>D1903+E1903</x:f>
        <x:v>-8.740855525148593</x:v>
      </x:c>
      <x:c r="G1903" s="23" t="n">
        <x:f>AVERAGE($F$1942:$F$1966)</x:f>
        <x:v>-9.161306428882424</x:v>
      </x:c>
      <x:c r="H1903" s="24" t="n">
        <x:f>F1903-G1903</x:f>
        <x:v>0.42045090373383154</x:v>
      </x:c>
    </x:row>
    <x:row r="1904">
      <x:c r="A1904" s="2" t="str">
        <x:v>LiND-Hybrid</x:v>
      </x:c>
      <x:c r="B1904" s="4" t="str">
        <x:v>NaCl</x:v>
      </x:c>
      <x:c r="C1904" s="23" t="n">
        <x:v>1.583895</x:v>
      </x:c>
      <x:c r="D1904" s="23" t="n">
        <x:v>-17.45783</x:v>
      </x:c>
      <x:c r="E1904" s="23" t="n">
        <x:f>'Parameters'!$B$2*'Parameters'!$B$3*LN(4*PI()*C1904^2)</x:f>
        <x:v>8.554380588506092</x:v>
      </x:c>
      <x:c r="F1904" s="23" t="n">
        <x:f>D1904+E1904</x:f>
        <x:v>-8.90344941149391</x:v>
      </x:c>
      <x:c r="G1904" s="23" t="n">
        <x:f>AVERAGE($F$1942:$F$1966)</x:f>
        <x:v>-9.161306428882424</x:v>
      </x:c>
      <x:c r="H1904" s="24" t="n">
        <x:f>F1904-G1904</x:f>
        <x:v>0.2578570173885151</x:v>
      </x:c>
    </x:row>
    <x:row r="1905">
      <x:c r="A1905" s="2" t="str">
        <x:v>LiND-Hybrid</x:v>
      </x:c>
      <x:c r="B1905" s="4" t="str">
        <x:v>NaCl</x:v>
      </x:c>
      <x:c r="C1905" s="23" t="n">
        <x:v>1.596003</x:v>
      </x:c>
      <x:c r="D1905" s="23" t="n">
        <x:v>-17.50686</x:v>
      </x:c>
      <x:c r="E1905" s="23" t="n">
        <x:f>'Parameters'!$B$2*'Parameters'!$B$3*LN(4*PI()*C1905^2)</x:f>
        <x:v>8.592136965311457</x:v>
      </x:c>
      <x:c r="F1905" s="23" t="n">
        <x:f>D1905+E1905</x:f>
        <x:v>-8.914723034688542</x:v>
      </x:c>
      <x:c r="G1905" s="23" t="n">
        <x:f>AVERAGE($F$1942:$F$1966)</x:f>
        <x:v>-9.161306428882424</x:v>
      </x:c>
      <x:c r="H1905" s="24" t="n">
        <x:f>F1905-G1905</x:f>
        <x:v>0.2465833941938822</x:v>
      </x:c>
    </x:row>
    <x:row r="1906">
      <x:c r="A1906" s="2" t="str">
        <x:v>LiND-Hybrid</x:v>
      </x:c>
      <x:c r="B1906" s="4" t="str">
        <x:v>NaCl</x:v>
      </x:c>
      <x:c r="C1906" s="23" t="n">
        <x:v>1.608111</x:v>
      </x:c>
      <x:c r="D1906" s="23" t="n">
        <x:v>-17.44718</x:v>
      </x:c>
      <x:c r="E1906" s="23" t="n">
        <x:f>'Parameters'!$B$2*'Parameters'!$B$3*LN(4*PI()*C1906^2)</x:f>
        <x:v>8.629607984867299</x:v>
      </x:c>
      <x:c r="F1906" s="23" t="n">
        <x:f>D1906+E1906</x:f>
        <x:v>-8.8175720151327</x:v>
      </x:c>
      <x:c r="G1906" s="23" t="n">
        <x:f>AVERAGE($F$1942:$F$1966)</x:f>
        <x:v>-9.161306428882424</x:v>
      </x:c>
      <x:c r="H1906" s="24" t="n">
        <x:f>F1906-G1906</x:f>
        <x:v>0.3437344137497238</x:v>
      </x:c>
    </x:row>
    <x:row r="1907">
      <x:c r="A1907" s="2" t="str">
        <x:v>LiND-Hybrid</x:v>
      </x:c>
      <x:c r="B1907" s="4" t="str">
        <x:v>NaCl</x:v>
      </x:c>
      <x:c r="C1907" s="23" t="n">
        <x:v>1.620219</x:v>
      </x:c>
      <x:c r="D1907" s="23" t="n">
        <x:v>-17.53429</x:v>
      </x:c>
      <x:c r="E1907" s="23" t="n">
        <x:f>'Parameters'!$B$2*'Parameters'!$B$3*LN(4*PI()*C1907^2)</x:f>
        <x:v>8.6667979282162</x:v>
      </x:c>
      <x:c r="F1907" s="23" t="n">
        <x:f>D1907+E1907</x:f>
        <x:v>-8.867492071783799</x:v>
      </x:c>
      <x:c r="G1907" s="23" t="n">
        <x:f>AVERAGE($F$1942:$F$1966)</x:f>
        <x:v>-9.161306428882424</x:v>
      </x:c>
      <x:c r="H1907" s="24" t="n">
        <x:f>F1907-G1907</x:f>
        <x:v>0.2938143570986256</x:v>
      </x:c>
    </x:row>
    <x:row r="1908">
      <x:c r="A1908" s="2" t="str">
        <x:v>LiND-Hybrid</x:v>
      </x:c>
      <x:c r="B1908" s="4" t="str">
        <x:v>NaCl</x:v>
      </x:c>
      <x:c r="C1908" s="23" t="n">
        <x:v>1.632327</x:v>
      </x:c>
      <x:c r="D1908" s="23" t="n">
        <x:v>-17.46132</x:v>
      </x:c>
      <x:c r="E1908" s="23" t="n">
        <x:f>'Parameters'!$B$2*'Parameters'!$B$3*LN(4*PI()*C1908^2)</x:f>
        <x:v>8.703710980778725</x:v>
      </x:c>
      <x:c r="F1908" s="23" t="n">
        <x:f>D1908+E1908</x:f>
        <x:v>-8.757609019221276</x:v>
      </x:c>
      <x:c r="G1908" s="23" t="n">
        <x:f>AVERAGE($F$1942:$F$1966)</x:f>
        <x:v>-9.161306428882424</x:v>
      </x:c>
      <x:c r="H1908" s="24" t="n">
        <x:f>F1908-G1908</x:f>
        <x:v>0.40369740966114875</x:v>
      </x:c>
    </x:row>
    <x:row r="1909">
      <x:c r="A1909" s="2" t="str">
        <x:v>LiND-Hybrid</x:v>
      </x:c>
      <x:c r="B1909" s="4" t="str">
        <x:v>NaCl</x:v>
      </x:c>
      <x:c r="C1909" s="23" t="n">
        <x:v>1.644435</x:v>
      </x:c>
      <x:c r="D1909" s="23" t="n">
        <x:v>-17.51544</x:v>
      </x:c>
      <x:c r="E1909" s="23" t="n">
        <x:f>'Parameters'!$B$2*'Parameters'!$B$3*LN(4*PI()*C1909^2)</x:f>
        <x:v>8.740351235180169</x:v>
      </x:c>
      <x:c r="F1909" s="23" t="n">
        <x:f>D1909+E1909</x:f>
        <x:v>-8.775088764819833</x:v>
      </x:c>
      <x:c r="G1909" s="23" t="n">
        <x:f>AVERAGE($F$1942:$F$1966)</x:f>
        <x:v>-9.161306428882424</x:v>
      </x:c>
      <x:c r="H1909" s="24" t="n">
        <x:f>F1909-G1909</x:f>
        <x:v>0.38621766406259184</x:v>
      </x:c>
    </x:row>
    <x:row r="1910">
      <x:c r="A1910" s="2" t="str">
        <x:v>LiND-Hybrid</x:v>
      </x:c>
      <x:c r="B1910" s="4" t="str">
        <x:v>NaCl</x:v>
      </x:c>
      <x:c r="C1910" s="23" t="n">
        <x:v>1.656543</x:v>
      </x:c>
      <x:c r="D1910" s="23" t="n">
        <x:v>-17.54353</x:v>
      </x:c>
      <x:c r="E1910" s="23" t="n">
        <x:f>'Parameters'!$B$2*'Parameters'!$B$3*LN(4*PI()*C1910^2)</x:f>
        <x:v>8.7767226939736</x:v>
      </x:c>
      <x:c r="F1910" s="23" t="n">
        <x:f>D1910+E1910</x:f>
        <x:v>-8.7668073060264</x:v>
      </x:c>
      <x:c r="G1910" s="23" t="n">
        <x:f>AVERAGE($F$1942:$F$1966)</x:f>
        <x:v>-9.161306428882424</x:v>
      </x:c>
      <x:c r="H1910" s="24" t="n">
        <x:f>F1910-G1910</x:f>
        <x:v>0.39449912285602373</x:v>
      </x:c>
    </x:row>
    <x:row r="1911">
      <x:c r="A1911" s="2" t="str">
        <x:v>LiND-Hybrid</x:v>
      </x:c>
      <x:c r="B1911" s="4" t="str">
        <x:v>NaCl</x:v>
      </x:c>
      <x:c r="C1911" s="23" t="n">
        <x:v>1.66865</x:v>
      </x:c>
      <x:c r="D1911" s="23" t="n">
        <x:v>-17.55578</x:v>
      </x:c>
      <x:c r="E1911" s="23" t="n">
        <x:f>'Parameters'!$B$2*'Parameters'!$B$3*LN(4*PI()*C1911^2)</x:f>
        <x:v>8.812826301051949</x:v>
      </x:c>
      <x:c r="F1911" s="23" t="n">
        <x:f>D1911+E1911</x:f>
        <x:v>-8.74295369894805</x:v>
      </x:c>
      <x:c r="G1911" s="23" t="n">
        <x:f>AVERAGE($F$1942:$F$1966)</x:f>
        <x:v>-9.161306428882424</x:v>
      </x:c>
      <x:c r="H1911" s="24" t="n">
        <x:f>F1911-G1911</x:f>
        <x:v>0.4183527299343748</x:v>
      </x:c>
    </x:row>
    <x:row r="1912">
      <x:c r="A1912" s="2" t="str">
        <x:v>LiND-Hybrid</x:v>
      </x:c>
      <x:c r="B1912" s="4" t="str">
        <x:v>NaCl</x:v>
      </x:c>
      <x:c r="C1912" s="23" t="n">
        <x:v>1.680758</x:v>
      </x:c>
      <x:c r="D1912" s="23" t="n">
        <x:v>-17.57287</x:v>
      </x:c>
      <x:c r="E1912" s="23" t="n">
        <x:f>'Parameters'!$B$2*'Parameters'!$B$3*LN(4*PI()*C1912^2)</x:f>
        <x:v>8.848671850428543</x:v>
      </x:c>
      <x:c r="F1912" s="23" t="n">
        <x:f>D1912+E1912</x:f>
        <x:v>-8.724198149571459</x:v>
      </x:c>
      <x:c r="G1912" s="23" t="n">
        <x:f>AVERAGE($F$1942:$F$1966)</x:f>
        <x:v>-9.161306428882424</x:v>
      </x:c>
      <x:c r="H1912" s="24" t="n">
        <x:f>F1912-G1912</x:f>
        <x:v>0.43710827931096574</x:v>
      </x:c>
    </x:row>
    <x:row r="1913">
      <x:c r="A1913" s="2" t="str">
        <x:v>LiND-Hybrid</x:v>
      </x:c>
      <x:c r="B1913" s="4" t="str">
        <x:v>NaCl</x:v>
      </x:c>
      <x:c r="C1913" s="23" t="n">
        <x:v>1.692866</x:v>
      </x:c>
      <x:c r="D1913" s="23" t="n">
        <x:v>-17.6936</x:v>
      </x:c>
      <x:c r="E1913" s="23" t="n">
        <x:f>'Parameters'!$B$2*'Parameters'!$B$3*LN(4*PI()*C1913^2)</x:f>
        <x:v>8.884260096885525</x:v>
      </x:c>
      <x:c r="F1913" s="23" t="n">
        <x:f>D1913+E1913</x:f>
        <x:v>-8.809339903114475</x:v>
      </x:c>
      <x:c r="G1913" s="23" t="n">
        <x:f>AVERAGE($F$1942:$F$1966)</x:f>
        <x:v>-9.161306428882424</x:v>
      </x:c>
      <x:c r="H1913" s="24" t="n">
        <x:f>F1913-G1913</x:f>
        <x:v>0.3519665257679492</x:v>
      </x:c>
    </x:row>
    <x:row r="1914">
      <x:c r="A1914" s="2" t="str">
        <x:v>LiND-Hybrid</x:v>
      </x:c>
      <x:c r="B1914" s="4" t="str">
        <x:v>NaCl</x:v>
      </x:c>
      <x:c r="C1914" s="23" t="n">
        <x:v>1.704974</x:v>
      </x:c>
      <x:c r="D1914" s="23" t="n">
        <x:v>-17.74773</x:v>
      </x:c>
      <x:c r="E1914" s="23" t="n">
        <x:f>'Parameters'!$B$2*'Parameters'!$B$3*LN(4*PI()*C1914^2)</x:f>
        <x:v>8.919594708004173</x:v>
      </x:c>
      <x:c r="F1914" s="23" t="n">
        <x:f>D1914+E1914</x:f>
        <x:v>-8.828135291995828</x:v>
      </x:c>
      <x:c r="G1914" s="23" t="n">
        <x:f>AVERAGE($F$1942:$F$1966)</x:f>
        <x:v>-9.161306428882424</x:v>
      </x:c>
      <x:c r="H1914" s="24" t="n">
        <x:f>F1914-G1914</x:f>
        <x:v>0.3331711368865964</x:v>
      </x:c>
    </x:row>
    <x:row r="1915">
      <x:c r="A1915" s="2" t="str">
        <x:v>LiND-Hybrid</x:v>
      </x:c>
      <x:c r="B1915" s="4" t="str">
        <x:v>NaCl</x:v>
      </x:c>
      <x:c r="C1915" s="23" t="n">
        <x:v>1.717082</x:v>
      </x:c>
      <x:c r="D1915" s="23" t="n">
        <x:v>-17.86811</x:v>
      </x:c>
      <x:c r="E1915" s="23" t="n">
        <x:f>'Parameters'!$B$2*'Parameters'!$B$3*LN(4*PI()*C1915^2)</x:f>
        <x:v>8.954679273504121</x:v>
      </x:c>
      <x:c r="F1915" s="23" t="n">
        <x:f>D1915+E1915</x:f>
        <x:v>-8.91343072649588</x:v>
      </x:c>
      <x:c r="G1915" s="23" t="n">
        <x:f>AVERAGE($F$1942:$F$1966)</x:f>
        <x:v>-9.161306428882424</x:v>
      </x:c>
      <x:c r="H1915" s="24" t="n">
        <x:f>F1915-G1915</x:f>
        <x:v>0.2478757023865441</x:v>
      </x:c>
    </x:row>
    <x:row r="1916">
      <x:c r="A1916" s="2" t="str">
        <x:v>LiND-Hybrid</x:v>
      </x:c>
      <x:c r="B1916" s="4" t="str">
        <x:v>NaCl</x:v>
      </x:c>
      <x:c r="C1916" s="23" t="n">
        <x:v>1.72919</x:v>
      </x:c>
      <x:c r="D1916" s="23" t="n">
        <x:v>-17.91177</x:v>
      </x:c>
      <x:c r="E1916" s="23" t="n">
        <x:f>'Parameters'!$B$2*'Parameters'!$B$3*LN(4*PI()*C1916^2)</x:f>
        <x:v>8.989517307431836</x:v>
      </x:c>
      <x:c r="F1916" s="23" t="n">
        <x:f>D1916+E1916</x:f>
        <x:v>-8.922252692568165</x:v>
      </x:c>
      <x:c r="G1916" s="23" t="n">
        <x:f>AVERAGE($F$1942:$F$1966)</x:f>
        <x:v>-9.161306428882424</x:v>
      </x:c>
      <x:c r="H1916" s="24" t="n">
        <x:f>F1916-G1916</x:f>
        <x:v>0.23905373631425952</x:v>
      </x:c>
    </x:row>
    <x:row r="1917">
      <x:c r="A1917" s="2" t="str">
        <x:v>LiND-Hybrid</x:v>
      </x:c>
      <x:c r="B1917" s="4" t="str">
        <x:v>NaCl</x:v>
      </x:c>
      <x:c r="C1917" s="23" t="n">
        <x:v>1.741298</x:v>
      </x:c>
      <x:c r="D1917" s="23" t="n">
        <x:v>-17.99423</x:v>
      </x:c>
      <x:c r="E1917" s="23" t="n">
        <x:f>'Parameters'!$B$2*'Parameters'!$B$3*LN(4*PI()*C1917^2)</x:f>
        <x:v>9.024112250272768</x:v>
      </x:c>
      <x:c r="F1917" s="23" t="n">
        <x:f>D1917+E1917</x:f>
        <x:v>-8.970117749727233</x:v>
      </x:c>
      <x:c r="G1917" s="23" t="n">
        <x:f>AVERAGE($F$1942:$F$1966)</x:f>
        <x:v>-9.161306428882424</x:v>
      </x:c>
      <x:c r="H1917" s="24" t="n">
        <x:f>F1917-G1917</x:f>
        <x:v>0.1911886791551911</x:v>
      </x:c>
    </x:row>
    <x:row r="1918">
      <x:c r="A1918" s="2" t="str">
        <x:v>LiND-Hybrid</x:v>
      </x:c>
      <x:c r="B1918" s="4" t="str">
        <x:v>NaCl</x:v>
      </x:c>
      <x:c r="C1918" s="23" t="n">
        <x:v>1.753406</x:v>
      </x:c>
      <x:c r="D1918" s="23" t="n">
        <x:v>-18.06495</x:v>
      </x:c>
      <x:c r="E1918" s="23" t="n">
        <x:f>'Parameters'!$B$2*'Parameters'!$B$3*LN(4*PI()*C1918^2)</x:f>
        <x:v>9.058467470990307</x:v>
      </x:c>
      <x:c r="F1918" s="23" t="n">
        <x:f>D1918+E1918</x:f>
        <x:v>-9.006482529009693</x:v>
      </x:c>
      <x:c r="G1918" s="23" t="n">
        <x:f>AVERAGE($F$1942:$F$1966)</x:f>
        <x:v>-9.161306428882424</x:v>
      </x:c>
      <x:c r="H1918" s="24" t="n">
        <x:f>F1918-G1918</x:f>
        <x:v>0.15482389987273137</x:v>
      </x:c>
    </x:row>
    <x:row r="1919">
      <x:c r="A1919" s="2" t="str">
        <x:v>LiND-Hybrid</x:v>
      </x:c>
      <x:c r="B1919" s="4" t="str">
        <x:v>NaCl</x:v>
      </x:c>
      <x:c r="C1919" s="23" t="n">
        <x:v>1.765514</x:v>
      </x:c>
      <x:c r="D1919" s="23" t="n">
        <x:v>-17.97591</x:v>
      </x:c>
      <x:c r="E1919" s="23" t="n">
        <x:f>'Parameters'!$B$2*'Parameters'!$B$3*LN(4*PI()*C1919^2)</x:f>
        <x:v>9.092586268994584</x:v>
      </x:c>
      <x:c r="F1919" s="23" t="n">
        <x:f>D1919+E1919</x:f>
        <x:v>-8.883323731005415</x:v>
      </x:c>
      <x:c r="G1919" s="23" t="n">
        <x:f>AVERAGE($F$1942:$F$1966)</x:f>
        <x:v>-9.161306428882424</x:v>
      </x:c>
      <x:c r="H1919" s="24" t="n">
        <x:f>F1919-G1919</x:f>
        <x:v>0.27798269787700924</x:v>
      </x:c>
    </x:row>
    <x:row r="1920">
      <x:c r="A1920" s="2" t="str">
        <x:v>LiND-Hybrid</x:v>
      </x:c>
      <x:c r="B1920" s="4" t="str">
        <x:v>NaCl</x:v>
      </x:c>
      <x:c r="C1920" s="23" t="n">
        <x:v>1.777622</x:v>
      </x:c>
      <x:c r="D1920" s="23" t="n">
        <x:v>-18.21737</x:v>
      </x:c>
      <x:c r="E1920" s="23" t="n">
        <x:f>'Parameters'!$B$2*'Parameters'!$B$3*LN(4*PI()*C1920^2)</x:f>
        <x:v>9.12647187604399</x:v>
      </x:c>
      <x:c r="F1920" s="23" t="n">
        <x:f>D1920+E1920</x:f>
        <x:v>-9.09089812395601</x:v>
      </x:c>
      <x:c r="G1920" s="23" t="n">
        <x:f>AVERAGE($F$1942:$F$1966)</x:f>
        <x:v>-9.161306428882424</x:v>
      </x:c>
      <x:c r="H1920" s="24" t="n">
        <x:f>F1920-G1920</x:f>
        <x:v>0.07040830492641525</x:v>
      </x:c>
    </x:row>
    <x:row r="1921">
      <x:c r="A1921" s="2" t="str">
        <x:v>LiND-Hybrid</x:v>
      </x:c>
      <x:c r="B1921" s="4" t="str">
        <x:v>NaCl</x:v>
      </x:c>
      <x:c r="C1921" s="23" t="n">
        <x:v>1.78973</x:v>
      </x:c>
      <x:c r="D1921" s="23" t="n">
        <x:v>-18.1983</x:v>
      </x:c>
      <x:c r="E1921" s="23" t="n">
        <x:f>'Parameters'!$B$2*'Parameters'!$B$3*LN(4*PI()*C1921^2)</x:f>
        <x:v>9.160127458082146</x:v>
      </x:c>
      <x:c r="F1921" s="23" t="n">
        <x:f>D1921+E1921</x:f>
        <x:v>-9.038172541917854</x:v>
      </x:c>
      <x:c r="G1921" s="23" t="n">
        <x:f>AVERAGE($F$1942:$F$1966)</x:f>
        <x:v>-9.161306428882424</x:v>
      </x:c>
      <x:c r="H1921" s="24" t="n">
        <x:f>F1921-G1921</x:f>
        <x:v>0.1231338869645704</x:v>
      </x:c>
    </x:row>
    <x:row r="1922">
      <x:c r="A1922" s="2" t="str">
        <x:v>LiND-Hybrid</x:v>
      </x:c>
      <x:c r="B1922" s="4" t="str">
        <x:v>NaCl</x:v>
      </x:c>
      <x:c r="C1922" s="23" t="n">
        <x:v>1.801838</x:v>
      </x:c>
      <x:c r="D1922" s="23" t="n">
        <x:v>-18.16113</x:v>
      </x:c>
      <x:c r="E1922" s="23" t="n">
        <x:f>'Parameters'!$B$2*'Parameters'!$B$3*LN(4*PI()*C1922^2)</x:f>
        <x:v>9.193556117012966</x:v>
      </x:c>
      <x:c r="F1922" s="23" t="n">
        <x:f>D1922+E1922</x:f>
        <x:v>-8.967573882987034</x:v>
      </x:c>
      <x:c r="G1922" s="23" t="n">
        <x:f>AVERAGE($F$1942:$F$1966)</x:f>
        <x:v>-9.161306428882424</x:v>
      </x:c>
      <x:c r="H1922" s="24" t="n">
        <x:f>F1922-G1922</x:f>
        <x:v>0.19373254589539002</x:v>
      </x:c>
    </x:row>
    <x:row r="1923">
      <x:c r="A1923" s="2" t="str">
        <x:v>LiND-Hybrid</x:v>
      </x:c>
      <x:c r="B1923" s="4" t="str">
        <x:v>NaCl</x:v>
      </x:c>
      <x:c r="C1923" s="23" t="n">
        <x:v>1.813945</x:v>
      </x:c>
      <x:c r="D1923" s="23" t="n">
        <x:v>-18.25741</x:v>
      </x:c>
      <x:c r="E1923" s="23" t="n">
        <x:f>'Parameters'!$B$2*'Parameters'!$B$3*LN(4*PI()*C1923^2)</x:f>
        <x:v>9.226758159195182</x:v>
      </x:c>
      <x:c r="F1923" s="23" t="n">
        <x:f>D1923+E1923</x:f>
        <x:v>-9.030651840804818</x:v>
      </x:c>
      <x:c r="G1923" s="23" t="n">
        <x:f>AVERAGE($F$1942:$F$1966)</x:f>
        <x:v>-9.161306428882424</x:v>
      </x:c>
      <x:c r="H1923" s="24" t="n">
        <x:f>F1923-G1923</x:f>
        <x:v>0.130654588077606</x:v>
      </x:c>
    </x:row>
    <x:row r="1924">
      <x:c r="A1924" s="2" t="str">
        <x:v>LiND-Hybrid</x:v>
      </x:c>
      <x:c r="B1924" s="4" t="str">
        <x:v>NaCl</x:v>
      </x:c>
      <x:c r="C1924" s="23" t="n">
        <x:v>1.826053</x:v>
      </x:c>
      <x:c r="D1924" s="23" t="n">
        <x:v>-18.34763</x:v>
      </x:c>
      <x:c r="E1924" s="23" t="n">
        <x:f>'Parameters'!$B$2*'Parameters'!$B$3*LN(4*PI()*C1924^2)</x:f>
        <x:v>9.25974204810831</x:v>
      </x:c>
      <x:c r="F1924" s="23" t="n">
        <x:f>D1924+E1924</x:f>
        <x:v>-9.08788795189169</x:v>
      </x:c>
      <x:c r="G1924" s="23" t="n">
        <x:f>AVERAGE($F$1942:$F$1966)</x:f>
        <x:v>-9.161306428882424</x:v>
      </x:c>
      <x:c r="H1924" s="24" t="n">
        <x:f>F1924-G1924</x:f>
        <x:v>0.07341847699073512</x:v>
      </x:c>
    </x:row>
    <x:row r="1925">
      <x:c r="A1925" s="2" t="str">
        <x:v>LiND-Hybrid</x:v>
      </x:c>
      <x:c r="B1925" s="4" t="str">
        <x:v>NaCl</x:v>
      </x:c>
      <x:c r="C1925" s="23" t="n">
        <x:v>1.838161</x:v>
      </x:c>
      <x:c r="D1925" s="23" t="n">
        <x:v>-18.42161</x:v>
      </x:c>
      <x:c r="E1925" s="23" t="n">
        <x:f>'Parameters'!$B$2*'Parameters'!$B$3*LN(4*PI()*C1925^2)</x:f>
        <x:v>9.292507952021763</x:v>
      </x:c>
      <x:c r="F1925" s="23" t="n">
        <x:f>D1925+E1925</x:f>
        <x:v>-9.129102047978238</x:v>
      </x:c>
      <x:c r="G1925" s="23" t="n">
        <x:f>AVERAGE($F$1942:$F$1966)</x:f>
        <x:v>-9.161306428882424</x:v>
      </x:c>
      <x:c r="H1925" s="24" t="n">
        <x:f>F1925-G1925</x:f>
        <x:v>0.032204380904186536</x:v>
      </x:c>
    </x:row>
    <x:row r="1926">
      <x:c r="A1926" s="2" t="str">
        <x:v>LiND-Hybrid</x:v>
      </x:c>
      <x:c r="B1926" s="4" t="str">
        <x:v>NaCl</x:v>
      </x:c>
      <x:c r="C1926" s="23" t="n">
        <x:v>1.850269</x:v>
      </x:c>
      <x:c r="D1926" s="23" t="n">
        <x:v>-18.35153</x:v>
      </x:c>
      <x:c r="E1926" s="23" t="n">
        <x:f>'Parameters'!$B$2*'Parameters'!$B$3*LN(4*PI()*C1926^2)</x:f>
        <x:v>9.325058733281859</x:v>
      </x:c>
      <x:c r="F1926" s="23" t="n">
        <x:f>D1926+E1926</x:f>
        <x:v>-9.026471266718142</x:v>
      </x:c>
      <x:c r="G1926" s="23" t="n">
        <x:f>AVERAGE($F$1942:$F$1966)</x:f>
        <x:v>-9.161306428882424</x:v>
      </x:c>
      <x:c r="H1926" s="24" t="n">
        <x:f>F1926-G1926</x:f>
        <x:v>0.1348351621642827</x:v>
      </x:c>
    </x:row>
    <x:row r="1927">
      <x:c r="A1927" s="2" t="str">
        <x:v>LiND-Hybrid</x:v>
      </x:c>
      <x:c r="B1927" s="4" t="str">
        <x:v>NaCl</x:v>
      </x:c>
      <x:c r="C1927" s="23" t="n">
        <x:v>1.862377</x:v>
      </x:c>
      <x:c r="D1927" s="23" t="n">
        <x:v>-18.51913</x:v>
      </x:c>
      <x:c r="E1927" s="23" t="n">
        <x:f>'Parameters'!$B$2*'Parameters'!$B$3*LN(4*PI()*C1927^2)</x:f>
        <x:v>9.357397198224534</x:v>
      </x:c>
      <x:c r="F1927" s="23" t="n">
        <x:f>D1927+E1927</x:f>
        <x:v>-9.161732801775466</x:v>
      </x:c>
      <x:c r="G1927" s="23" t="n">
        <x:f>AVERAGE($F$1942:$F$1966)</x:f>
        <x:v>-9.161306428882424</x:v>
      </x:c>
      <x:c r="H1927" s="24" t="n">
        <x:f>F1927-G1927</x:f>
        <x:v>-0.00042637289304181536</x:v>
      </x:c>
    </x:row>
    <x:row r="1928">
      <x:c r="A1928" s="2" t="str">
        <x:v>LiND-Hybrid</x:v>
      </x:c>
      <x:c r="B1928" s="4" t="str">
        <x:v>NaCl</x:v>
      </x:c>
      <x:c r="C1928" s="23" t="n">
        <x:v>1.874485</x:v>
      </x:c>
      <x:c r="D1928" s="23" t="n">
        <x:v>-18.54592</x:v>
      </x:c>
      <x:c r="E1928" s="23" t="n">
        <x:f>'Parameters'!$B$2*'Parameters'!$B$3*LN(4*PI()*C1928^2)</x:f>
        <x:v>9.389526098627233</x:v>
      </x:c>
      <x:c r="F1928" s="23" t="n">
        <x:f>D1928+E1928</x:f>
        <x:v>-9.156393901372766</x:v>
      </x:c>
      <x:c r="G1928" s="23" t="n">
        <x:f>AVERAGE($F$1942:$F$1966)</x:f>
        <x:v>-9.161306428882424</x:v>
      </x:c>
      <x:c r="H1928" s="24" t="n">
        <x:f>F1928-G1928</x:f>
        <x:v>0.004912527509658204</x:v>
      </x:c>
    </x:row>
    <x:row r="1929">
      <x:c r="A1929" s="2" t="str">
        <x:v>LiND-Hybrid</x:v>
      </x:c>
      <x:c r="B1929" s="4" t="str">
        <x:v>NaCl</x:v>
      </x:c>
      <x:c r="C1929" s="23" t="n">
        <x:v>1.886593</x:v>
      </x:c>
      <x:c r="D1929" s="23" t="n">
        <x:v>-18.54539</x:v>
      </x:c>
      <x:c r="E1929" s="23" t="n">
        <x:f>'Parameters'!$B$2*'Parameters'!$B$3*LN(4*PI()*C1929^2)</x:f>
        <x:v>9.421448133114035</x:v>
      </x:c>
      <x:c r="F1929" s="23" t="n">
        <x:f>D1929+E1929</x:f>
        <x:v>-9.123941866885966</x:v>
      </x:c>
      <x:c r="G1929" s="23" t="n">
        <x:f>AVERAGE($F$1942:$F$1966)</x:f>
        <x:v>-9.161306428882424</x:v>
      </x:c>
      <x:c r="H1929" s="24" t="n">
        <x:f>F1929-G1929</x:f>
        <x:v>0.037364561996458434</x:v>
      </x:c>
    </x:row>
    <x:row r="1930">
      <x:c r="A1930" s="2" t="str">
        <x:v>LiND-Hybrid</x:v>
      </x:c>
      <x:c r="B1930" s="4" t="str">
        <x:v>NaCl</x:v>
      </x:c>
      <x:c r="C1930" s="23" t="n">
        <x:v>1.898701</x:v>
      </x:c>
      <x:c r="D1930" s="23" t="n">
        <x:v>-18.81622</x:v>
      </x:c>
      <x:c r="E1930" s="23" t="n">
        <x:f>'Parameters'!$B$2*'Parameters'!$B$3*LN(4*PI()*C1930^2)</x:f>
        <x:v>9.453165948515865</x:v>
      </x:c>
      <x:c r="F1930" s="23" t="n">
        <x:f>D1930+E1930</x:f>
        <x:v>-9.363054051484136</x:v>
      </x:c>
      <x:c r="G1930" s="23" t="n">
        <x:f>AVERAGE($F$1942:$F$1966)</x:f>
        <x:v>-9.161306428882424</x:v>
      </x:c>
      <x:c r="H1930" s="24" t="n">
        <x:f>F1930-G1930</x:f>
        <x:v>-0.20174762260171164</x:v>
      </x:c>
    </x:row>
    <x:row r="1931">
      <x:c r="A1931" s="2" t="str">
        <x:v>LiND-Hybrid</x:v>
      </x:c>
      <x:c r="B1931" s="4" t="str">
        <x:v>NaCl</x:v>
      </x:c>
      <x:c r="C1931" s="23" t="n">
        <x:v>1.910809</x:v>
      </x:c>
      <x:c r="D1931" s="23" t="n">
        <x:v>-18.93909</x:v>
      </x:c>
      <x:c r="E1931" s="23" t="n">
        <x:f>'Parameters'!$B$2*'Parameters'!$B$3*LN(4*PI()*C1931^2)</x:f>
        <x:v>9.484682141187449</x:v>
      </x:c>
      <x:c r="F1931" s="23" t="n">
        <x:f>D1931+E1931</x:f>
        <x:v>-9.454407858812552</x:v>
      </x:c>
      <x:c r="G1931" s="23" t="n">
        <x:f>AVERAGE($F$1942:$F$1966)</x:f>
        <x:v>-9.161306428882424</x:v>
      </x:c>
      <x:c r="H1931" s="24" t="n">
        <x:f>F1931-G1931</x:f>
        <x:v>-0.2931014299301271</x:v>
      </x:c>
    </x:row>
    <x:row r="1932">
      <x:c r="A1932" s="2" t="str">
        <x:v>LiND-Hybrid</x:v>
      </x:c>
      <x:c r="B1932" s="4" t="str">
        <x:v>NaCl</x:v>
      </x:c>
      <x:c r="C1932" s="23" t="n">
        <x:v>1.922917</x:v>
      </x:c>
      <x:c r="D1932" s="23" t="n">
        <x:v>-18.86869</x:v>
      </x:c>
      <x:c r="E1932" s="23" t="n">
        <x:f>'Parameters'!$B$2*'Parameters'!$B$3*LN(4*PI()*C1932^2)</x:f>
        <x:v>9.515999258282676</x:v>
      </x:c>
      <x:c r="F1932" s="23" t="n">
        <x:f>D1932+E1932</x:f>
        <x:v>-9.352690741717325</x:v>
      </x:c>
      <x:c r="G1932" s="23" t="n">
        <x:f>AVERAGE($F$1942:$F$1966)</x:f>
        <x:v>-9.161306428882424</x:v>
      </x:c>
      <x:c r="H1932" s="24" t="n">
        <x:f>F1932-G1932</x:f>
        <x:v>-0.19138431283490043</x:v>
      </x:c>
    </x:row>
    <x:row r="1933">
      <x:c r="A1933" s="2" t="str">
        <x:v>LiND-Hybrid</x:v>
      </x:c>
      <x:c r="B1933" s="4" t="str">
        <x:v>NaCl</x:v>
      </x:c>
      <x:c r="C1933" s="23" t="n">
        <x:v>1.935025</x:v>
      </x:c>
      <x:c r="D1933" s="23" t="n">
        <x:v>-18.96321</x:v>
      </x:c>
      <x:c r="E1933" s="23" t="n">
        <x:f>'Parameters'!$B$2*'Parameters'!$B$3*LN(4*PI()*C1933^2)</x:f>
        <x:v>9.547119798989943</x:v>
      </x:c>
      <x:c r="F1933" s="23" t="n">
        <x:f>D1933+E1933</x:f>
        <x:v>-9.416090201010057</x:v>
      </x:c>
      <x:c r="G1933" s="23" t="n">
        <x:f>AVERAGE($F$1942:$F$1966)</x:f>
        <x:v>-9.161306428882424</x:v>
      </x:c>
      <x:c r="H1933" s="24" t="n">
        <x:f>F1933-G1933</x:f>
        <x:v>-0.2547837721276327</x:v>
      </x:c>
    </x:row>
    <x:row r="1934">
      <x:c r="A1934" s="2" t="str">
        <x:v>LiND-Hybrid</x:v>
      </x:c>
      <x:c r="B1934" s="4" t="str">
        <x:v>NaCl</x:v>
      </x:c>
      <x:c r="C1934" s="23" t="n">
        <x:v>1.947133</x:v>
      </x:c>
      <x:c r="D1934" s="23" t="n">
        <x:v>-19.02272</x:v>
      </x:c>
      <x:c r="E1934" s="23" t="n">
        <x:f>'Parameters'!$B$2*'Parameters'!$B$3*LN(4*PI()*C1934^2)</x:f>
        <x:v>9.578046215728966</x:v>
      </x:c>
      <x:c r="F1934" s="23" t="n">
        <x:f>D1934+E1934</x:f>
        <x:v>-9.444673784271034</x:v>
      </x:c>
      <x:c r="G1934" s="23" t="n">
        <x:f>AVERAGE($F$1942:$F$1966)</x:f>
        <x:v>-9.161306428882424</x:v>
      </x:c>
      <x:c r="H1934" s="24" t="n">
        <x:f>F1934-G1934</x:f>
        <x:v>-0.28336735538860935</x:v>
      </x:c>
    </x:row>
    <x:row r="1935">
      <x:c r="A1935" s="2" t="str">
        <x:v>LiND-Hybrid</x:v>
      </x:c>
      <x:c r="B1935" s="4" t="str">
        <x:v>NaCl</x:v>
      </x:c>
      <x:c r="C1935" s="23" t="n">
        <x:v>1.95924</x:v>
      </x:c>
      <x:c r="D1935" s="23" t="n">
        <x:v>-19.04232</x:v>
      </x:c>
      <x:c r="E1935" s="23" t="n">
        <x:f>'Parameters'!$B$2*'Parameters'!$B$3*LN(4*PI()*C1935^2)</x:f>
        <x:v>9.608778384781925</x:v>
      </x:c>
      <x:c r="F1935" s="23" t="n">
        <x:f>D1935+E1935</x:f>
        <x:v>-9.433541615218076</x:v>
      </x:c>
      <x:c r="G1935" s="23" t="n">
        <x:f>AVERAGE($F$1942:$F$1966)</x:f>
        <x:v>-9.161306428882424</x:v>
      </x:c>
      <x:c r="H1935" s="24" t="n">
        <x:f>F1935-G1935</x:f>
        <x:v>-0.27223518633565114</x:v>
      </x:c>
    </x:row>
    <x:row r="1936">
      <x:c r="A1936" s="2" t="str">
        <x:v>LiND-Hybrid</x:v>
      </x:c>
      <x:c r="B1936" s="4" t="str">
        <x:v>NaCl</x:v>
      </x:c>
      <x:c r="C1936" s="23" t="n">
        <x:v>1.971348</x:v>
      </x:c>
      <x:c r="D1936" s="23" t="n">
        <x:v>-18.99131</x:v>
      </x:c>
      <x:c r="E1936" s="23" t="n">
        <x:f>'Parameters'!$B$2*'Parameters'!$B$3*LN(4*PI()*C1936^2)</x:f>
        <x:v>9.639323745074195</x:v>
      </x:c>
      <x:c r="F1936" s="23" t="n">
        <x:f>D1936+E1936</x:f>
        <x:v>-9.351986254925803</x:v>
      </x:c>
      <x:c r="G1936" s="23" t="n">
        <x:f>AVERAGE($F$1942:$F$1966)</x:f>
        <x:v>-9.161306428882424</x:v>
      </x:c>
      <x:c r="H1936" s="24" t="n">
        <x:f>F1936-G1936</x:f>
        <x:v>-0.19067982604337885</x:v>
      </x:c>
    </x:row>
    <x:row r="1937">
      <x:c r="A1937" s="2" t="str">
        <x:v>LiND-Hybrid</x:v>
      </x:c>
      <x:c r="B1937" s="4" t="str">
        <x:v>NaCl</x:v>
      </x:c>
      <x:c r="C1937" s="23" t="n">
        <x:v>1.983456</x:v>
      </x:c>
      <x:c r="D1937" s="23" t="n">
        <x:v>-19.01343</x:v>
      </x:c>
      <x:c r="E1937" s="23" t="n">
        <x:f>'Parameters'!$B$2*'Parameters'!$B$3*LN(4*PI()*C1937^2)</x:f>
        <x:v>9.66968206927534</x:v>
      </x:c>
      <x:c r="F1937" s="23" t="n">
        <x:f>D1937+E1937</x:f>
        <x:v>-9.34374793072466</x:v>
      </x:c>
      <x:c r="G1937" s="23" t="n">
        <x:f>AVERAGE($F$1942:$F$1966)</x:f>
        <x:v>-9.161306428882424</x:v>
      </x:c>
      <x:c r="H1937" s="24" t="n">
        <x:f>F1937-G1937</x:f>
        <x:v>-0.18244150184223606</x:v>
      </x:c>
    </x:row>
    <x:row r="1938">
      <x:c r="A1938" s="2" t="str">
        <x:v>LiND-Hybrid</x:v>
      </x:c>
      <x:c r="B1938" s="4" t="str">
        <x:v>NaCl</x:v>
      </x:c>
      <x:c r="C1938" s="23" t="n">
        <x:v>1.995564</x:v>
      </x:c>
      <x:c r="D1938" s="23" t="n">
        <x:v>-19.00057</x:v>
      </x:c>
      <x:c r="E1938" s="23" t="n">
        <x:f>'Parameters'!$B$2*'Parameters'!$B$3*LN(4*PI()*C1938^2)</x:f>
        <x:v>9.699855633980183</x:v>
      </x:c>
      <x:c r="F1938" s="23" t="n">
        <x:f>D1938+E1938</x:f>
        <x:v>-9.300714366019816</x:v>
      </x:c>
      <x:c r="G1938" s="23" t="n">
        <x:f>AVERAGE($F$1942:$F$1966)</x:f>
        <x:v>-9.161306428882424</x:v>
      </x:c>
      <x:c r="H1938" s="24" t="n">
        <x:f>F1938-G1938</x:f>
        <x:v>-0.13940793713739197</x:v>
      </x:c>
    </x:row>
    <x:row r="1939">
      <x:c r="A1939" s="2" t="str">
        <x:v>LiND-Hybrid</x:v>
      </x:c>
      <x:c r="B1939" s="4" t="str">
        <x:v>NaCl</x:v>
      </x:c>
      <x:c r="C1939" s="23" t="n">
        <x:v>2.007672</x:v>
      </x:c>
      <x:c r="D1939" s="23" t="n">
        <x:v>-19.06097</x:v>
      </x:c>
      <x:c r="E1939" s="23" t="n">
        <x:f>'Parameters'!$B$2*'Parameters'!$B$3*LN(4*PI()*C1939^2)</x:f>
        <x:v>9.729846674468957</x:v>
      </x:c>
      <x:c r="F1939" s="23" t="n">
        <x:f>D1939+E1939</x:f>
        <x:v>-9.331123325531044</x:v>
      </x:c>
      <x:c r="G1939" s="23" t="n">
        <x:f>AVERAGE($F$1942:$F$1966)</x:f>
        <x:v>-9.161306428882424</x:v>
      </x:c>
      <x:c r="H1939" s="24" t="n">
        <x:f>F1939-G1939</x:f>
        <x:v>-0.16981689664861932</x:v>
      </x:c>
    </x:row>
    <x:row r="1940">
      <x:c r="A1940" s="2" t="str">
        <x:v>LiND-Hybrid</x:v>
      </x:c>
      <x:c r="B1940" s="4" t="str">
        <x:v>NaCl</x:v>
      </x:c>
      <x:c r="C1940" s="23" t="n">
        <x:v>2.01978</x:v>
      </x:c>
      <x:c r="D1940" s="23" t="n">
        <x:v>-18.992</x:v>
      </x:c>
      <x:c r="E1940" s="23" t="n">
        <x:f>'Parameters'!$B$2*'Parameters'!$B$3*LN(4*PI()*C1940^2)</x:f>
        <x:v>9.759657385700962</x:v>
      </x:c>
      <x:c r="F1940" s="23" t="n">
        <x:f>D1940+E1940</x:f>
        <x:v>-9.23234261429904</x:v>
      </x:c>
      <x:c r="G1940" s="23" t="n">
        <x:f>AVERAGE($F$1942:$F$1966)</x:f>
        <x:v>-9.161306428882424</x:v>
      </x:c>
      <x:c r="H1940" s="24" t="n">
        <x:f>F1940-G1940</x:f>
        <x:v>-0.07103618541661483</x:v>
      </x:c>
    </x:row>
    <x:row r="1941">
      <x:c r="A1941" s="2" t="str">
        <x:v>LiND-Hybrid</x:v>
      </x:c>
      <x:c r="B1941" s="4" t="str">
        <x:v>NaCl</x:v>
      </x:c>
      <x:c r="C1941" s="23" t="n">
        <x:v>2.031888</x:v>
      </x:c>
      <x:c r="D1941" s="23" t="n">
        <x:v>-19.02681</x:v>
      </x:c>
      <x:c r="E1941" s="23" t="n">
        <x:f>'Parameters'!$B$2*'Parameters'!$B$3*LN(4*PI()*C1941^2)</x:f>
        <x:v>9.789289923278536</x:v>
      </x:c>
      <x:c r="F1941" s="23" t="n">
        <x:f>D1941+E1941</x:f>
        <x:v>-9.237520076721465</x:v>
      </x:c>
      <x:c r="G1941" s="23" t="n">
        <x:f>AVERAGE($F$1942:$F$1966)</x:f>
        <x:v>-9.161306428882424</x:v>
      </x:c>
      <x:c r="H1941" s="24" t="n">
        <x:f>F1941-G1941</x:f>
        <x:v>-0.07621364783904028</x:v>
      </x:c>
    </x:row>
    <x:row r="1942">
      <x:c r="A1942" s="2" t="str">
        <x:v>LiND-Hybrid</x:v>
      </x:c>
      <x:c r="B1942" s="4" t="str">
        <x:v>NaCl</x:v>
      </x:c>
      <x:c r="C1942" s="23" t="n">
        <x:v>2.043996</x:v>
      </x:c>
      <x:c r="D1942" s="23" t="n">
        <x:v>-18.92837</x:v>
      </x:c>
      <x:c r="E1942" s="23" t="n">
        <x:f>'Parameters'!$B$2*'Parameters'!$B$3*LN(4*PI()*C1942^2)</x:f>
        <x:v>9.818746404382408</x:v>
      </x:c>
      <x:c r="F1942" s="23" t="n">
        <x:f>D1942+E1942</x:f>
        <x:v>-9.109623595617593</x:v>
      </x:c>
      <x:c r="G1942" s="23" t="n">
        <x:f>AVERAGE($F$1942:$F$1966)</x:f>
        <x:v>-9.161306428882424</x:v>
      </x:c>
      <x:c r="H1942" s="24" t="n">
        <x:f>F1942-G1942</x:f>
        <x:v>0.05168283326483092</x:v>
      </x:c>
    </x:row>
    <x:row r="1943">
      <x:c r="A1943" s="2" t="str">
        <x:v>LiND-Hybrid</x:v>
      </x:c>
      <x:c r="B1943" s="4" t="str">
        <x:v>NaCl</x:v>
      </x:c>
      <x:c r="C1943" s="23" t="n">
        <x:v>2.056104</x:v>
      </x:c>
      <x:c r="D1943" s="23" t="n">
        <x:v>-19.03549</x:v>
      </x:c>
      <x:c r="E1943" s="23" t="n">
        <x:f>'Parameters'!$B$2*'Parameters'!$B$3*LN(4*PI()*C1943^2)</x:f>
        <x:v>9.848028908679398</x:v>
      </x:c>
      <x:c r="F1943" s="23" t="n">
        <x:f>D1943+E1943</x:f>
        <x:v>-9.187461091320602</x:v>
      </x:c>
      <x:c r="G1943" s="23" t="n">
        <x:f>AVERAGE($F$1942:$F$1966)</x:f>
        <x:v>-9.161306428882424</x:v>
      </x:c>
      <x:c r="H1943" s="24" t="n">
        <x:f>F1943-G1943</x:f>
        <x:v>-0.026154662438177212</x:v>
      </x:c>
    </x:row>
    <x:row r="1944">
      <x:c r="A1944" s="2" t="str">
        <x:v>LiND-Hybrid</x:v>
      </x:c>
      <x:c r="B1944" s="4" t="str">
        <x:v>NaCl</x:v>
      </x:c>
      <x:c r="C1944" s="23" t="n">
        <x:v>2.068212</x:v>
      </x:c>
      <x:c r="D1944" s="23" t="n">
        <x:v>-18.94302</x:v>
      </x:c>
      <x:c r="E1944" s="23" t="n">
        <x:f>'Parameters'!$B$2*'Parameters'!$B$3*LN(4*PI()*C1944^2)</x:f>
        <x:v>9.87713947920349</x:v>
      </x:c>
      <x:c r="F1944" s="23" t="n">
        <x:f>D1944+E1944</x:f>
        <x:v>-9.06588052079651</x:v>
      </x:c>
      <x:c r="G1944" s="23" t="n">
        <x:f>AVERAGE($F$1942:$F$1966)</x:f>
        <x:v>-9.161306428882424</x:v>
      </x:c>
      <x:c r="H1944" s="24" t="n">
        <x:f>F1944-G1944</x:f>
        <x:v>0.09542590808591456</x:v>
      </x:c>
    </x:row>
    <x:row r="1945">
      <x:c r="A1945" s="2" t="str">
        <x:v>LiND-Hybrid</x:v>
      </x:c>
      <x:c r="B1945" s="4" t="str">
        <x:v>NaCl</x:v>
      </x:c>
      <x:c r="C1945" s="23" t="n">
        <x:v>2.08032</x:v>
      </x:c>
      <x:c r="D1945" s="23" t="n">
        <x:v>-19.16008</x:v>
      </x:c>
      <x:c r="E1945" s="23" t="n">
        <x:f>'Parameters'!$B$2*'Parameters'!$B$3*LN(4*PI()*C1945^2)</x:f>
        <x:v>9.906080123211197</x:v>
      </x:c>
      <x:c r="F1945" s="23" t="n">
        <x:f>D1945+E1945</x:f>
        <x:v>-9.253999876788804</x:v>
      </x:c>
      <x:c r="G1945" s="23" t="n">
        <x:f>AVERAGE($F$1942:$F$1966)</x:f>
        <x:v>-9.161306428882424</x:v>
      </x:c>
      <x:c r="H1945" s="24" t="n">
        <x:f>F1945-G1945</x:f>
        <x:v>-0.09269344790637923</x:v>
      </x:c>
    </x:row>
    <x:row r="1946">
      <x:c r="A1946" s="2" t="str">
        <x:v>LiND-Hybrid</x:v>
      </x:c>
      <x:c r="B1946" s="4" t="str">
        <x:v>NaCl</x:v>
      </x:c>
      <x:c r="C1946" s="23" t="n">
        <x:v>2.092428</x:v>
      </x:c>
      <x:c r="D1946" s="23" t="n">
        <x:v>-19.04646</x:v>
      </x:c>
      <x:c r="E1946" s="23" t="n">
        <x:f>'Parameters'!$B$2*'Parameters'!$B$3*LN(4*PI()*C1946^2)</x:f>
        <x:v>9.934852813012064</x:v>
      </x:c>
      <x:c r="F1946" s="23" t="n">
        <x:f>D1946+E1946</x:f>
        <x:v>-9.111607186987936</x:v>
      </x:c>
      <x:c r="G1946" s="23" t="n">
        <x:f>AVERAGE($F$1942:$F$1966)</x:f>
        <x:v>-9.161306428882424</x:v>
      </x:c>
      <x:c r="H1946" s="24" t="n">
        <x:f>F1946-G1946</x:f>
        <x:v>0.04969924189448882</x:v>
      </x:c>
    </x:row>
    <x:row r="1947">
      <x:c r="A1947" s="2" t="str">
        <x:v>LiND-Hybrid</x:v>
      </x:c>
      <x:c r="B1947" s="4" t="str">
        <x:v>NaCl</x:v>
      </x:c>
      <x:c r="C1947" s="23" t="n">
        <x:v>2.104535</x:v>
      </x:c>
      <x:c r="D1947" s="23" t="n">
        <x:v>-19.13892</x:v>
      </x:c>
      <x:c r="E1947" s="23" t="n">
        <x:f>'Parameters'!$B$2*'Parameters'!$B$3*LN(4*PI()*C1947^2)</x:f>
        <x:v>9.96345713095183</x:v>
      </x:c>
      <x:c r="F1947" s="23" t="n">
        <x:f>D1947+E1947</x:f>
        <x:v>-9.175462869048168</x:v>
      </x:c>
      <x:c r="G1947" s="23" t="n">
        <x:f>AVERAGE($F$1942:$F$1966)</x:f>
        <x:v>-9.161306428882424</x:v>
      </x:c>
      <x:c r="H1947" s="24" t="n">
        <x:f>F1947-G1947</x:f>
        <x:v>-0.014156440165743689</x:v>
      </x:c>
    </x:row>
    <x:row r="1948">
      <x:c r="A1948" s="2" t="str">
        <x:v>LiND-Hybrid</x:v>
      </x:c>
      <x:c r="B1948" s="4" t="str">
        <x:v>NaCl</x:v>
      </x:c>
      <x:c r="C1948" s="23" t="n">
        <x:v>2.116643</x:v>
      </x:c>
      <x:c r="D1948" s="23" t="n">
        <x:v>-19.20821</x:v>
      </x:c>
      <x:c r="E1948" s="23" t="n">
        <x:f>'Parameters'!$B$2*'Parameters'!$B$3*LN(4*PI()*C1948^2)</x:f>
        <x:v>9.991899706965798</x:v>
      </x:c>
      <x:c r="F1948" s="23" t="n">
        <x:f>D1948+E1948</x:f>
        <x:v>-9.216310293034203</x:v>
      </x:c>
      <x:c r="G1948" s="23" t="n">
        <x:f>AVERAGE($F$1942:$F$1966)</x:f>
        <x:v>-9.161306428882424</x:v>
      </x:c>
      <x:c r="H1948" s="24" t="n">
        <x:f>F1948-G1948</x:f>
        <x:v>-0.055003864151778714</x:v>
      </x:c>
    </x:row>
    <x:row r="1949">
      <x:c r="A1949" s="2" t="str">
        <x:v>LiND-Hybrid</x:v>
      </x:c>
      <x:c r="B1949" s="4" t="str">
        <x:v>NaCl</x:v>
      </x:c>
      <x:c r="C1949" s="23" t="n">
        <x:v>2.128751</x:v>
      </x:c>
      <x:c r="D1949" s="23" t="n">
        <x:v>-19.19311</x:v>
      </x:c>
      <x:c r="E1949" s="23" t="n">
        <x:f>'Parameters'!$B$2*'Parameters'!$B$3*LN(4*PI()*C1949^2)</x:f>
        <x:v>10.020180043817396</x:v>
      </x:c>
      <x:c r="F1949" s="23" t="n">
        <x:f>D1949+E1949</x:f>
        <x:v>-9.172929956182605</x:v>
      </x:c>
      <x:c r="G1949" s="23" t="n">
        <x:f>AVERAGE($F$1942:$F$1966)</x:f>
        <x:v>-9.161306428882424</x:v>
      </x:c>
      <x:c r="H1949" s="24" t="n">
        <x:f>F1949-G1949</x:f>
        <x:v>-0.01162352730018057</x:v>
      </x:c>
    </x:row>
    <x:row r="1950">
      <x:c r="A1950" s="2" t="str">
        <x:v>LiND-Hybrid</x:v>
      </x:c>
      <x:c r="B1950" s="4" t="str">
        <x:v>NaCl</x:v>
      </x:c>
      <x:c r="C1950" s="23" t="n">
        <x:v>2.140859</x:v>
      </x:c>
      <x:c r="D1950" s="23" t="n">
        <x:v>-19.32519</x:v>
      </x:c>
      <x:c r="E1950" s="23" t="n">
        <x:f>'Parameters'!$B$2*'Parameters'!$B$3*LN(4*PI()*C1950^2)</x:f>
        <x:v>10.04829998186925</x:v>
      </x:c>
      <x:c r="F1950" s="23" t="n">
        <x:f>D1950+E1950</x:f>
        <x:v>-9.276890018130748</x:v>
      </x:c>
      <x:c r="G1950" s="23" t="n">
        <x:f>AVERAGE($F$1942:$F$1966)</x:f>
        <x:v>-9.161306428882424</x:v>
      </x:c>
      <x:c r="H1950" s="24" t="n">
        <x:f>F1950-G1950</x:f>
        <x:v>-0.1155835892483239</x:v>
      </x:c>
    </x:row>
    <x:row r="1951">
      <x:c r="A1951" s="2" t="str">
        <x:v>LiND-Hybrid</x:v>
      </x:c>
      <x:c r="B1951" s="4" t="str">
        <x:v>NaCl</x:v>
      </x:c>
      <x:c r="C1951" s="23" t="n">
        <x:v>2.152967</x:v>
      </x:c>
      <x:c r="D1951" s="23" t="n">
        <x:v>-19.25973</x:v>
      </x:c>
      <x:c r="E1951" s="23" t="n">
        <x:f>'Parameters'!$B$2*'Parameters'!$B$3*LN(4*PI()*C1951^2)</x:f>
        <x:v>10.076261330346235</x:v>
      </x:c>
      <x:c r="F1951" s="23" t="n">
        <x:f>D1951+E1951</x:f>
        <x:v>-9.183468669653767</x:v>
      </x:c>
      <x:c r="G1951" s="23" t="n">
        <x:f>AVERAGE($F$1942:$F$1966)</x:f>
        <x:v>-9.161306428882424</x:v>
      </x:c>
      <x:c r="H1951" s="24" t="n">
        <x:f>F1951-G1951</x:f>
        <x:v>-0.022162240771342212</x:v>
      </x:c>
    </x:row>
    <x:row r="1952">
      <x:c r="A1952" s="2" t="str">
        <x:v>LiND-Hybrid</x:v>
      </x:c>
      <x:c r="B1952" s="4" t="str">
        <x:v>NaCl</x:v>
      </x:c>
      <x:c r="C1952" s="23" t="n">
        <x:v>2.165075</x:v>
      </x:c>
      <x:c r="D1952" s="23" t="n">
        <x:v>-19.39094</x:v>
      </x:c>
      <x:c r="E1952" s="23" t="n">
        <x:f>'Parameters'!$B$2*'Parameters'!$B$3*LN(4*PI()*C1952^2)</x:f>
        <x:v>10.10406586803397</x:v>
      </x:c>
      <x:c r="F1952" s="23" t="n">
        <x:f>D1952+E1952</x:f>
        <x:v>-9.28687413196603</x:v>
      </x:c>
      <x:c r="G1952" s="23" t="n">
        <x:f>AVERAGE($F$1942:$F$1966)</x:f>
        <x:v>-9.161306428882424</x:v>
      </x:c>
      <x:c r="H1952" s="24" t="n">
        <x:f>F1952-G1952</x:f>
        <x:v>-0.12556770308360576</x:v>
      </x:c>
    </x:row>
    <x:row r="1953">
      <x:c r="A1953" s="2" t="str">
        <x:v>LiND-Hybrid</x:v>
      </x:c>
      <x:c r="B1953" s="4" t="str">
        <x:v>NaCl</x:v>
      </x:c>
      <x:c r="C1953" s="23" t="n">
        <x:v>2.177183</x:v>
      </x:c>
      <x:c r="D1953" s="23" t="n">
        <x:v>-19.26155</x:v>
      </x:c>
      <x:c r="E1953" s="23" t="n">
        <x:f>'Parameters'!$B$2*'Parameters'!$B$3*LN(4*PI()*C1953^2)</x:f>
        <x:v>10.131715343957852</x:v>
      </x:c>
      <x:c r="F1953" s="23" t="n">
        <x:f>D1953+E1953</x:f>
        <x:v>-9.129834656042148</x:v>
      </x:c>
      <x:c r="G1953" s="23" t="n">
        <x:f>AVERAGE($F$1942:$F$1966)</x:f>
        <x:v>-9.161306428882424</x:v>
      </x:c>
      <x:c r="H1953" s="24" t="n">
        <x:f>F1953-G1953</x:f>
        <x:v>0.03147177284027691</x:v>
      </x:c>
    </x:row>
    <x:row r="1954">
      <x:c r="A1954" s="2" t="str">
        <x:v>LiND-Hybrid</x:v>
      </x:c>
      <x:c r="B1954" s="4" t="str">
        <x:v>NaCl</x:v>
      </x:c>
      <x:c r="C1954" s="23" t="n">
        <x:v>2.189291</x:v>
      </x:c>
      <x:c r="D1954" s="23" t="n">
        <x:v>-19.27247</x:v>
      </x:c>
      <x:c r="E1954" s="23" t="n">
        <x:f>'Parameters'!$B$2*'Parameters'!$B$3*LN(4*PI()*C1954^2)</x:f>
        <x:v>10.159211478043257</x:v>
      </x:c>
      <x:c r="F1954" s="23" t="n">
        <x:f>D1954+E1954</x:f>
        <x:v>-9.113258521956741</x:v>
      </x:c>
      <x:c r="G1954" s="23" t="n">
        <x:f>AVERAGE($F$1942:$F$1966)</x:f>
        <x:v>-9.161306428882424</x:v>
      </x:c>
      <x:c r="H1954" s="24" t="n">
        <x:f>F1954-G1954</x:f>
        <x:v>0.04804790692568339</x:v>
      </x:c>
    </x:row>
    <x:row r="1955">
      <x:c r="A1955" s="2" t="str">
        <x:v>LiND-Hybrid</x:v>
      </x:c>
      <x:c r="B1955" s="4" t="str">
        <x:v>NaCl</x:v>
      </x:c>
      <x:c r="C1955" s="23" t="n">
        <x:v>2.201399</x:v>
      </x:c>
      <x:c r="D1955" s="23" t="n">
        <x:v>-19.27494</x:v>
      </x:c>
      <x:c r="E1955" s="23" t="n">
        <x:f>'Parameters'!$B$2*'Parameters'!$B$3*LN(4*PI()*C1955^2)</x:f>
        <x:v>10.186555961757518</x:v>
      </x:c>
      <x:c r="F1955" s="23" t="n">
        <x:f>D1955+E1955</x:f>
        <x:v>-9.088384038242483</x:v>
      </x:c>
      <x:c r="G1955" s="23" t="n">
        <x:f>AVERAGE($F$1942:$F$1966)</x:f>
        <x:v>-9.161306428882424</x:v>
      </x:c>
      <x:c r="H1955" s="24" t="n">
        <x:f>F1955-G1955</x:f>
        <x:v>0.07292239063994188</x:v>
      </x:c>
    </x:row>
    <x:row r="1956">
      <x:c r="A1956" s="2" t="str">
        <x:v>LiND-Hybrid</x:v>
      </x:c>
      <x:c r="B1956" s="4" t="str">
        <x:v>NaCl</x:v>
      </x:c>
      <x:c r="C1956" s="23" t="n">
        <x:v>2.213507</x:v>
      </x:c>
      <x:c r="D1956" s="23" t="n">
        <x:v>-19.33371</x:v>
      </x:c>
      <x:c r="E1956" s="23" t="n">
        <x:f>'Parameters'!$B$2*'Parameters'!$B$3*LN(4*PI()*C1956^2)</x:f>
        <x:v>10.213750458734314</x:v>
      </x:c>
      <x:c r="F1956" s="23" t="n">
        <x:f>D1956+E1956</x:f>
        <x:v>-9.119959541265686</x:v>
      </x:c>
      <x:c r="G1956" s="23" t="n">
        <x:f>AVERAGE($F$1942:$F$1966)</x:f>
        <x:v>-9.161306428882424</x:v>
      </x:c>
      <x:c r="H1956" s="24" t="n">
        <x:f>F1956-G1956</x:f>
        <x:v>0.041346887616738215</x:v>
      </x:c>
    </x:row>
    <x:row r="1957">
      <x:c r="A1957" s="2" t="str">
        <x:v>LiND-Hybrid</x:v>
      </x:c>
      <x:c r="B1957" s="4" t="str">
        <x:v>NaCl</x:v>
      </x:c>
      <x:c r="C1957" s="23" t="n">
        <x:v>2.225615</x:v>
      </x:c>
      <x:c r="D1957" s="23" t="n">
        <x:v>-19.4026</x:v>
      </x:c>
      <x:c r="E1957" s="23" t="n">
        <x:f>'Parameters'!$B$2*'Parameters'!$B$3*LN(4*PI()*C1957^2)</x:f>
        <x:v>10.24079660538103</x:v>
      </x:c>
      <x:c r="F1957" s="23" t="n">
        <x:f>D1957+E1957</x:f>
        <x:v>-9.16180339461897</x:v>
      </x:c>
      <x:c r="G1957" s="23" t="n">
        <x:f>AVERAGE($F$1942:$F$1966)</x:f>
        <x:v>-9.161306428882424</x:v>
      </x:c>
      <x:c r="H1957" s="24" t="n">
        <x:f>F1957-G1957</x:f>
        <x:v>-0.0004969657365450075</x:v>
      </x:c>
    </x:row>
    <x:row r="1958">
      <x:c r="A1958" s="2" t="str">
        <x:v>LiND-Hybrid</x:v>
      </x:c>
      <x:c r="B1958" s="4" t="str">
        <x:v>NaCl</x:v>
      </x:c>
      <x:c r="C1958" s="23" t="n">
        <x:v>2.237723</x:v>
      </x:c>
      <x:c r="D1958" s="23" t="n">
        <x:v>-19.40041</x:v>
      </x:c>
      <x:c r="E1958" s="23" t="n">
        <x:f>'Parameters'!$B$2*'Parameters'!$B$3*LN(4*PI()*C1958^2)</x:f>
        <x:v>10.267696011469623</x:v>
      </x:c>
      <x:c r="F1958" s="23" t="n">
        <x:f>D1958+E1958</x:f>
        <x:v>-9.132713988530378</x:v>
      </x:c>
      <x:c r="G1958" s="23" t="n">
        <x:f>AVERAGE($F$1942:$F$1966)</x:f>
        <x:v>-9.161306428882424</x:v>
      </x:c>
      <x:c r="H1958" s="24" t="n">
        <x:f>F1958-G1958</x:f>
        <x:v>0.02859244035204611</x:v>
      </x:c>
    </x:row>
    <x:row r="1959">
      <x:c r="A1959" s="2" t="str">
        <x:v>LiND-Hybrid</x:v>
      </x:c>
      <x:c r="B1959" s="4" t="str">
        <x:v>NaCl</x:v>
      </x:c>
      <x:c r="C1959" s="23" t="n">
        <x:v>2.24983</x:v>
      </x:c>
      <x:c r="D1959" s="23" t="n">
        <x:v>-19.52706</x:v>
      </x:c>
      <x:c r="E1959" s="23" t="n">
        <x:f>'Parameters'!$B$2*'Parameters'!$B$3*LN(4*PI()*C1959^2)</x:f>
        <x:v>10.29444805702819</x:v>
      </x:c>
      <x:c r="F1959" s="23" t="n">
        <x:f>D1959+E1959</x:f>
        <x:v>-9.23261194297181</x:v>
      </x:c>
      <x:c r="G1959" s="23" t="n">
        <x:f>AVERAGE($F$1942:$F$1966)</x:f>
        <x:v>-9.161306428882424</x:v>
      </x:c>
      <x:c r="H1959" s="24" t="n">
        <x:f>F1959-G1959</x:f>
        <x:v>-0.07130551408938501</x:v>
      </x:c>
    </x:row>
    <x:row r="1960">
      <x:c r="A1960" s="2" t="str">
        <x:v>LiND-Hybrid</x:v>
      </x:c>
      <x:c r="B1960" s="4" t="str">
        <x:v>NaCl</x:v>
      </x:c>
      <x:c r="C1960" s="23" t="n">
        <x:v>2.261938</x:v>
      </x:c>
      <x:c r="D1960" s="23" t="n">
        <x:v>-19.51501</x:v>
      </x:c>
      <x:c r="E1960" s="23" t="n">
        <x:f>'Parameters'!$B$2*'Parameters'!$B$3*LN(4*PI()*C1960^2)</x:f>
        <x:v>10.321058719430116</x:v>
      </x:c>
      <x:c r="F1960" s="23" t="n">
        <x:f>D1960+E1960</x:f>
        <x:v>-9.193951280569884</x:v>
      </x:c>
      <x:c r="G1960" s="23" t="n">
        <x:f>AVERAGE($F$1942:$F$1966)</x:f>
        <x:v>-9.161306428882424</x:v>
      </x:c>
      <x:c r="H1960" s="24" t="n">
        <x:f>F1960-G1960</x:f>
        <x:v>-0.032644851687459564</x:v>
      </x:c>
    </x:row>
    <x:row r="1961">
      <x:c r="A1961" s="2" t="str">
        <x:v>LiND-Hybrid</x:v>
      </x:c>
      <x:c r="B1961" s="4" t="str">
        <x:v>NaCl</x:v>
      </x:c>
      <x:c r="C1961" s="23" t="n">
        <x:v>2.274046</x:v>
      </x:c>
      <x:c r="D1961" s="23" t="n">
        <x:v>-19.5671</x:v>
      </x:c>
      <x:c r="E1961" s="23" t="n">
        <x:f>'Parameters'!$B$2*'Parameters'!$B$3*LN(4*PI()*C1961^2)</x:f>
        <x:v>10.347527316324317</x:v>
      </x:c>
      <x:c r="F1961" s="23" t="n">
        <x:f>D1961+E1961</x:f>
        <x:v>-9.219572683675683</x:v>
      </x:c>
      <x:c r="G1961" s="23" t="n">
        <x:f>AVERAGE($F$1942:$F$1966)</x:f>
        <x:v>-9.161306428882424</x:v>
      </x:c>
      <x:c r="H1961" s="24" t="n">
        <x:f>F1961-G1961</x:f>
        <x:v>-0.0582662547932582</x:v>
      </x:c>
    </x:row>
    <x:row r="1962">
      <x:c r="A1962" s="2" t="str">
        <x:v>LiND-Hybrid</x:v>
      </x:c>
      <x:c r="B1962" s="4" t="str">
        <x:v>NaCl</x:v>
      </x:c>
      <x:c r="C1962" s="23" t="n">
        <x:v>2.286154</x:v>
      </x:c>
      <x:c r="D1962" s="23" t="n">
        <x:v>-19.63803</x:v>
      </x:c>
      <x:c r="E1962" s="23" t="n">
        <x:f>'Parameters'!$B$2*'Parameters'!$B$3*LN(4*PI()*C1962^2)</x:f>
        <x:v>10.373855356540545</x:v>
      </x:c>
      <x:c r="F1962" s="23" t="n">
        <x:f>D1962+E1962</x:f>
        <x:v>-9.264174643459455</x:v>
      </x:c>
      <x:c r="G1962" s="23" t="n">
        <x:f>AVERAGE($F$1942:$F$1966)</x:f>
        <x:v>-9.161306428882424</x:v>
      </x:c>
      <x:c r="H1962" s="24" t="n">
        <x:f>F1962-G1962</x:f>
        <x:v>-0.10286821457703077</x:v>
      </x:c>
    </x:row>
    <x:row r="1963">
      <x:c r="A1963" s="2" t="str">
        <x:v>LiND-Hybrid</x:v>
      </x:c>
      <x:c r="B1963" s="4" t="str">
        <x:v>NaCl</x:v>
      </x:c>
      <x:c r="C1963" s="23" t="n">
        <x:v>2.298262</x:v>
      </x:c>
      <x:c r="D1963" s="23" t="n">
        <x:v>-19.57216</x:v>
      </x:c>
      <x:c r="E1963" s="23" t="n">
        <x:f>'Parameters'!$B$2*'Parameters'!$B$3*LN(4*PI()*C1963^2)</x:f>
        <x:v>10.400044324998312</x:v>
      </x:c>
      <x:c r="F1963" s="23" t="n">
        <x:f>D1963+E1963</x:f>
        <x:v>-9.172115675001688</x:v>
      </x:c>
      <x:c r="G1963" s="23" t="n">
        <x:f>AVERAGE($F$1942:$F$1966)</x:f>
        <x:v>-9.161306428882424</x:v>
      </x:c>
      <x:c r="H1963" s="24" t="n">
        <x:f>F1963-G1963</x:f>
        <x:v>-0.010809246119263705</x:v>
      </x:c>
    </x:row>
    <x:row r="1964">
      <x:c r="A1964" s="2" t="str">
        <x:v>LiND-Hybrid</x:v>
      </x:c>
      <x:c r="B1964" s="4" t="str">
        <x:v>NaCl</x:v>
      </x:c>
      <x:c r="C1964" s="23" t="n">
        <x:v>2.31037</x:v>
      </x:c>
      <x:c r="D1964" s="23" t="n">
        <x:v>-19.43762</x:v>
      </x:c>
      <x:c r="E1964" s="23" t="n">
        <x:f>'Parameters'!$B$2*'Parameters'!$B$3*LN(4*PI()*C1964^2)</x:f>
        <x:v>10.426095683209436</x:v>
      </x:c>
      <x:c r="F1964" s="23" t="n">
        <x:f>D1964+E1964</x:f>
        <x:v>-9.011524316790563</x:v>
      </x:c>
      <x:c r="G1964" s="23" t="n">
        <x:f>AVERAGE($F$1942:$F$1966)</x:f>
        <x:v>-9.161306428882424</x:v>
      </x:c>
      <x:c r="H1964" s="24" t="n">
        <x:f>F1964-G1964</x:f>
        <x:v>0.1497821120918612</x:v>
      </x:c>
    </x:row>
    <x:row r="1965">
      <x:c r="A1965" s="2" t="str">
        <x:v>LiND-Hybrid</x:v>
      </x:c>
      <x:c r="B1965" s="4" t="str">
        <x:v>NaCl</x:v>
      </x:c>
      <x:c r="C1965" s="23" t="n">
        <x:v>2.322478</x:v>
      </x:c>
      <x:c r="D1965" s="23" t="n">
        <x:v>-19.5276</x:v>
      </x:c>
      <x:c r="E1965" s="23" t="n">
        <x:f>'Parameters'!$B$2*'Parameters'!$B$3*LN(4*PI()*C1965^2)</x:f>
        <x:v>10.452010869767465</x:v>
      </x:c>
      <x:c r="F1965" s="23" t="n">
        <x:f>D1965+E1965</x:f>
        <x:v>-9.075589130232535</x:v>
      </x:c>
      <x:c r="G1965" s="23" t="n">
        <x:f>AVERAGE($F$1942:$F$1966)</x:f>
        <x:v>-9.161306428882424</x:v>
      </x:c>
      <x:c r="H1965" s="24" t="n">
        <x:f>F1965-G1965</x:f>
        <x:v>0.08571729864988953</x:v>
      </x:c>
    </x:row>
    <x:row r="1966">
      <x:c r="A1966" s="2" t="str">
        <x:v>LiND-Hybrid</x:v>
      </x:c>
      <x:c r="B1966" s="4" t="str">
        <x:v>NaCl</x:v>
      </x:c>
      <x:c r="C1966" s="23" t="n">
        <x:v>2.334586</x:v>
      </x:c>
      <x:c r="D1966" s="23" t="n">
        <x:v>-19.55445</x:v>
      </x:c>
      <x:c r="E1966" s="23" t="n">
        <x:f>'Parameters'!$B$2*'Parameters'!$B$3*LN(4*PI()*C1966^2)</x:f>
        <x:v>10.477791300824357</x:v>
      </x:c>
      <x:c r="F1966" s="23" t="n">
        <x:f>D1966+E1966</x:f>
        <x:v>-9.076658699175642</x:v>
      </x:c>
      <x:c r="G1966" s="23" t="n">
        <x:f>AVERAGE($F$1942:$F$1966)</x:f>
        <x:v>-9.161306428882424</x:v>
      </x:c>
      <x:c r="H1966" s="24" t="n">
        <x:f>F1966-G1966</x:f>
        <x:v>0.08464772970678247</x:v>
      </x:c>
    </x:row>
    <x:row r="1967">
      <x:c r="A1967" s="2" t="str">
        <x:v>LiND-Hybrid</x:v>
      </x:c>
      <x:c r="B1967" s="4" t="str">
        <x:v>NaCl</x:v>
      </x:c>
      <x:c r="C1967" s="23" t="n">
        <x:v>2.346694</x:v>
      </x:c>
      <x:c r="D1967" s="23" t="n">
        <x:v>-19.59297</x:v>
      </x:c>
      <x:c r="E1967" s="23" t="n">
        <x:f>'Parameters'!$B$2*'Parameters'!$B$3*LN(4*PI()*C1967^2)</x:f>
        <x:v>10.503438370554852</x:v>
      </x:c>
      <x:c r="F1967" s="23" t="n">
        <x:f>D1967+E1967</x:f>
        <x:v>-9.08953162944515</x:v>
      </x:c>
      <x:c r="G1967" s="23" t="n">
        <x:f>AVERAGE($F$1942:$F$1966)</x:f>
        <x:v>-9.161306428882424</x:v>
      </x:c>
      <x:c r="H1967" s="24" t="n">
        <x:f>F1967-G1967</x:f>
        <x:v>0.07177479943727505</x:v>
      </x:c>
    </x:row>
    <x:row r="1968">
      <x:c r="A1968" s="2" t="str">
        <x:v>LiND-Hybrid</x:v>
      </x:c>
      <x:c r="B1968" s="4" t="str">
        <x:v>NaCl</x:v>
      </x:c>
      <x:c r="C1968" s="23" t="n">
        <x:v>2.358802</x:v>
      </x:c>
      <x:c r="D1968" s="23" t="n">
        <x:v>-19.64462</x:v>
      </x:c>
      <x:c r="E1968" s="23" t="n">
        <x:f>'Parameters'!$B$2*'Parameters'!$B$3*LN(4*PI()*C1968^2)</x:f>
        <x:v>10.52895345160888</x:v>
      </x:c>
      <x:c r="F1968" s="23" t="n">
        <x:f>D1968+E1968</x:f>
        <x:v>-9.11566654839112</x:v>
      </x:c>
      <x:c r="G1968" s="23" t="n">
        <x:f>AVERAGE($F$1942:$F$1966)</x:f>
        <x:v>-9.161306428882424</x:v>
      </x:c>
      <x:c r="H1968" s="24" t="n">
        <x:f>F1968-G1968</x:f>
        <x:v>0.0456398804913043</x:v>
      </x:c>
    </x:row>
    <x:row r="1969">
      <x:c r="A1969" s="2" t="str">
        <x:v>LiND-Hybrid</x:v>
      </x:c>
      <x:c r="B1969" s="4" t="str">
        <x:v>NaCl</x:v>
      </x:c>
      <x:c r="C1969" s="23" t="n">
        <x:v>2.37091</x:v>
      </x:c>
      <x:c r="D1969" s="23" t="n">
        <x:v>-19.64377</x:v>
      </x:c>
      <x:c r="E1969" s="23" t="n">
        <x:f>'Parameters'!$B$2*'Parameters'!$B$3*LN(4*PI()*C1969^2)</x:f>
        <x:v>10.554337895552388</x:v>
      </x:c>
      <x:c r="F1969" s="23" t="n">
        <x:f>D1969+E1969</x:f>
        <x:v>-9.089432104447612</x:v>
      </x:c>
      <x:c r="G1969" s="23" t="n">
        <x:f>AVERAGE($F$1942:$F$1966)</x:f>
        <x:v>-9.161306428882424</x:v>
      </x:c>
      <x:c r="H1969" s="24" t="n">
        <x:f>F1969-G1969</x:f>
        <x:v>0.07187432443481256</x:v>
      </x:c>
    </x:row>
    <x:row r="1970">
      <x:c r="A1970" s="2" t="str">
        <x:v>LiND-Hybrid</x:v>
      </x:c>
      <x:c r="B1970" s="4" t="str">
        <x:v>NaCl</x:v>
      </x:c>
      <x:c r="C1970" s="23" t="n">
        <x:v>2.383018</x:v>
      </x:c>
      <x:c r="D1970" s="23" t="n">
        <x:v>-19.59395</x:v>
      </x:c>
      <x:c r="E1970" s="23" t="n">
        <x:f>'Parameters'!$B$2*'Parameters'!$B$3*LN(4*PI()*C1970^2)</x:f>
        <x:v>10.579593033296952</x:v>
      </x:c>
      <x:c r="F1970" s="23" t="n">
        <x:f>D1970+E1970</x:f>
        <x:v>-9.014356966703048</x:v>
      </x:c>
      <x:c r="G1970" s="23" t="n">
        <x:f>AVERAGE($F$1942:$F$1966)</x:f>
        <x:v>-9.161306428882424</x:v>
      </x:c>
      <x:c r="H1970" s="24" t="n">
        <x:f>F1970-G1970</x:f>
        <x:v>0.14694946217937677</x:v>
      </x:c>
    </x:row>
    <x:row r="1971">
      <x:c r="A1971" s="2" t="str">
        <x:v>LiND-Hybrid</x:v>
      </x:c>
      <x:c r="B1971" s="4" t="str">
        <x:v>NaCl</x:v>
      </x:c>
      <x:c r="C1971" s="23" t="n">
        <x:v>2.395125</x:v>
      </x:c>
      <x:c r="D1971" s="23" t="n">
        <x:v>-19.62683</x:v>
      </x:c>
      <x:c r="E1971" s="23" t="n">
        <x:f>'Parameters'!$B$2*'Parameters'!$B$3*LN(4*PI()*C1971^2)</x:f>
        <x:v>10.604718105516694</x:v>
      </x:c>
      <x:c r="F1971" s="23" t="n">
        <x:f>D1971+E1971</x:f>
        <x:v>-9.022111894483308</x:v>
      </x:c>
      <x:c r="G1971" s="23" t="n">
        <x:f>AVERAGE($F$1942:$F$1966)</x:f>
        <x:v>-9.161306428882424</x:v>
      </x:c>
      <x:c r="H1971" s="24" t="n">
        <x:f>F1971-G1971</x:f>
        <x:v>0.13919453439911678</x:v>
      </x:c>
    </x:row>
    <x:row r="1972">
      <x:c r="A1972" s="2" t="str">
        <x:v>LiND-Hybrid</x:v>
      </x:c>
      <x:c r="B1972" s="4" t="str">
        <x:v>NaCl</x:v>
      </x:c>
      <x:c r="C1972" s="23" t="n">
        <x:v>2.407233</x:v>
      </x:c>
      <x:c r="D1972" s="23" t="n">
        <x:v>-19.80897</x:v>
      </x:c>
      <x:c r="E1972" s="23" t="n">
        <x:f>'Parameters'!$B$2*'Parameters'!$B$3*LN(4*PI()*C1972^2)</x:f>
        <x:v>10.62971855347538</x:v>
      </x:c>
      <x:c r="F1972" s="23" t="n">
        <x:f>D1972+E1972</x:f>
        <x:v>-9.179251446524619</x:v>
      </x:c>
      <x:c r="G1972" s="23" t="n">
        <x:f>AVERAGE($F$1942:$F$1966)</x:f>
        <x:v>-9.161306428882424</x:v>
      </x:c>
      <x:c r="H1972" s="24" t="n">
        <x:f>F1972-G1972</x:f>
        <x:v>-0.017945017642194472</x:v>
      </x:c>
    </x:row>
    <x:row r="1973">
      <x:c r="A1973" s="2" t="str">
        <x:v>LiND-Hybrid</x:v>
      </x:c>
      <x:c r="B1973" s="4" t="str">
        <x:v>NaCl</x:v>
      </x:c>
      <x:c r="C1973" s="23" t="n">
        <x:v>2.419341</x:v>
      </x:c>
      <x:c r="D1973" s="23" t="n">
        <x:v>-19.87789</x:v>
      </x:c>
      <x:c r="E1973" s="23" t="n">
        <x:f>'Parameters'!$B$2*'Parameters'!$B$3*LN(4*PI()*C1973^2)</x:f>
        <x:v>10.654593568074057</x:v>
      </x:c>
      <x:c r="F1973" s="23" t="n">
        <x:f>D1973+E1973</x:f>
        <x:v>-9.223296431925943</x:v>
      </x:c>
      <x:c r="G1973" s="23" t="n">
        <x:f>AVERAGE($F$1942:$F$1966)</x:f>
        <x:v>-9.161306428882424</x:v>
      </x:c>
      <x:c r="H1973" s="24" t="n">
        <x:f>F1973-G1973</x:f>
        <x:v>-0.06199000304351898</x:v>
      </x:c>
    </x:row>
    <x:row r="1974">
      <x:c r="A1974" s="2" t="str">
        <x:v>LiND-Hybrid</x:v>
      </x:c>
      <x:c r="B1974" s="4" t="str">
        <x:v>NaCl</x:v>
      </x:c>
      <x:c r="C1974" s="23" t="n">
        <x:v>2.431449</x:v>
      </x:c>
      <x:c r="D1974" s="23" t="n">
        <x:v>-20.00227</x:v>
      </x:c>
      <x:c r="E1974" s="23" t="n">
        <x:f>'Parameters'!$B$2*'Parameters'!$B$3*LN(4*PI()*C1974^2)</x:f>
        <x:v>10.679344401691523</x:v>
      </x:c>
      <x:c r="F1974" s="23" t="n">
        <x:f>D1974+E1974</x:f>
        <x:v>-9.322925598308476</x:v>
      </x:c>
      <x:c r="G1974" s="23" t="n">
        <x:f>AVERAGE($F$1942:$F$1966)</x:f>
        <x:v>-9.161306428882424</x:v>
      </x:c>
      <x:c r="H1974" s="24" t="n">
        <x:f>F1974-G1974</x:f>
        <x:v>-0.1616191694260518</x:v>
      </x:c>
    </x:row>
    <x:row r="1975">
      <x:c r="A1975" s="2" t="str">
        <x:v>LiND-Hybrid</x:v>
      </x:c>
      <x:c r="B1975" s="4" t="str">
        <x:v>NaCl</x:v>
      </x:c>
      <x:c r="C1975" s="23" t="n">
        <x:v>2.443557</x:v>
      </x:c>
      <x:c r="D1975" s="23" t="n">
        <x:v>-20.09753</x:v>
      </x:c>
      <x:c r="E1975" s="23" t="n">
        <x:f>'Parameters'!$B$2*'Parameters'!$B$3*LN(4*PI()*C1975^2)</x:f>
        <x:v>10.703972288043298</x:v>
      </x:c>
      <x:c r="F1975" s="23" t="n">
        <x:f>D1975+E1975</x:f>
        <x:v>-9.393557711956701</x:v>
      </x:c>
      <x:c r="G1975" s="23" t="n">
        <x:f>AVERAGE($F$1942:$F$1966)</x:f>
        <x:v>-9.161306428882424</x:v>
      </x:c>
      <x:c r="H1975" s="24" t="n">
        <x:f>F1975-G1975</x:f>
        <x:v>-0.23225128307427667</x:v>
      </x:c>
    </x:row>
    <x:row r="1976">
      <x:c r="A1976" s="2" t="str">
        <x:v>LiND-Hybrid</x:v>
      </x:c>
      <x:c r="B1976" s="4" t="str">
        <x:v>NaCl</x:v>
      </x:c>
      <x:c r="C1976" s="23" t="n">
        <x:v>2.455665</x:v>
      </x:c>
      <x:c r="D1976" s="23" t="n">
        <x:v>-20.07168</x:v>
      </x:c>
      <x:c r="E1976" s="23" t="n">
        <x:f>'Parameters'!$B$2*'Parameters'!$B$3*LN(4*PI()*C1976^2)</x:f>
        <x:v>10.728478442550633</x:v>
      </x:c>
      <x:c r="F1976" s="23" t="n">
        <x:f>D1976+E1976</x:f>
        <x:v>-9.343201557449367</x:v>
      </x:c>
      <x:c r="G1976" s="23" t="n">
        <x:f>AVERAGE($F$1942:$F$1966)</x:f>
        <x:v>-9.161306428882424</x:v>
      </x:c>
      <x:c r="H1976" s="24" t="n">
        <x:f>F1976-G1976</x:f>
        <x:v>-0.1818951285669428</x:v>
      </x:c>
    </x:row>
    <x:row r="1977">
      <x:c r="A1977" s="2" t="str">
        <x:v>LiND-Hybrid</x:v>
      </x:c>
      <x:c r="B1977" s="4" t="str">
        <x:v>NaCl</x:v>
      </x:c>
      <x:c r="C1977" s="23" t="n">
        <x:v>2.467773</x:v>
      </x:c>
      <x:c r="D1977" s="23" t="n">
        <x:v>-20.04452</x:v>
      </x:c>
      <x:c r="E1977" s="23" t="n">
        <x:f>'Parameters'!$B$2*'Parameters'!$B$3*LN(4*PI()*C1977^2)</x:f>
        <x:v>10.752864062700429</x:v>
      </x:c>
      <x:c r="F1977" s="23" t="n">
        <x:f>D1977+E1977</x:f>
        <x:v>-9.29165593729957</x:v>
      </x:c>
      <x:c r="G1977" s="23" t="n">
        <x:f>AVERAGE($F$1942:$F$1966)</x:f>
        <x:v>-9.161306428882424</x:v>
      </x:c>
      <x:c r="H1977" s="24" t="n">
        <x:f>F1977-G1977</x:f>
        <x:v>-0.13034950841714554</x:v>
      </x:c>
    </x:row>
    <x:row r="1978">
      <x:c r="A1978" s="2" t="str">
        <x:v>LiND-Hybrid</x:v>
      </x:c>
      <x:c r="B1978" s="4" t="str">
        <x:v>NaCl</x:v>
      </x:c>
      <x:c r="C1978" s="23" t="n">
        <x:v>2.479881</x:v>
      </x:c>
      <x:c r="D1978" s="23" t="n">
        <x:v>-20.12162</x:v>
      </x:c>
      <x:c r="E1978" s="23" t="n">
        <x:f>'Parameters'!$B$2*'Parameters'!$B$3*LN(4*PI()*C1978^2)</x:f>
        <x:v>10.777130328396362</x:v>
      </x:c>
      <x:c r="F1978" s="23" t="n">
        <x:f>D1978+E1978</x:f>
        <x:v>-9.344489671603638</x:v>
      </x:c>
      <x:c r="G1978" s="23" t="n">
        <x:f>AVERAGE($F$1942:$F$1966)</x:f>
        <x:v>-9.161306428882424</x:v>
      </x:c>
      <x:c r="H1978" s="24" t="n">
        <x:f>F1978-G1978</x:f>
        <x:v>-0.18318324272121345</x:v>
      </x:c>
    </x:row>
    <x:row r="1979">
      <x:c r="A1979" s="2" t="str">
        <x:v>LiND-Hybrid</x:v>
      </x:c>
      <x:c r="B1979" s="4" t="str">
        <x:v>NaCl</x:v>
      </x:c>
      <x:c r="C1979" s="23" t="n">
        <x:v>2.491989</x:v>
      </x:c>
      <x:c r="D1979" s="23" t="n">
        <x:v>-20.17985</x:v>
      </x:c>
      <x:c r="E1979" s="23" t="n">
        <x:f>'Parameters'!$B$2*'Parameters'!$B$3*LN(4*PI()*C1979^2)</x:f>
        <x:v>10.801278402301447</x:v>
      </x:c>
      <x:c r="F1979" s="23" t="n">
        <x:f>D1979+E1979</x:f>
        <x:v>-9.378571597698551</x:v>
      </x:c>
      <x:c r="G1979" s="23" t="n">
        <x:f>AVERAGE($F$1942:$F$1966)</x:f>
        <x:v>-9.161306428882424</x:v>
      </x:c>
      <x:c r="H1979" s="24" t="n">
        <x:f>F1979-G1979</x:f>
        <x:v>-0.21726516881612667</x:v>
      </x:c>
    </x:row>
    <x:row r="1980">
      <x:c r="A1980" s="2" t="str">
        <x:v>LiND-Hybrid</x:v>
      </x:c>
      <x:c r="B1980" s="4" t="str">
        <x:v>NaCl</x:v>
      </x:c>
      <x:c r="C1980" s="23" t="n">
        <x:v>2.504097</x:v>
      </x:c>
      <x:c r="D1980" s="23" t="n">
        <x:v>-20.11947</x:v>
      </x:c>
      <x:c r="E1980" s="23" t="n">
        <x:f>'Parameters'!$B$2*'Parameters'!$B$3*LN(4*PI()*C1980^2)</x:f>
        <x:v>10.8253094301723</x:v>
      </x:c>
      <x:c r="F1980" s="23" t="n">
        <x:f>D1980+E1980</x:f>
        <x:v>-9.2941605698277</x:v>
      </x:c>
      <x:c r="G1980" s="23" t="n">
        <x:f>AVERAGE($F$1942:$F$1966)</x:f>
        <x:v>-9.161306428882424</x:v>
      </x:c>
      <x:c r="H1980" s="24" t="n">
        <x:f>F1980-G1980</x:f>
        <x:v>-0.13285414094527503</x:v>
      </x:c>
    </x:row>
    <x:row r="1981">
      <x:c r="A1981" s="2" t="str">
        <x:v>LiND-Hybrid</x:v>
      </x:c>
      <x:c r="B1981" s="4" t="str">
        <x:v>NaCl</x:v>
      </x:c>
      <x:c r="C1981" s="23" t="n">
        <x:v>2.516205</x:v>
      </x:c>
      <x:c r="D1981" s="23" t="n">
        <x:v>-20.11722</x:v>
      </x:c>
      <x:c r="E1981" s="23" t="n">
        <x:f>'Parameters'!$B$2*'Parameters'!$B$3*LN(4*PI()*C1981^2)</x:f>
        <x:v>10.84922454118535</x:v>
      </x:c>
      <x:c r="F1981" s="23" t="n">
        <x:f>D1981+E1981</x:f>
        <x:v>-9.26799545881465</x:v>
      </x:c>
      <x:c r="G1981" s="23" t="n">
        <x:f>AVERAGE($F$1942:$F$1966)</x:f>
        <x:v>-9.161306428882424</x:v>
      </x:c>
      <x:c r="H1981" s="24" t="n">
        <x:f>F1981-G1981</x:f>
        <x:v>-0.10668902993222495</x:v>
      </x:c>
    </x:row>
    <x:row r="1982">
      <x:c r="A1982" s="2" t="str">
        <x:v>LiND-Hybrid</x:v>
      </x:c>
      <x:c r="B1982" s="4" t="str">
        <x:v>NaCl</x:v>
      </x:c>
      <x:c r="C1982" s="23" t="n">
        <x:v>2.528313</x:v>
      </x:c>
      <x:c r="D1982" s="23" t="n">
        <x:v>-20.26202</x:v>
      </x:c>
      <x:c r="E1982" s="23" t="n">
        <x:f>'Parameters'!$B$2*'Parameters'!$B$3*LN(4*PI()*C1982^2)</x:f>
        <x:v>10.873024848255199</x:v>
      </x:c>
      <x:c r="F1982" s="23" t="n">
        <x:f>D1982+E1982</x:f>
        <x:v>-9.388995151744801</x:v>
      </x:c>
      <x:c r="G1982" s="23" t="n">
        <x:f>AVERAGE($F$1942:$F$1966)</x:f>
        <x:v>-9.161306428882424</x:v>
      </x:c>
      <x:c r="H1982" s="24" t="n">
        <x:f>F1982-G1982</x:f>
        <x:v>-0.22768872286237674</x:v>
      </x:c>
    </x:row>
    <x:row r="1983">
      <x:c r="A1983" s="2" t="str">
        <x:v>LiND-Hybrid</x:v>
      </x:c>
      <x:c r="B1983" s="4" t="str">
        <x:v>NaCl</x:v>
      </x:c>
      <x:c r="C1983" s="23" t="n">
        <x:v>2.54042</x:v>
      </x:c>
      <x:c r="D1983" s="23" t="n">
        <x:v>-20.2805</x:v>
      </x:c>
      <x:c r="E1983" s="23" t="n">
        <x:f>'Parameters'!$B$2*'Parameters'!$B$3*LN(4*PI()*C1983^2)</x:f>
        <x:v>10.896709496733823</x:v>
      </x:c>
      <x:c r="F1983" s="23" t="n">
        <x:f>D1983+E1983</x:f>
        <x:v>-9.383790503266177</x:v>
      </x:c>
      <x:c r="G1983" s="23" t="n">
        <x:f>AVERAGE($F$1942:$F$1966)</x:f>
        <x:v>-9.161306428882424</x:v>
      </x:c>
      <x:c r="H1983" s="24" t="n">
        <x:f>F1983-G1983</x:f>
        <x:v>-0.22248407438375217</x:v>
      </x:c>
    </x:row>
    <x:row r="1984">
      <x:c r="A1984" s="2" t="str">
        <x:v>LiND-Hybrid</x:v>
      </x:c>
      <x:c r="B1984" s="4" t="str">
        <x:v>NaCl</x:v>
      </x:c>
      <x:c r="C1984" s="23" t="n">
        <x:v>2.552528</x:v>
      </x:c>
      <x:c r="D1984" s="23" t="n">
        <x:v>-20.3543</x:v>
      </x:c>
      <x:c r="E1984" s="23" t="n">
        <x:f>'Parameters'!$B$2*'Parameters'!$B$3*LN(4*PI()*C1984^2)</x:f>
        <x:v>10.920283480417789</x:v>
      </x:c>
      <x:c r="F1984" s="23" t="n">
        <x:f>D1984+E1984</x:f>
        <x:v>-9.43401651958221</x:v>
      </x:c>
      <x:c r="G1984" s="23" t="n">
        <x:f>AVERAGE($F$1942:$F$1966)</x:f>
        <x:v>-9.161306428882424</x:v>
      </x:c>
      <x:c r="H1984" s="24" t="n">
        <x:f>F1984-G1984</x:f>
        <x:v>-0.27271009069978547</x:v>
      </x:c>
    </x:row>
    <x:row r="1985">
      <x:c r="A1985" s="2" t="str">
        <x:v>LiND-Hybrid</x:v>
      </x:c>
      <x:c r="B1985" s="4" t="str">
        <x:v>NaCl</x:v>
      </x:c>
      <x:c r="C1985" s="23" t="n">
        <x:v>2.564636</x:v>
      </x:c>
      <x:c r="D1985" s="23" t="n">
        <x:v>-20.42201</x:v>
      </x:c>
      <x:c r="E1985" s="23" t="n">
        <x:f>'Parameters'!$B$2*'Parameters'!$B$3*LN(4*PI()*C1985^2)</x:f>
        <x:v>10.943745904314985</x:v>
      </x:c>
      <x:c r="F1985" s="23" t="n">
        <x:f>D1985+E1985</x:f>
        <x:v>-9.478264095685015</x:v>
      </x:c>
      <x:c r="G1985" s="23" t="n">
        <x:f>AVERAGE($F$1942:$F$1966)</x:f>
        <x:v>-9.161306428882424</x:v>
      </x:c>
      <x:c r="H1985" s="24" t="n">
        <x:f>F1985-G1985</x:f>
        <x:v>-0.3169576668025904</x:v>
      </x:c>
    </x:row>
    <x:row r="1986">
      <x:c r="A1986" s="2" t="str">
        <x:v>LiND-Hybrid</x:v>
      </x:c>
      <x:c r="B1986" s="4" t="str">
        <x:v>NaCl</x:v>
      </x:c>
      <x:c r="C1986" s="23" t="n">
        <x:v>2.576744</x:v>
      </x:c>
      <x:c r="D1986" s="23" t="n">
        <x:v>-20.47656</x:v>
      </x:c>
      <x:c r="E1986" s="23" t="n">
        <x:f>'Parameters'!$B$2*'Parameters'!$B$3*LN(4*PI()*C1986^2)</x:f>
        <x:v>10.967097819328806</x:v>
      </x:c>
      <x:c r="F1986" s="23" t="n">
        <x:f>D1986+E1986</x:f>
        <x:v>-9.509462180671193</x:v>
      </x:c>
      <x:c r="G1986" s="23" t="n">
        <x:f>AVERAGE($F$1942:$F$1966)</x:f>
        <x:v>-9.161306428882424</x:v>
      </x:c>
      <x:c r="H1986" s="24" t="n">
        <x:f>F1986-G1986</x:f>
        <x:v>-0.34815575178876834</x:v>
      </x:c>
    </x:row>
    <x:row r="1987">
      <x:c r="A1987" s="2" t="str">
        <x:v>LiND-Hybrid</x:v>
      </x:c>
      <x:c r="B1987" s="4" t="str">
        <x:v>NaCl</x:v>
      </x:c>
      <x:c r="C1987" s="23" t="n">
        <x:v>2.588852</x:v>
      </x:c>
      <x:c r="D1987" s="23" t="n">
        <x:v>-20.56178</x:v>
      </x:c>
      <x:c r="E1987" s="23" t="n">
        <x:f>'Parameters'!$B$2*'Parameters'!$B$3*LN(4*PI()*C1987^2)</x:f>
        <x:v>10.990340261582828</x:v>
      </x:c>
      <x:c r="F1987" s="23" t="n">
        <x:f>D1987+E1987</x:f>
        <x:v>-9.57143973841717</x:v>
      </x:c>
      <x:c r="G1987" s="23" t="n">
        <x:f>AVERAGE($F$1942:$F$1966)</x:f>
        <x:v>-9.161306428882424</x:v>
      </x:c>
      <x:c r="H1987" s="24" t="n">
        <x:f>F1987-G1987</x:f>
        <x:v>-0.41013330953474636</x:v>
      </x:c>
    </x:row>
    <x:row r="1988">
      <x:c r="A1988" s="2" t="str">
        <x:v>LiND-Hybrid</x:v>
      </x:c>
      <x:c r="B1988" s="4" t="str">
        <x:v>NaCl</x:v>
      </x:c>
      <x:c r="C1988" s="23" t="n">
        <x:v>2.60096</x:v>
      </x:c>
      <x:c r="D1988" s="23" t="n">
        <x:v>-20.91381</x:v>
      </x:c>
      <x:c r="E1988" s="23" t="n">
        <x:f>'Parameters'!$B$2*'Parameters'!$B$3*LN(4*PI()*C1988^2)</x:f>
        <x:v>11.013474252696657</x:v>
      </x:c>
      <x:c r="F1988" s="23" t="n">
        <x:f>D1988+E1988</x:f>
        <x:v>-9.900335747303345</x:v>
      </x:c>
      <x:c r="G1988" s="23" t="n">
        <x:f>AVERAGE($F$1942:$F$1966)</x:f>
        <x:v>-9.161306428882424</x:v>
      </x:c>
      <x:c r="H1988" s="24" t="n">
        <x:f>F1988-G1988</x:f>
        <x:v>-0.7390293184209202</x:v>
      </x:c>
    </x:row>
    <x:row r="1989">
      <x:c r="A1989" s="2" t="str">
        <x:v>LiND-Hybrid</x:v>
      </x:c>
      <x:c r="B1989" s="4" t="str">
        <x:v>NaCl</x:v>
      </x:c>
      <x:c r="C1989" s="23" t="n">
        <x:v>2.613068</x:v>
      </x:c>
      <x:c r="D1989" s="23" t="n">
        <x:v>-20.6033</x:v>
      </x:c>
      <x:c r="E1989" s="23" t="n">
        <x:f>'Parameters'!$B$2*'Parameters'!$B$3*LN(4*PI()*C1989^2)</x:f>
        <x:v>11.036500800055382</x:v>
      </x:c>
      <x:c r="F1989" s="23" t="n">
        <x:f>D1989+E1989</x:f>
        <x:v>-9.566799199944619</x:v>
      </x:c>
      <x:c r="G1989" s="23" t="n">
        <x:f>AVERAGE($F$1942:$F$1966)</x:f>
        <x:v>-9.161306428882424</x:v>
      </x:c>
      <x:c r="H1989" s="24" t="n">
        <x:f>F1989-G1989</x:f>
        <x:v>-0.4054927710621943</x:v>
      </x:c>
    </x:row>
    <x:row r="1990">
      <x:c r="A1990" s="2" t="str">
        <x:v>LiND-Hybrid</x:v>
      </x:c>
      <x:c r="B1990" s="4" t="str">
        <x:v>NaCl</x:v>
      </x:c>
      <x:c r="C1990" s="23" t="n">
        <x:v>2.625176</x:v>
      </x:c>
      <x:c r="D1990" s="23" t="n">
        <x:v>-20.87085</x:v>
      </x:c>
      <x:c r="E1990" s="23" t="n">
        <x:f>'Parameters'!$B$2*'Parameters'!$B$3*LN(4*PI()*C1990^2)</x:f>
        <x:v>11.059420897072808</x:v>
      </x:c>
      <x:c r="F1990" s="23" t="n">
        <x:f>D1990+E1990</x:f>
        <x:v>-9.811429102927193</x:v>
      </x:c>
      <x:c r="G1990" s="23" t="n">
        <x:f>AVERAGE($F$1942:$F$1966)</x:f>
        <x:v>-9.161306428882424</x:v>
      </x:c>
      <x:c r="H1990" s="24" t="n">
        <x:f>F1990-G1990</x:f>
        <x:v>-0.6501226740447681</x:v>
      </x:c>
    </x:row>
    <x:row r="1991">
      <x:c r="A1991" s="2" t="str">
        <x:v>LiND-Hybrid</x:v>
      </x:c>
      <x:c r="B1991" s="4" t="str">
        <x:v>NaCl</x:v>
      </x:c>
      <x:c r="C1991" s="23" t="n">
        <x:v>2.637284</x:v>
      </x:c>
      <x:c r="D1991" s="23" t="n">
        <x:v>-20.85861</x:v>
      </x:c>
      <x:c r="E1991" s="23" t="n">
        <x:f>'Parameters'!$B$2*'Parameters'!$B$3*LN(4*PI()*C1991^2)</x:f>
        <x:v>11.082235523448606</x:v>
      </x:c>
      <x:c r="F1991" s="23" t="n">
        <x:f>D1991+E1991</x:f>
        <x:v>-9.776374476551393</x:v>
      </x:c>
      <x:c r="G1991" s="23" t="n">
        <x:f>AVERAGE($F$1942:$F$1966)</x:f>
        <x:v>-9.161306428882424</x:v>
      </x:c>
      <x:c r="H1991" s="24" t="n">
        <x:f>F1991-G1991</x:f>
        <x:v>-0.6150680476689683</x:v>
      </x:c>
    </x:row>
    <x:row r="1992">
      <x:c r="A1992" s="2" t="str">
        <x:v>LiND-Hybrid</x:v>
      </x:c>
      <x:c r="B1992" s="4" t="str">
        <x:v>NaCl</x:v>
      </x:c>
      <x:c r="C1992" s="23" t="n">
        <x:v>2.649392</x:v>
      </x:c>
      <x:c r="D1992" s="23" t="n">
        <x:v>-20.86646</x:v>
      </x:c>
      <x:c r="E1992" s="23" t="n">
        <x:f>'Parameters'!$B$2*'Parameters'!$B$3*LN(4*PI()*C1992^2)</x:f>
        <x:v>11.104945645419605</x:v>
      </x:c>
      <x:c r="F1992" s="23" t="n">
        <x:f>D1992+E1992</x:f>
        <x:v>-9.761514354580395</x:v>
      </x:c>
      <x:c r="G1992" s="23" t="n">
        <x:f>AVERAGE($F$1942:$F$1966)</x:f>
        <x:v>-9.161306428882424</x:v>
      </x:c>
      <x:c r="H1992" s="24" t="n">
        <x:f>F1992-G1992</x:f>
        <x:v>-0.6002079256979709</x:v>
      </x:c>
    </x:row>
    <x:row r="1993">
      <x:c r="A1993" s="2" t="str">
        <x:v>LiND-Hybrid</x:v>
      </x:c>
      <x:c r="B1993" s="4" t="str">
        <x:v>NaCl</x:v>
      </x:c>
      <x:c r="C1993" s="23" t="n">
        <x:v>2.6615</x:v>
      </x:c>
      <x:c r="D1993" s="23" t="n">
        <x:v>-21.20454</x:v>
      </x:c>
      <x:c r="E1993" s="23" t="n">
        <x:f>'Parameters'!$B$2*'Parameters'!$B$3*LN(4*PI()*C1993^2)</x:f>
        <x:v>11.127552216005325</x:v>
      </x:c>
      <x:c r="F1993" s="23" t="n">
        <x:f>D1993+E1993</x:f>
        <x:v>-10.076987783994676</x:v>
      </x:c>
      <x:c r="G1993" s="23" t="n">
        <x:f>AVERAGE($F$1942:$F$1966)</x:f>
        <x:v>-9.161306428882424</x:v>
      </x:c>
      <x:c r="H1993" s="24" t="n">
        <x:f>F1993-G1993</x:f>
        <x:v>-0.9156813551122518</x:v>
      </x:c>
    </x:row>
    <x:row r="1994">
      <x:c r="A1994" s="2" t="str">
        <x:v>LiND-Hybrid</x:v>
      </x:c>
      <x:c r="B1994" s="4" t="str">
        <x:v>NaCl</x:v>
      </x:c>
      <x:c r="C1994" s="23" t="n">
        <x:v>2.673608</x:v>
      </x:c>
      <x:c r="D1994" s="23" t="n">
        <x:v>-21.00016</x:v>
      </x:c>
      <x:c r="E1994" s="23" t="n">
        <x:f>'Parameters'!$B$2*'Parameters'!$B$3*LN(4*PI()*C1994^2)</x:f>
        <x:v>11.150056175247965</x:v>
      </x:c>
      <x:c r="F1994" s="23" t="n">
        <x:f>D1994+E1994</x:f>
        <x:v>-9.850103824752036</x:v>
      </x:c>
      <x:c r="G1994" s="23" t="n">
        <x:f>AVERAGE($F$1942:$F$1966)</x:f>
        <x:v>-9.161306428882424</x:v>
      </x:c>
      <x:c r="H1994" s="24" t="n">
        <x:f>F1994-G1994</x:f>
        <x:v>-0.6887973958696119</x:v>
      </x:c>
    </x:row>
    <x:row r="1995">
      <x:c r="A1995" s="2" t="str">
        <x:v>LiND-Hybrid</x:v>
      </x:c>
      <x:c r="B1995" s="4" t="str">
        <x:v>NaCl</x:v>
      </x:c>
      <x:c r="C1995" s="23" t="n">
        <x:v>2.685715</x:v>
      </x:c>
      <x:c r="D1995" s="23" t="n">
        <x:v>-21.708</x:v>
      </x:c>
      <x:c r="E1995" s="23" t="n">
        <x:f>'Parameters'!$B$2*'Parameters'!$B$3*LN(4*PI()*C1995^2)</x:f>
        <x:v>11.17245660441595</x:v>
      </x:c>
      <x:c r="F1995" s="23" t="n">
        <x:f>D1995+E1995</x:f>
        <x:v>-10.535543395584048</x:v>
      </x:c>
      <x:c r="G1995" s="23" t="n">
        <x:f>AVERAGE($F$1942:$F$1966)</x:f>
        <x:v>-9.161306428882424</x:v>
      </x:c>
      <x:c r="H1995" s="24" t="n">
        <x:f>F1995-G1995</x:f>
        <x:v>-1.3742369667016234</x:v>
      </x:c>
    </x:row>
    <x:row r="1996">
      <x:c r="A1996" s="2" t="str">
        <x:v>LiND-Hybrid</x:v>
      </x:c>
      <x:c r="B1996" s="4" t="str">
        <x:v>NaCl</x:v>
      </x:c>
      <x:c r="C1996" s="23" t="n">
        <x:v>2.697823</x:v>
      </x:c>
      <x:c r="D1996" s="23" t="n">
        <x:v>-21.62027</x:v>
      </x:c>
      <x:c r="E1996" s="23" t="n">
        <x:f>'Parameters'!$B$2*'Parameters'!$B$3*LN(4*PI()*C1996^2)</x:f>
        <x:v>11.194758118642298</x:v>
      </x:c>
      <x:c r="F1996" s="23" t="n">
        <x:f>D1996+E1996</x:f>
        <x:v>-10.425511881357703</x:v>
      </x:c>
      <x:c r="G1996" s="23" t="n">
        <x:f>AVERAGE($F$1942:$F$1966)</x:f>
        <x:v>-9.161306428882424</x:v>
      </x:c>
      <x:c r="H1996" s="24" t="n">
        <x:f>F1996-G1996</x:f>
        <x:v>-1.264205452475279</x:v>
      </x:c>
    </x:row>
    <x:row r="1997">
      <x:c r="A1997" s="2" t="str">
        <x:v>LiND-Hybrid</x:v>
      </x:c>
      <x:c r="B1997" s="4" t="str">
        <x:v>NaCl</x:v>
      </x:c>
      <x:c r="C1997" s="23" t="n">
        <x:v>2.709931</x:v>
      </x:c>
      <x:c r="D1997" s="23" t="n">
        <x:v>-21.56952</x:v>
      </x:c>
      <x:c r="E1997" s="23" t="n">
        <x:f>'Parameters'!$B$2*'Parameters'!$B$3*LN(4*PI()*C1997^2)</x:f>
        <x:v>11.216959766033453</x:v>
      </x:c>
      <x:c r="F1997" s="23" t="n">
        <x:f>D1997+E1997</x:f>
        <x:v>-10.352560233966548</x:v>
      </x:c>
      <x:c r="G1997" s="23" t="n">
        <x:f>AVERAGE($F$1942:$F$1966)</x:f>
        <x:v>-9.161306428882424</x:v>
      </x:c>
      <x:c r="H1997" s="24" t="n">
        <x:f>F1997-G1997</x:f>
        <x:v>-1.1912538050841235</x:v>
      </x:c>
    </x:row>
    <x:row r="1998">
      <x:c r="A1998" s="2" t="str">
        <x:v>LiND-Hybrid</x:v>
      </x:c>
      <x:c r="B1998" s="4" t="str">
        <x:v>NaCl</x:v>
      </x:c>
      <x:c r="C1998" s="23" t="n">
        <x:v>2.722039</x:v>
      </x:c>
      <x:c r="D1998" s="23" t="n">
        <x:v>-20.87268</x:v>
      </x:c>
      <x:c r="E1998" s="23" t="n">
        <x:f>'Parameters'!$B$2*'Parameters'!$B$3*LN(4*PI()*C1998^2)</x:f>
        <x:v>11.239062437016775</x:v>
      </x:c>
      <x:c r="F1998" s="23" t="n">
        <x:f>D1998+E1998</x:f>
        <x:v>-9.633617562983224</x:v>
      </x:c>
      <x:c r="G1998" s="23" t="n">
        <x:f>AVERAGE($F$1942:$F$1966)</x:f>
        <x:v>-9.161306428882424</x:v>
      </x:c>
      <x:c r="H1998" s="24" t="n">
        <x:f>F1998-G1998</x:f>
        <x:v>-0.4723111341007993</x:v>
      </x:c>
    </x:row>
    <x:row r="1999">
      <x:c r="A1999" s="2" t="str">
        <x:v>LiND-Hybrid</x:v>
      </x:c>
      <x:c r="B1999" s="4" t="str">
        <x:v>NaCl</x:v>
      </x:c>
      <x:c r="C1999" s="23" t="n">
        <x:v>2.734147</x:v>
      </x:c>
      <x:c r="D1999" s="23" t="n">
        <x:v>-22.45008</x:v>
      </x:c>
      <x:c r="E1999" s="23" t="n">
        <x:f>'Parameters'!$B$2*'Parameters'!$B$3*LN(4*PI()*C1999^2)</x:f>
        <x:v>11.261067010163682</x:v>
      </x:c>
      <x:c r="F1999" s="23" t="n">
        <x:f>D1999+E1999</x:f>
        <x:v>-11.189012989836318</x:v>
      </x:c>
      <x:c r="G1999" s="23" t="n">
        <x:f>AVERAGE($F$1942:$F$1966)</x:f>
        <x:v>-9.161306428882424</x:v>
      </x:c>
      <x:c r="H1999" s="24" t="n">
        <x:f>F1999-G1999</x:f>
        <x:v>-2.0277065609538933</x:v>
      </x:c>
    </x:row>
    <x:row r="2000">
      <x:c r="A2000" s="2" t="str">
        <x:v>LiND-Hybrid</x:v>
      </x:c>
      <x:c r="B2000" s="4" t="str">
        <x:v>NaCl</x:v>
      </x:c>
      <x:c r="C2000" s="23" t="n">
        <x:v>2.746255</x:v>
      </x:c>
      <x:c r="D2000" s="23" t="n">
        <x:v>-13.31342</x:v>
      </x:c>
      <x:c r="E2000" s="23" t="n">
        <x:f>'Parameters'!$B$2*'Parameters'!$B$3*LN(4*PI()*C2000^2)</x:f>
        <x:v>11.282974352399215</x:v>
      </x:c>
      <x:c r="F2000" s="23" t="n">
        <x:f>D2000+E2000</x:f>
        <x:v>-2.0304456476007857</x:v>
      </x:c>
      <x:c r="G2000" s="23" t="n">
        <x:f>AVERAGE($F$1942:$F$1966)</x:f>
        <x:v>-9.161306428882424</x:v>
      </x:c>
      <x:c r="H2000" s="24" t="n">
        <x:f>F2000-G2000</x:f>
        <x:v>7.130860781281639</x:v>
      </x:c>
    </x:row>
    <x:row r="2001">
      <x:c r="A2001" s="2" t="str">
        <x:v>LiND-Hybrid</x:v>
      </x:c>
      <x:c r="B2001" s="4" t="str">
        <x:v>NaCl</x:v>
      </x:c>
      <x:c r="C2001" s="23" t="n">
        <x:v>2.758363</x:v>
      </x:c>
      <x:c r="D2001" s="23" t="n">
        <x:v>-24.67593</x:v>
      </x:c>
      <x:c r="E2001" s="23" t="n">
        <x:f>'Parameters'!$B$2*'Parameters'!$B$3*LN(4*PI()*C2001^2)</x:f>
        <x:v>11.304785319206967</x:v>
      </x:c>
      <x:c r="F2001" s="23" t="n">
        <x:f>D2001+E2001</x:f>
        <x:v>-13.371144680793034</x:v>
      </x:c>
      <x:c r="G2001" s="23" t="n">
        <x:f>AVERAGE($F$1942:$F$1966)</x:f>
        <x:v>-9.161306428882424</x:v>
      </x:c>
      <x:c r="H2001" s="24" t="n">
        <x:f>F2001-G2001</x:f>
        <x:v>-4.209838251910609</x:v>
      </x:c>
    </x:row>
    <x:row r="2002">
      <x:c r="A2002" s="2" t="str">
        <x:v>LiLC-1</x:v>
      </x:c>
      <x:c r="B2002" s="4" t="str">
        <x:v>LiCl</x:v>
      </x:c>
      <x:c r="C2002" s="23" t="n">
        <x:v>0.2963128</x:v>
      </x:c>
      <x:c r="D2002" s="23" t="n">
        <x:v>0</x:v>
      </x:c>
      <x:c r="E2002" s="23" t="n">
        <x:f>'Parameters'!$B$2*'Parameters'!$B$3*LN(4*PI()*C2002^2)</x:f>
        <x:v>0.2437930172216998</x:v>
      </x:c>
      <x:c r="F2002" s="23" t="n">
        <x:f>D2002+E2002</x:f>
        <x:v>0.2437930172216998</x:v>
      </x:c>
      <x:c r="G2002" s="23" t="n">
        <x:f>AVERAGE($F$2144:$F$2167)</x:f>
        <x:v>-14.084347713961572</x:v>
      </x:c>
      <x:c r="H2002" s="24" t="n">
        <x:f>F2002-G2002</x:f>
        <x:v>14.328140731183272</x:v>
      </x:c>
    </x:row>
    <x:row r="2003">
      <x:c r="A2003" s="2" t="str">
        <x:v>LiLC-1</x:v>
      </x:c>
      <x:c r="B2003" s="4" t="str">
        <x:v>LiCl</x:v>
      </x:c>
      <x:c r="C2003" s="23" t="n">
        <x:v>0.3085261</x:v>
      </x:c>
      <x:c r="D2003" s="23" t="n">
        <x:v>0.9254429</x:v>
      </x:c>
      <x:c r="E2003" s="23" t="n">
        <x:f>'Parameters'!$B$2*'Parameters'!$B$3*LN(4*PI()*C2003^2)</x:f>
        <x:v>0.4440470807313758</x:v>
      </x:c>
      <x:c r="F2003" s="23" t="n">
        <x:f>D2003+E2003</x:f>
        <x:v>1.3694899807313758</x:v>
      </x:c>
      <x:c r="G2003" s="23" t="n">
        <x:f>AVERAGE($F$2144:$F$2167)</x:f>
        <x:v>-14.084347713961572</x:v>
      </x:c>
      <x:c r="H2003" s="24" t="n">
        <x:f>F2003-G2003</x:f>
        <x:v>15.453837694692947</x:v>
      </x:c>
    </x:row>
    <x:row r="2004">
      <x:c r="A2004" s="2" t="str">
        <x:v>LiLC-1</x:v>
      </x:c>
      <x:c r="B2004" s="4" t="str">
        <x:v>LiCl</x:v>
      </x:c>
      <x:c r="C2004" s="23" t="n">
        <x:v>0.3207393</x:v>
      </x:c>
      <x:c r="D2004" s="23" t="n">
        <x:v>-3.11432</x:v>
      </x:c>
      <x:c r="E2004" s="23" t="n">
        <x:f>'Parameters'!$B$2*'Parameters'!$B$3*LN(4*PI()*C2004^2)</x:f>
        <x:v>0.6365242165862528</x:v>
      </x:c>
      <x:c r="F2004" s="23" t="n">
        <x:f>D2004+E2004</x:f>
        <x:v>-2.4777957834137476</x:v>
      </x:c>
      <x:c r="G2004" s="23" t="n">
        <x:f>AVERAGE($F$2144:$F$2167)</x:f>
        <x:v>-14.084347713961572</x:v>
      </x:c>
      <x:c r="H2004" s="24" t="n">
        <x:f>F2004-G2004</x:f>
        <x:v>11.606551930547823</x:v>
      </x:c>
    </x:row>
    <x:row r="2005">
      <x:c r="A2005" s="2" t="str">
        <x:v>LiLC-1</x:v>
      </x:c>
      <x:c r="B2005" s="4" t="str">
        <x:v>LiCl</x:v>
      </x:c>
      <x:c r="C2005" s="23" t="n">
        <x:v>0.3329526</x:v>
      </x:c>
      <x:c r="D2005" s="23" t="n">
        <x:v>-5.659704</x:v>
      </x:c>
      <x:c r="E2005" s="23" t="n">
        <x:f>'Parameters'!$B$2*'Parameters'!$B$3*LN(4*PI()*C2005^2)</x:f>
        <x:v>0.8218088715136608</x:v>
      </x:c>
      <x:c r="F2005" s="23" t="n">
        <x:f>D2005+E2005</x:f>
        <x:v>-4.8378951284863385</x:v>
      </x:c>
      <x:c r="G2005" s="23" t="n">
        <x:f>AVERAGE($F$2144:$F$2167)</x:f>
        <x:v>-14.084347713961572</x:v>
      </x:c>
      <x:c r="H2005" s="24" t="n">
        <x:f>F2005-G2005</x:f>
        <x:v>9.246452585475232</x:v>
      </x:c>
    </x:row>
    <x:row r="2006">
      <x:c r="A2006" s="2" t="str">
        <x:v>LiLC-1</x:v>
      </x:c>
      <x:c r="B2006" s="4" t="str">
        <x:v>LiCl</x:v>
      </x:c>
      <x:c r="C2006" s="23" t="n">
        <x:v>0.3451658</x:v>
      </x:c>
      <x:c r="D2006" s="23" t="n">
        <x:v>-8.467127</x:v>
      </x:c>
      <x:c r="E2006" s="23" t="n">
        <x:f>'Parameters'!$B$2*'Parameters'!$B$3*LN(4*PI()*C2006^2)</x:f>
        <x:v>1.0004164552471577</x:v>
      </x:c>
      <x:c r="F2006" s="23" t="n">
        <x:f>D2006+E2006</x:f>
        <x:v>-7.466710544752842</x:v>
      </x:c>
      <x:c r="G2006" s="23" t="n">
        <x:f>AVERAGE($F$2144:$F$2167)</x:f>
        <x:v>-14.084347713961572</x:v>
      </x:c>
      <x:c r="H2006" s="24" t="n">
        <x:f>F2006-G2006</x:f>
        <x:v>6.61763716920873</x:v>
      </x:c>
    </x:row>
    <x:row r="2007">
      <x:c r="A2007" s="2" t="str">
        <x:v>LiLC-1</x:v>
      </x:c>
      <x:c r="B2007" s="4" t="str">
        <x:v>LiCl</x:v>
      </x:c>
      <x:c r="C2007" s="23" t="n">
        <x:v>0.3573791</x:v>
      </x:c>
      <x:c r="D2007" s="23" t="n">
        <x:v>-10.26584</x:v>
      </x:c>
      <x:c r="E2007" s="23" t="n">
        <x:f>'Parameters'!$B$2*'Parameters'!$B$3*LN(4*PI()*C2007^2)</x:f>
        <x:v>1.172814241833896</x:v>
      </x:c>
      <x:c r="F2007" s="23" t="n">
        <x:f>D2007+E2007</x:f>
        <x:v>-9.093025758166105</x:v>
      </x:c>
      <x:c r="G2007" s="23" t="n">
        <x:f>AVERAGE($F$2144:$F$2167)</x:f>
        <x:v>-14.084347713961572</x:v>
      </x:c>
      <x:c r="H2007" s="24" t="n">
        <x:f>F2007-G2007</x:f>
        <x:v>4.991321955795467</x:v>
      </x:c>
    </x:row>
    <x:row r="2008">
      <x:c r="A2008" s="2" t="str">
        <x:v>LiLC-1</x:v>
      </x:c>
      <x:c r="B2008" s="4" t="str">
        <x:v>LiCl</x:v>
      </x:c>
      <x:c r="C2008" s="23" t="n">
        <x:v>0.3695923</x:v>
      </x:c>
      <x:c r="D2008" s="23" t="n">
        <x:v>-11.85246</x:v>
      </x:c>
      <x:c r="E2008" s="23" t="n">
        <x:f>'Parameters'!$B$2*'Parameters'!$B$3*LN(4*PI()*C2008^2)</x:f>
        <x:v>1.3394169273306524</x:v>
      </x:c>
      <x:c r="F2008" s="23" t="n">
        <x:f>D2008+E2008</x:f>
        <x:v>-10.513043072669348</x:v>
      </x:c>
      <x:c r="G2008" s="23" t="n">
        <x:f>AVERAGE($F$2144:$F$2167)</x:f>
        <x:v>-14.084347713961572</x:v>
      </x:c>
      <x:c r="H2008" s="24" t="n">
        <x:f>F2008-G2008</x:f>
        <x:v>3.5713046412922242</x:v>
      </x:c>
    </x:row>
    <x:row r="2009">
      <x:c r="A2009" s="2" t="str">
        <x:v>LiLC-1</x:v>
      </x:c>
      <x:c r="B2009" s="4" t="str">
        <x:v>LiCl</x:v>
      </x:c>
      <x:c r="C2009" s="23" t="n">
        <x:v>0.3818056</x:v>
      </x:c>
      <x:c r="D2009" s="23" t="n">
        <x:v>-12.74192</x:v>
      </x:c>
      <x:c r="E2009" s="23" t="n">
        <x:f>'Parameters'!$B$2*'Parameters'!$B$3*LN(4*PI()*C2009^2)</x:f>
        <x:v>1.5006040299253796</x:v>
      </x:c>
      <x:c r="F2009" s="23" t="n">
        <x:f>D2009+E2009</x:f>
        <x:v>-11.24131597007462</x:v>
      </x:c>
      <x:c r="G2009" s="23" t="n">
        <x:f>AVERAGE($F$2144:$F$2167)</x:f>
        <x:v>-14.084347713961572</x:v>
      </x:c>
      <x:c r="H2009" s="24" t="n">
        <x:f>F2009-G2009</x:f>
        <x:v>2.843031743886952</x:v>
      </x:c>
    </x:row>
    <x:row r="2010">
      <x:c r="A2010" s="2" t="str">
        <x:v>LiLC-1</x:v>
      </x:c>
      <x:c r="B2010" s="4" t="str">
        <x:v>LiCl</x:v>
      </x:c>
      <x:c r="C2010" s="23" t="n">
        <x:v>0.3940188</x:v>
      </x:c>
      <x:c r="D2010" s="23" t="n">
        <x:v>-13.65954</x:v>
      </x:c>
      <x:c r="E2010" s="23" t="n">
        <x:f>'Parameters'!$B$2*'Parameters'!$B$3*LN(4*PI()*C2010^2)</x:f>
        <x:v>1.6567140947312127</x:v>
      </x:c>
      <x:c r="F2010" s="23" t="n">
        <x:f>D2010+E2010</x:f>
        <x:v>-12.002825905268788</x:v>
      </x:c>
      <x:c r="G2010" s="23" t="n">
        <x:f>AVERAGE($F$2144:$F$2167)</x:f>
        <x:v>-14.084347713961572</x:v>
      </x:c>
      <x:c r="H2010" s="24" t="n">
        <x:f>F2010-G2010</x:f>
        <x:v>2.0815218086927842</x:v>
      </x:c>
    </x:row>
    <x:row r="2011">
      <x:c r="A2011" s="2" t="str">
        <x:v>LiLC-1</x:v>
      </x:c>
      <x:c r="B2011" s="4" t="str">
        <x:v>LiCl</x:v>
      </x:c>
      <x:c r="C2011" s="23" t="n">
        <x:v>0.4062321</x:v>
      </x:c>
      <x:c r="D2011" s="23" t="n">
        <x:v>-14.43464</x:v>
      </x:c>
      <x:c r="E2011" s="23" t="n">
        <x:f>'Parameters'!$B$2*'Parameters'!$B$3*LN(4*PI()*C2011^2)</x:f>
        <x:v>1.8080596135100575</x:v>
      </x:c>
      <x:c r="F2011" s="23" t="n">
        <x:f>D2011+E2011</x:f>
        <x:v>-12.626580386489943</x:v>
      </x:c>
      <x:c r="G2011" s="23" t="n">
        <x:f>AVERAGE($F$2144:$F$2167)</x:f>
        <x:v>-14.084347713961572</x:v>
      </x:c>
      <x:c r="H2011" s="24" t="n">
        <x:f>F2011-G2011</x:f>
        <x:v>1.457767327471629</x:v>
      </x:c>
    </x:row>
    <x:row r="2012">
      <x:c r="A2012" s="2" t="str">
        <x:v>LiLC-1</x:v>
      </x:c>
      <x:c r="B2012" s="4" t="str">
        <x:v>LiCl</x:v>
      </x:c>
      <x:c r="C2012" s="23" t="n">
        <x:v>0.4184453</x:v>
      </x:c>
      <x:c r="D2012" s="23" t="n">
        <x:v>-15.35732</x:v>
      </x:c>
      <x:c r="E2012" s="23" t="n">
        <x:f>'Parameters'!$B$2*'Parameters'!$B$3*LN(4*PI()*C2012^2)</x:f>
        <x:v>1.954920491358006</x:v>
      </x:c>
      <x:c r="F2012" s="23" t="n">
        <x:f>D2012+E2012</x:f>
        <x:v>-13.402399508641993</x:v>
      </x:c>
      <x:c r="G2012" s="23" t="n">
        <x:f>AVERAGE($F$2144:$F$2167)</x:f>
        <x:v>-14.084347713961572</x:v>
      </x:c>
      <x:c r="H2012" s="24" t="n">
        <x:f>F2012-G2012</x:f>
        <x:v>0.6819482053195784</x:v>
      </x:c>
    </x:row>
    <x:row r="2013">
      <x:c r="A2013" s="2" t="str">
        <x:v>LiLC-1</x:v>
      </x:c>
      <x:c r="B2013" s="4" t="str">
        <x:v>LiCl</x:v>
      </x:c>
      <x:c r="C2013" s="23" t="n">
        <x:v>0.4306586</x:v>
      </x:c>
      <x:c r="D2013" s="23" t="n">
        <x:v>-16.08086</x:v>
      </x:c>
      <x:c r="E2013" s="23" t="n">
        <x:f>'Parameters'!$B$2*'Parameters'!$B$3*LN(4*PI()*C2013^2)</x:f>
        <x:v>2.0975571421762025</x:v>
      </x:c>
      <x:c r="F2013" s="23" t="n">
        <x:f>D2013+E2013</x:f>
        <x:v>-13.983302857823798</x:v>
      </x:c>
      <x:c r="G2013" s="23" t="n">
        <x:f>AVERAGE($F$2144:$F$2167)</x:f>
        <x:v>-14.084347713961572</x:v>
      </x:c>
      <x:c r="H2013" s="24" t="n">
        <x:f>F2013-G2013</x:f>
        <x:v>0.10104485613777392</x:v>
      </x:c>
    </x:row>
    <x:row r="2014">
      <x:c r="A2014" s="2" t="str">
        <x:v>LiLC-1</x:v>
      </x:c>
      <x:c r="B2014" s="4" t="str">
        <x:v>LiCl</x:v>
      </x:c>
      <x:c r="C2014" s="23" t="n">
        <x:v>0.4428718</x:v>
      </x:c>
      <x:c r="D2014" s="23" t="n">
        <x:v>-16.60721</x:v>
      </x:c>
      <x:c r="E2014" s="23" t="n">
        <x:f>'Parameters'!$B$2*'Parameters'!$B$3*LN(4*PI()*C2014^2)</x:f>
        <x:v>2.2362035865904195</x:v>
      </x:c>
      <x:c r="F2014" s="23" t="n">
        <x:f>D2014+E2014</x:f>
        <x:v>-14.371006413409578</x:v>
      </x:c>
      <x:c r="G2014" s="23" t="n">
        <x:f>AVERAGE($F$2144:$F$2167)</x:f>
        <x:v>-14.084347713961572</x:v>
      </x:c>
      <x:c r="H2014" s="24" t="n">
        <x:f>F2014-G2014</x:f>
        <x:v>-0.28665869944800626</x:v>
      </x:c>
    </x:row>
    <x:row r="2015">
      <x:c r="A2015" s="2" t="str">
        <x:v>LiLC-1</x:v>
      </x:c>
      <x:c r="B2015" s="4" t="str">
        <x:v>LiCl</x:v>
      </x:c>
      <x:c r="C2015" s="23" t="n">
        <x:v>0.4550851</x:v>
      </x:c>
      <x:c r="D2015" s="23" t="n">
        <x:v>-16.81014</x:v>
      </x:c>
      <x:c r="E2015" s="23" t="n">
        <x:f>'Parameters'!$B$2*'Parameters'!$B$3*LN(4*PI()*C2015^2)</x:f>
        <x:v>2.3710791605090704</x:v>
      </x:c>
      <x:c r="F2015" s="23" t="n">
        <x:f>D2015+E2015</x:f>
        <x:v>-14.43906083949093</x:v>
      </x:c>
      <x:c r="G2015" s="23" t="n">
        <x:f>AVERAGE($F$2144:$F$2167)</x:f>
        <x:v>-14.084347713961572</x:v>
      </x:c>
      <x:c r="H2015" s="24" t="n">
        <x:f>F2015-G2015</x:f>
        <x:v>-0.35471312552935785</x:v>
      </x:c>
    </x:row>
    <x:row r="2016">
      <x:c r="A2016" s="2" t="str">
        <x:v>LiLC-1</x:v>
      </x:c>
      <x:c r="B2016" s="4" t="str">
        <x:v>LiCl</x:v>
      </x:c>
      <x:c r="C2016" s="23" t="n">
        <x:v>0.4672983</x:v>
      </x:c>
      <x:c r="D2016" s="23" t="n">
        <x:v>-16.82459</x:v>
      </x:c>
      <x:c r="E2016" s="23" t="n">
        <x:f>'Parameters'!$B$2*'Parameters'!$B$3*LN(4*PI()*C2016^2)</x:f>
        <x:v>2.5023814694093423</x:v>
      </x:c>
      <x:c r="F2016" s="23" t="n">
        <x:f>D2016+E2016</x:f>
        <x:v>-14.322208530590657</x:v>
      </x:c>
      <x:c r="G2016" s="23" t="n">
        <x:f>AVERAGE($F$2144:$F$2167)</x:f>
        <x:v>-14.084347713961572</x:v>
      </x:c>
      <x:c r="H2016" s="24" t="n">
        <x:f>F2016-G2016</x:f>
        <x:v>-0.23786081662908565</x:v>
      </x:c>
    </x:row>
    <x:row r="2017">
      <x:c r="A2017" s="2" t="str">
        <x:v>LiLC-1</x:v>
      </x:c>
      <x:c r="B2017" s="4" t="str">
        <x:v>LiCl</x:v>
      </x:c>
      <x:c r="C2017" s="23" t="n">
        <x:v>0.4795116</x:v>
      </x:c>
      <x:c r="D2017" s="23" t="n">
        <x:v>-16.93599</x:v>
      </x:c>
      <x:c r="E2017" s="23" t="n">
        <x:f>'Parameters'!$B$2*'Parameters'!$B$3*LN(4*PI()*C2017^2)</x:f>
        <x:v>2.6302970111883512</x:v>
      </x:c>
      <x:c r="F2017" s="23" t="n">
        <x:f>D2017+E2017</x:f>
        <x:v>-14.30569298881165</x:v>
      </x:c>
      <x:c r="G2017" s="23" t="n">
        <x:f>AVERAGE($F$2144:$F$2167)</x:f>
        <x:v>-14.084347713961572</x:v>
      </x:c>
      <x:c r="H2017" s="24" t="n">
        <x:f>F2017-G2017</x:f>
        <x:v>-0.22134527485007816</x:v>
      </x:c>
    </x:row>
    <x:row r="2018">
      <x:c r="A2018" s="2" t="str">
        <x:v>LiLC-1</x:v>
      </x:c>
      <x:c r="B2018" s="4" t="str">
        <x:v>LiCl</x:v>
      </x:c>
      <x:c r="C2018" s="23" t="n">
        <x:v>0.4917248</x:v>
      </x:c>
      <x:c r="D2018" s="23" t="n">
        <x:v>-17.27612</x:v>
      </x:c>
      <x:c r="E2018" s="23" t="n">
        <x:f>'Parameters'!$B$2*'Parameters'!$B$3*LN(4*PI()*C2018^2)</x:f>
        <x:v>2.754994124986748</x:v>
      </x:c>
      <x:c r="F2018" s="23" t="n">
        <x:f>D2018+E2018</x:f>
        <x:v>-14.52112587501325</x:v>
      </x:c>
      <x:c r="G2018" s="23" t="n">
        <x:f>AVERAGE($F$2144:$F$2167)</x:f>
        <x:v>-14.084347713961572</x:v>
      </x:c>
      <x:c r="H2018" s="24" t="n">
        <x:f>F2018-G2018</x:f>
        <x:v>-0.436778161051679</x:v>
      </x:c>
    </x:row>
    <x:row r="2019">
      <x:c r="A2019" s="2" t="str">
        <x:v>LiLC-1</x:v>
      </x:c>
      <x:c r="B2019" s="4" t="str">
        <x:v>LiCl</x:v>
      </x:c>
      <x:c r="C2019" s="23" t="n">
        <x:v>0.5039381</x:v>
      </x:c>
      <x:c r="D2019" s="23" t="n">
        <x:v>-17.66554</x:v>
      </x:c>
      <x:c r="E2019" s="23" t="n">
        <x:f>'Parameters'!$B$2*'Parameters'!$B$3*LN(4*PI()*C2019^2)</x:f>
        <x:v>2.8766327420429008</x:v>
      </x:c>
      <x:c r="F2019" s="23" t="n">
        <x:f>D2019+E2019</x:f>
        <x:v>-14.7889072579571</x:v>
      </x:c>
      <x:c r="G2019" s="23" t="n">
        <x:f>AVERAGE($F$2144:$F$2167)</x:f>
        <x:v>-14.084347713961572</x:v>
      </x:c>
      <x:c r="H2019" s="24" t="n">
        <x:f>F2019-G2019</x:f>
        <x:v>-0.7045595439955274</x:v>
      </x:c>
    </x:row>
    <x:row r="2020">
      <x:c r="A2020" s="2" t="str">
        <x:v>LiLC-1</x:v>
      </x:c>
      <x:c r="B2020" s="4" t="str">
        <x:v>LiCl</x:v>
      </x:c>
      <x:c r="C2020" s="23" t="n">
        <x:v>0.5161513</x:v>
      </x:c>
      <x:c r="D2020" s="23" t="n">
        <x:v>-18.14652</x:v>
      </x:c>
      <x:c r="E2020" s="23" t="n">
        <x:f>'Parameters'!$B$2*'Parameters'!$B$3*LN(4*PI()*C2020^2)</x:f>
        <x:v>2.995357413648154</x:v>
      </x:c>
      <x:c r="F2020" s="23" t="n">
        <x:f>D2020+E2020</x:f>
        <x:v>-15.151162586351845</x:v>
      </x:c>
      <x:c r="G2020" s="23" t="n">
        <x:f>AVERAGE($F$2144:$F$2167)</x:f>
        <x:v>-14.084347713961572</x:v>
      </x:c>
      <x:c r="H2020" s="24" t="n">
        <x:f>F2020-G2020</x:f>
        <x:v>-1.0668148723902728</x:v>
      </x:c>
    </x:row>
    <x:row r="2021">
      <x:c r="A2021" s="2" t="str">
        <x:v>LiLC-1</x:v>
      </x:c>
      <x:c r="B2021" s="4" t="str">
        <x:v>LiCl</x:v>
      </x:c>
      <x:c r="C2021" s="23" t="n">
        <x:v>0.5283646</x:v>
      </x:c>
      <x:c r="D2021" s="23" t="n">
        <x:v>-18.60715</x:v>
      </x:c>
      <x:c r="E2021" s="23" t="n">
        <x:f>'Parameters'!$B$2*'Parameters'!$B$3*LN(4*PI()*C2021^2)</x:f>
        <x:v>3.1113063457980474</x:v>
      </x:c>
      <x:c r="F2021" s="23" t="n">
        <x:f>D2021+E2021</x:f>
        <x:v>-15.495843654201954</x:v>
      </x:c>
      <x:c r="G2021" s="23" t="n">
        <x:f>AVERAGE($F$2144:$F$2167)</x:f>
        <x:v>-14.084347713961572</x:v>
      </x:c>
      <x:c r="H2021" s="24" t="n">
        <x:f>F2021-G2021</x:f>
        <x:v>-1.411495940240382</x:v>
      </x:c>
    </x:row>
    <x:row r="2022">
      <x:c r="A2022" s="2" t="str">
        <x:v>LiLC-1</x:v>
      </x:c>
      <x:c r="B2022" s="4" t="str">
        <x:v>LiCl</x:v>
      </x:c>
      <x:c r="C2022" s="23" t="n">
        <x:v>0.5405778</x:v>
      </x:c>
      <x:c r="D2022" s="23" t="n">
        <x:v>-19.20599</x:v>
      </x:c>
      <x:c r="E2022" s="23" t="n">
        <x:f>'Parameters'!$B$2*'Parameters'!$B$3*LN(4*PI()*C2022^2)</x:f>
        <x:v>3.224604557290533</x:v>
      </x:c>
      <x:c r="F2022" s="23" t="n">
        <x:f>D2022+E2022</x:f>
        <x:v>-15.981385442709467</x:v>
      </x:c>
      <x:c r="G2022" s="23" t="n">
        <x:f>AVERAGE($F$2144:$F$2167)</x:f>
        <x:v>-14.084347713961572</x:v>
      </x:c>
      <x:c r="H2022" s="24" t="n">
        <x:f>F2022-G2022</x:f>
        <x:v>-1.897037728747895</x:v>
      </x:c>
    </x:row>
    <x:row r="2023">
      <x:c r="A2023" s="2" t="str">
        <x:v>LiLC-1</x:v>
      </x:c>
      <x:c r="B2023" s="4" t="str">
        <x:v>LiCl</x:v>
      </x:c>
      <x:c r="C2023" s="23" t="n">
        <x:v>0.5527911</x:v>
      </x:c>
      <x:c r="D2023" s="23" t="n">
        <x:v>-19.68291</x:v>
      </x:c>
      <x:c r="E2023" s="23" t="n">
        <x:f>'Parameters'!$B$2*'Parameters'!$B$3*LN(4*PI()*C2023^2)</x:f>
        <x:v>3.3353723145884113</x:v>
      </x:c>
      <x:c r="F2023" s="23" t="n">
        <x:f>D2023+E2023</x:f>
        <x:v>-16.347537685411588</x:v>
      </x:c>
      <x:c r="G2023" s="23" t="n">
        <x:f>AVERAGE($F$2144:$F$2167)</x:f>
        <x:v>-14.084347713961572</x:v>
      </x:c>
      <x:c r="H2023" s="24" t="n">
        <x:f>F2023-G2023</x:f>
        <x:v>-2.263189971450016</x:v>
      </x:c>
    </x:row>
    <x:row r="2024">
      <x:c r="A2024" s="2" t="str">
        <x:v>LiLC-1</x:v>
      </x:c>
      <x:c r="B2024" s="4" t="str">
        <x:v>LiCl</x:v>
      </x:c>
      <x:c r="C2024" s="23" t="n">
        <x:v>0.5650043</x:v>
      </x:c>
      <x:c r="D2024" s="23" t="n">
        <x:v>-20.12167</x:v>
      </x:c>
      <x:c r="E2024" s="23" t="n">
        <x:f>'Parameters'!$B$2*'Parameters'!$B$3*LN(4*PI()*C2024^2)</x:f>
        <x:v>3.4437184497422715</x:v>
      </x:c>
      <x:c r="F2024" s="23" t="n">
        <x:f>D2024+E2024</x:f>
        <x:v>-16.67795155025773</x:v>
      </x:c>
      <x:c r="G2024" s="23" t="n">
        <x:f>AVERAGE($F$2144:$F$2167)</x:f>
        <x:v>-14.084347713961572</x:v>
      </x:c>
      <x:c r="H2024" s="24" t="n">
        <x:f>F2024-G2024</x:f>
        <x:v>-2.5936038362961593</x:v>
      </x:c>
    </x:row>
    <x:row r="2025">
      <x:c r="A2025" s="2" t="str">
        <x:v>LiLC-1</x:v>
      </x:c>
      <x:c r="B2025" s="4" t="str">
        <x:v>LiCl</x:v>
      </x:c>
      <x:c r="C2025" s="23" t="n">
        <x:v>0.5772176</x:v>
      </x:c>
      <x:c r="D2025" s="23" t="n">
        <x:v>-20.51643</x:v>
      </x:c>
      <x:c r="E2025" s="23" t="n">
        <x:f>'Parameters'!$B$2*'Parameters'!$B$3*LN(4*PI()*C2025^2)</x:f>
        <x:v>3.549748284433763</x:v>
      </x:c>
      <x:c r="F2025" s="23" t="n">
        <x:f>D2025+E2025</x:f>
        <x:v>-16.96668171556624</x:v>
      </x:c>
      <x:c r="G2025" s="23" t="n">
        <x:f>AVERAGE($F$2144:$F$2167)</x:f>
        <x:v>-14.084347713961572</x:v>
      </x:c>
      <x:c r="H2025" s="24" t="n">
        <x:f>F2025-G2025</x:f>
        <x:v>-2.882334001604667</x:v>
      </x:c>
    </x:row>
    <x:row r="2026">
      <x:c r="A2026" s="2" t="str">
        <x:v>LiLC-1</x:v>
      </x:c>
      <x:c r="B2026" s="4" t="str">
        <x:v>LiCl</x:v>
      </x:c>
      <x:c r="C2026" s="23" t="n">
        <x:v>0.5894308</x:v>
      </x:c>
      <x:c r="D2026" s="23" t="n">
        <x:v>-20.76105</x:v>
      </x:c>
      <x:c r="E2026" s="23" t="n">
        <x:f>'Parameters'!$B$2*'Parameters'!$B$3*LN(4*PI()*C2026^2)</x:f>
        <x:v>3.653557123735583</x:v>
      </x:c>
      <x:c r="F2026" s="23" t="n">
        <x:f>D2026+E2026</x:f>
        <x:v>-17.107492876264416</x:v>
      </x:c>
      <x:c r="G2026" s="23" t="n">
        <x:f>AVERAGE($F$2144:$F$2167)</x:f>
        <x:v>-14.084347713961572</x:v>
      </x:c>
      <x:c r="H2026" s="24" t="n">
        <x:f>F2026-G2026</x:f>
        <x:v>-3.0231451623028445</x:v>
      </x:c>
    </x:row>
    <x:row r="2027">
      <x:c r="A2027" s="2" t="str">
        <x:v>LiLC-1</x:v>
      </x:c>
      <x:c r="B2027" s="4" t="str">
        <x:v>LiCl</x:v>
      </x:c>
      <x:c r="C2027" s="23" t="n">
        <x:v>0.601644</x:v>
      </x:c>
      <x:c r="D2027" s="23" t="n">
        <x:v>-20.73953</x:v>
      </x:c>
      <x:c r="E2027" s="23" t="n">
        <x:f>'Parameters'!$B$2*'Parameters'!$B$3*LN(4*PI()*C2027^2)</x:f>
        <x:v>3.7552369146780014</x:v>
      </x:c>
      <x:c r="F2027" s="23" t="n">
        <x:f>D2027+E2027</x:f>
        <x:v>-16.984293085321998</x:v>
      </x:c>
      <x:c r="G2027" s="23" t="n">
        <x:f>AVERAGE($F$2144:$F$2167)</x:f>
        <x:v>-14.084347713961572</x:v>
      </x:c>
      <x:c r="H2027" s="24" t="n">
        <x:f>F2027-G2027</x:f>
        <x:v>-2.8999453713604257</x:v>
      </x:c>
    </x:row>
    <x:row r="2028">
      <x:c r="A2028" s="2" t="str">
        <x:v>LiLC-1</x:v>
      </x:c>
      <x:c r="B2028" s="4" t="str">
        <x:v>LiCl</x:v>
      </x:c>
      <x:c r="C2028" s="23" t="n">
        <x:v>0.6138573</x:v>
      </x:c>
      <x:c r="D2028" s="23" t="n">
        <x:v>-20.6491</x:v>
      </x:c>
      <x:c r="E2028" s="23" t="n">
        <x:f>'Parameters'!$B$2*'Parameters'!$B$3*LN(4*PI()*C2028^2)</x:f>
        <x:v>3.8548740433645645</x:v>
      </x:c>
      <x:c r="F2028" s="23" t="n">
        <x:f>D2028+E2028</x:f>
        <x:v>-16.794225956635437</x:v>
      </x:c>
      <x:c r="G2028" s="23" t="n">
        <x:f>AVERAGE($F$2144:$F$2167)</x:f>
        <x:v>-14.084347713961572</x:v>
      </x:c>
      <x:c r="H2028" s="24" t="n">
        <x:f>F2028-G2028</x:f>
        <x:v>-2.709878242673865</x:v>
      </x:c>
    </x:row>
    <x:row r="2029">
      <x:c r="A2029" s="2" t="str">
        <x:v>LiLC-1</x:v>
      </x:c>
      <x:c r="B2029" s="4" t="str">
        <x:v>LiCl</x:v>
      </x:c>
      <x:c r="C2029" s="23" t="n">
        <x:v>0.6260705</x:v>
      </x:c>
      <x:c r="D2029" s="23" t="n">
        <x:v>-20.7266</x:v>
      </x:c>
      <x:c r="E2029" s="23" t="n">
        <x:f>'Parameters'!$B$2*'Parameters'!$B$3*LN(4*PI()*C2029^2)</x:f>
        <x:v>3.952547398821886</x:v>
      </x:c>
      <x:c r="F2029" s="23" t="n">
        <x:f>D2029+E2029</x:f>
        <x:v>-16.774052601178116</x:v>
      </x:c>
      <x:c r="G2029" s="23" t="n">
        <x:f>AVERAGE($F$2144:$F$2167)</x:f>
        <x:v>-14.084347713961572</x:v>
      </x:c>
      <x:c r="H2029" s="24" t="n">
        <x:f>F2029-G2029</x:f>
        <x:v>-2.6897048872165445</x:v>
      </x:c>
    </x:row>
    <x:row r="2030">
      <x:c r="A2030" s="2" t="str">
        <x:v>LiLC-1</x:v>
      </x:c>
      <x:c r="B2030" s="4" t="str">
        <x:v>LiCl</x:v>
      </x:c>
      <x:c r="C2030" s="23" t="n">
        <x:v>0.6382838</x:v>
      </x:c>
      <x:c r="D2030" s="23" t="n">
        <x:v>-20.74214</x:v>
      </x:c>
      <x:c r="E2030" s="23" t="n">
        <x:f>'Parameters'!$B$2*'Parameters'!$B$3*LN(4*PI()*C2030^2)</x:f>
        <x:v>4.048334434576483</x:v>
      </x:c>
      <x:c r="F2030" s="23" t="n">
        <x:f>D2030+E2030</x:f>
        <x:v>-16.693805565423517</x:v>
      </x:c>
      <x:c r="G2030" s="23" t="n">
        <x:f>AVERAGE($F$2144:$F$2167)</x:f>
        <x:v>-14.084347713961572</x:v>
      </x:c>
      <x:c r="H2030" s="24" t="n">
        <x:f>F2030-G2030</x:f>
        <x:v>-2.6094578514619453</x:v>
      </x:c>
    </x:row>
    <x:row r="2031">
      <x:c r="A2031" s="2" t="str">
        <x:v>LiLC-1</x:v>
      </x:c>
      <x:c r="B2031" s="4" t="str">
        <x:v>LiCl</x:v>
      </x:c>
      <x:c r="C2031" s="23" t="n">
        <x:v>0.650497</x:v>
      </x:c>
      <x:c r="D2031" s="23" t="n">
        <x:v>-20.43753</x:v>
      </x:c>
      <x:c r="E2031" s="23" t="n">
        <x:f>'Parameters'!$B$2*'Parameters'!$B$3*LN(4*PI()*C2031^2)</x:f>
        <x:v>4.142305121772993</x:v>
      </x:c>
      <x:c r="F2031" s="23" t="n">
        <x:f>D2031+E2031</x:f>
        <x:v>-16.295224878227007</x:v>
      </x:c>
      <x:c r="G2031" s="23" t="n">
        <x:f>AVERAGE($F$2144:$F$2167)</x:f>
        <x:v>-14.084347713961572</x:v>
      </x:c>
      <x:c r="H2031" s="24" t="n">
        <x:f>F2031-G2031</x:f>
        <x:v>-2.210877164265435</x:v>
      </x:c>
    </x:row>
    <x:row r="2032">
      <x:c r="A2032" s="2" t="str">
        <x:v>LiLC-1</x:v>
      </x:c>
      <x:c r="B2032" s="4" t="str">
        <x:v>LiCl</x:v>
      </x:c>
      <x:c r="C2032" s="23" t="n">
        <x:v>0.6627103</x:v>
      </x:c>
      <x:c r="D2032" s="23" t="n">
        <x:v>-20.6635</x:v>
      </x:c>
      <x:c r="E2032" s="23" t="n">
        <x:f>'Parameters'!$B$2*'Parameters'!$B$3*LN(4*PI()*C2032^2)</x:f>
        <x:v>4.234528547173091</x:v>
      </x:c>
      <x:c r="F2032" s="23" t="n">
        <x:f>D2032+E2032</x:f>
        <x:v>-16.428971452826907</x:v>
      </x:c>
      <x:c r="G2032" s="23" t="n">
        <x:f>AVERAGE($F$2144:$F$2167)</x:f>
        <x:v>-14.084347713961572</x:v>
      </x:c>
      <x:c r="H2032" s="24" t="n">
        <x:f>F2032-G2032</x:f>
        <x:v>-2.3446237388653355</x:v>
      </x:c>
    </x:row>
    <x:row r="2033">
      <x:c r="A2033" s="2" t="str">
        <x:v>LiLC-1</x:v>
      </x:c>
      <x:c r="B2033" s="4" t="str">
        <x:v>LiCl</x:v>
      </x:c>
      <x:c r="C2033" s="23" t="n">
        <x:v>0.6749235</x:v>
      </x:c>
      <x:c r="D2033" s="23" t="n">
        <x:v>-20.71907</x:v>
      </x:c>
      <x:c r="E2033" s="23" t="n">
        <x:f>'Parameters'!$B$2*'Parameters'!$B$3*LN(4*PI()*C2033^2)</x:f>
        <x:v>4.325067046893819</x:v>
      </x:c>
      <x:c r="F2033" s="23" t="n">
        <x:f>D2033+E2033</x:f>
        <x:v>-16.39400295310618</x:v>
      </x:c>
      <x:c r="G2033" s="23" t="n">
        <x:f>AVERAGE($F$2144:$F$2167)</x:f>
        <x:v>-14.084347713961572</x:v>
      </x:c>
      <x:c r="H2033" s="24" t="n">
        <x:f>F2033-G2033</x:f>
        <x:v>-2.3096552391446092</x:v>
      </x:c>
    </x:row>
    <x:row r="2034">
      <x:c r="A2034" s="2" t="str">
        <x:v>LiLC-1</x:v>
      </x:c>
      <x:c r="B2034" s="4" t="str">
        <x:v>LiCl</x:v>
      </x:c>
      <x:c r="C2034" s="23" t="n">
        <x:v>0.6871368</x:v>
      </x:c>
      <x:c r="D2034" s="23" t="n">
        <x:v>-20.9215</x:v>
      </x:c>
      <x:c r="E2034" s="23" t="n">
        <x:f>'Parameters'!$B$2*'Parameters'!$B$3*LN(4*PI()*C2034^2)</x:f>
        <x:v>4.413982515216513</x:v>
      </x:c>
      <x:c r="F2034" s="23" t="n">
        <x:f>D2034+E2034</x:f>
        <x:v>-16.507517484783488</x:v>
      </x:c>
      <x:c r="G2034" s="23" t="n">
        <x:f>AVERAGE($F$2144:$F$2167)</x:f>
        <x:v>-14.084347713961572</x:v>
      </x:c>
      <x:c r="H2034" s="24" t="n">
        <x:f>F2034-G2034</x:f>
        <x:v>-2.423169770821916</x:v>
      </x:c>
    </x:row>
    <x:row r="2035">
      <x:c r="A2035" s="2" t="str">
        <x:v>LiLC-1</x:v>
      </x:c>
      <x:c r="B2035" s="4" t="str">
        <x:v>LiCl</x:v>
      </x:c>
      <x:c r="C2035" s="23" t="n">
        <x:v>0.69935</x:v>
      </x:c>
      <x:c r="D2035" s="23" t="n">
        <x:v>-20.86757</x:v>
      </x:c>
      <x:c r="E2035" s="23" t="n">
        <x:f>'Parameters'!$B$2*'Parameters'!$B$3*LN(4*PI()*C2035^2)</x:f>
        <x:v>4.50133071386584</x:v>
      </x:c>
      <x:c r="F2035" s="23" t="n">
        <x:f>D2035+E2035</x:f>
        <x:v>-16.36623928613416</x:v>
      </x:c>
      <x:c r="G2035" s="23" t="n">
        <x:f>AVERAGE($F$2144:$F$2167)</x:f>
        <x:v>-14.084347713961572</x:v>
      </x:c>
      <x:c r="H2035" s="24" t="n">
        <x:f>F2035-G2035</x:f>
        <x:v>-2.2818915721725883</x:v>
      </x:c>
    </x:row>
    <x:row r="2036">
      <x:c r="A2036" s="2" t="str">
        <x:v>LiLC-1</x:v>
      </x:c>
      <x:c r="B2036" s="4" t="str">
        <x:v>LiCl</x:v>
      </x:c>
      <x:c r="C2036" s="23" t="n">
        <x:v>0.7115633</x:v>
      </x:c>
      <x:c r="D2036" s="23" t="n">
        <x:v>-20.87571</x:v>
      </x:c>
      <x:c r="E2036" s="23" t="n">
        <x:f>'Parameters'!$B$2*'Parameters'!$B$3*LN(4*PI()*C2036^2)</x:f>
        <x:v>4.587167319531602</x:v>
      </x:c>
      <x:c r="F2036" s="23" t="n">
        <x:f>D2036+E2036</x:f>
        <x:v>-16.2885426804684</x:v>
      </x:c>
      <x:c r="G2036" s="23" t="n">
        <x:f>AVERAGE($F$2144:$F$2167)</x:f>
        <x:v>-14.084347713961572</x:v>
      </x:c>
      <x:c r="H2036" s="24" t="n">
        <x:f>F2036-G2036</x:f>
        <x:v>-2.2041949665068277</x:v>
      </x:c>
    </x:row>
    <x:row r="2037">
      <x:c r="A2037" s="2" t="str">
        <x:v>LiLC-1</x:v>
      </x:c>
      <x:c r="B2037" s="4" t="str">
        <x:v>LiCl</x:v>
      </x:c>
      <x:c r="C2037" s="23" t="n">
        <x:v>0.7237765</x:v>
      </x:c>
      <x:c r="D2037" s="23" t="n">
        <x:v>-20.27886</x:v>
      </x:c>
      <x:c r="E2037" s="23" t="n">
        <x:f>'Parameters'!$B$2*'Parameters'!$B$3*LN(4*PI()*C2037^2)</x:f>
        <x:v>4.6715424025741035</x:v>
      </x:c>
      <x:c r="F2037" s="23" t="n">
        <x:f>D2037+E2037</x:f>
        <x:v>-15.607317597425897</x:v>
      </x:c>
      <x:c r="G2037" s="23" t="n">
        <x:f>AVERAGE($F$2144:$F$2167)</x:f>
        <x:v>-14.084347713961572</x:v>
      </x:c>
      <x:c r="H2037" s="24" t="n">
        <x:f>F2037-G2037</x:f>
        <x:v>-1.5229698834643255</x:v>
      </x:c>
    </x:row>
    <x:row r="2038">
      <x:c r="A2038" s="2" t="str">
        <x:v>LiLC-1</x:v>
      </x:c>
      <x:c r="B2038" s="4" t="str">
        <x:v>LiCl</x:v>
      </x:c>
      <x:c r="C2038" s="23" t="n">
        <x:v>0.7359898</x:v>
      </x:c>
      <x:c r="D2038" s="23" t="n">
        <x:v>-19.90796</x:v>
      </x:c>
      <x:c r="E2038" s="23" t="n">
        <x:f>'Parameters'!$B$2*'Parameters'!$B$3*LN(4*PI()*C2038^2)</x:f>
        <x:v>4.754506236900838</x:v>
      </x:c>
      <x:c r="F2038" s="23" t="n">
        <x:f>D2038+E2038</x:f>
        <x:v>-15.153453763099161</x:v>
      </x:c>
      <x:c r="G2038" s="23" t="n">
        <x:f>AVERAGE($F$2144:$F$2167)</x:f>
        <x:v>-14.084347713961572</x:v>
      </x:c>
      <x:c r="H2038" s="24" t="n">
        <x:f>F2038-G2038</x:f>
        <x:v>-1.0691060491375897</x:v>
      </x:c>
    </x:row>
    <x:row r="2039">
      <x:c r="A2039" s="2" t="str">
        <x:v>LiLC-1</x:v>
      </x:c>
      <x:c r="B2039" s="4" t="str">
        <x:v>LiCl</x:v>
      </x:c>
      <x:c r="C2039" s="23" t="n">
        <x:v>0.748203</x:v>
      </x:c>
      <x:c r="D2039" s="23" t="n">
        <x:v>-19.42233</x:v>
      </x:c>
      <x:c r="E2039" s="23" t="n">
        <x:f>'Parameters'!$B$2*'Parameters'!$B$3*LN(4*PI()*C2039^2)</x:f>
        <x:v>4.836103941433773</x:v>
      </x:c>
      <x:c r="F2039" s="23" t="n">
        <x:f>D2039+E2039</x:f>
        <x:v>-14.586226058566226</x:v>
      </x:c>
      <x:c r="G2039" s="23" t="n">
        <x:f>AVERAGE($F$2144:$F$2167)</x:f>
        <x:v>-14.084347713961572</x:v>
      </x:c>
      <x:c r="H2039" s="24" t="n">
        <x:f>F2039-G2039</x:f>
        <x:v>-0.5018783446046537</x:v>
      </x:c>
    </x:row>
    <x:row r="2040">
      <x:c r="A2040" s="2" t="str">
        <x:v>LiLC-1</x:v>
      </x:c>
      <x:c r="B2040" s="4" t="str">
        <x:v>LiCl</x:v>
      </x:c>
      <x:c r="C2040" s="23" t="n">
        <x:v>0.7604163</x:v>
      </x:c>
      <x:c r="D2040" s="23" t="n">
        <x:v>-19.01835</x:v>
      </x:c>
      <x:c r="E2040" s="23" t="n">
        <x:f>'Parameters'!$B$2*'Parameters'!$B$3*LN(4*PI()*C2040^2)</x:f>
        <x:v>4.916381072585826</x:v>
      </x:c>
      <x:c r="F2040" s="23" t="n">
        <x:f>D2040+E2040</x:f>
        <x:v>-14.101968927414177</x:v>
      </x:c>
      <x:c r="G2040" s="23" t="n">
        <x:f>AVERAGE($F$2144:$F$2167)</x:f>
        <x:v>-14.084347713961572</x:v>
      </x:c>
      <x:c r="H2040" s="24" t="n">
        <x:f>F2040-G2040</x:f>
        <x:v>-0.017621213452605033</x:v>
      </x:c>
    </x:row>
    <x:row r="2041">
      <x:c r="A2041" s="2" t="str">
        <x:v>LiLC-1</x:v>
      </x:c>
      <x:c r="B2041" s="4" t="str">
        <x:v>LiCl</x:v>
      </x:c>
      <x:c r="C2041" s="23" t="n">
        <x:v>0.7726295</x:v>
      </x:c>
      <x:c r="D2041" s="23" t="n">
        <x:v>-18.92288</x:v>
      </x:c>
      <x:c r="E2041" s="23" t="n">
        <x:f>'Parameters'!$B$2*'Parameters'!$B$3*LN(4*PI()*C2041^2)</x:f>
        <x:v>4.9953784215973105</x:v>
      </x:c>
      <x:c r="F2041" s="23" t="n">
        <x:f>D2041+E2041</x:f>
        <x:v>-13.927501578402689</x:v>
      </x:c>
      <x:c r="G2041" s="23" t="n">
        <x:f>AVERAGE($F$2144:$F$2167)</x:f>
        <x:v>-14.084347713961572</x:v>
      </x:c>
      <x:c r="H2041" s="24" t="n">
        <x:f>F2041-G2041</x:f>
        <x:v>0.15684613555888305</x:v>
      </x:c>
    </x:row>
    <x:row r="2042">
      <x:c r="A2042" s="2" t="str">
        <x:v>LiLC-1</x:v>
      </x:c>
      <x:c r="B2042" s="4" t="str">
        <x:v>LiCl</x:v>
      </x:c>
      <x:c r="C2042" s="23" t="n">
        <x:v>0.7848428</x:v>
      </x:c>
      <x:c r="D2042" s="23" t="n">
        <x:v>-18.92126</x:v>
      </x:c>
      <x:c r="E2042" s="23" t="n">
        <x:f>'Parameters'!$B$2*'Parameters'!$B$3*LN(4*PI()*C2042^2)</x:f>
        <x:v>5.0731374071138235</x:v>
      </x:c>
      <x:c r="F2042" s="23" t="n">
        <x:f>D2042+E2042</x:f>
        <x:v>-13.848122592886178</x:v>
      </x:c>
      <x:c r="G2042" s="23" t="n">
        <x:f>AVERAGE($F$2144:$F$2167)</x:f>
        <x:v>-14.084347713961572</x:v>
      </x:c>
      <x:c r="H2042" s="24" t="n">
        <x:f>F2042-G2042</x:f>
        <x:v>0.23622512107539428</x:v>
      </x:c>
    </x:row>
    <x:row r="2043">
      <x:c r="A2043" s="2" t="str">
        <x:v>LiLC-1</x:v>
      </x:c>
      <x:c r="B2043" s="4" t="str">
        <x:v>LiCl</x:v>
      </x:c>
      <x:c r="C2043" s="23" t="n">
        <x:v>0.797056</x:v>
      </x:c>
      <x:c r="D2043" s="23" t="n">
        <x:v>-18.98615</x:v>
      </x:c>
      <x:c r="E2043" s="23" t="n">
        <x:f>'Parameters'!$B$2*'Parameters'!$B$3*LN(4*PI()*C2043^2)</x:f>
        <x:v>5.149695021482552</x:v>
      </x:c>
      <x:c r="F2043" s="23" t="n">
        <x:f>D2043+E2043</x:f>
        <x:v>-13.836454978517446</x:v>
      </x:c>
      <x:c r="G2043" s="23" t="n">
        <x:f>AVERAGE($F$2144:$F$2167)</x:f>
        <x:v>-14.084347713961572</x:v>
      </x:c>
      <x:c r="H2043" s="24" t="n">
        <x:f>F2043-G2043</x:f>
        <x:v>0.24789273544412538</x:v>
      </x:c>
    </x:row>
    <x:row r="2044">
      <x:c r="A2044" s="2" t="str">
        <x:v>LiLC-1</x:v>
      </x:c>
      <x:c r="B2044" s="4" t="str">
        <x:v>LiCl</x:v>
      </x:c>
      <x:c r="C2044" s="23" t="n">
        <x:v>0.8092693</x:v>
      </x:c>
      <x:c r="D2044" s="23" t="n">
        <x:v>-19.3192</x:v>
      </x:c>
      <x:c r="E2044" s="23" t="n">
        <x:f>'Parameters'!$B$2*'Parameters'!$B$3*LN(4*PI()*C2044^2)</x:f>
        <x:v>5.225089038691579</x:v>
      </x:c>
      <x:c r="F2044" s="23" t="n">
        <x:f>D2044+E2044</x:f>
        <x:v>-14.09411096130842</x:v>
      </x:c>
      <x:c r="G2044" s="23" t="n">
        <x:f>AVERAGE($F$2144:$F$2167)</x:f>
        <x:v>-14.084347713961572</x:v>
      </x:c>
      <x:c r="H2044" s="24" t="n">
        <x:f>F2044-G2044</x:f>
        <x:v>-0.009763247346848303</x:v>
      </x:c>
    </x:row>
    <x:row r="2045">
      <x:c r="A2045" s="2" t="str">
        <x:v>LiLC-1</x:v>
      </x:c>
      <x:c r="B2045" s="4" t="str">
        <x:v>LiCl</x:v>
      </x:c>
      <x:c r="C2045" s="23" t="n">
        <x:v>0.8214825</x:v>
      </x:c>
      <x:c r="D2045" s="23" t="n">
        <x:v>-19.34903</x:v>
      </x:c>
      <x:c r="E2045" s="23" t="n">
        <x:f>'Parameters'!$B$2*'Parameters'!$B$3*LN(4*PI()*C2045^2)</x:f>
        <x:v>5.299353102837503</x:v>
      </x:c>
      <x:c r="F2045" s="23" t="n">
        <x:f>D2045+E2045</x:f>
        <x:v>-14.049676897162495</x:v>
      </x:c>
      <x:c r="G2045" s="23" t="n">
        <x:f>AVERAGE($F$2144:$F$2167)</x:f>
        <x:v>-14.084347713961572</x:v>
      </x:c>
      <x:c r="H2045" s="24" t="n">
        <x:f>F2045-G2045</x:f>
        <x:v>0.034670816799076576</x:v>
      </x:c>
    </x:row>
    <x:row r="2046">
      <x:c r="A2046" s="2" t="str">
        <x:v>LiLC-1</x:v>
      </x:c>
      <x:c r="B2046" s="4" t="str">
        <x:v>LiCl</x:v>
      </x:c>
      <x:c r="C2046" s="23" t="n">
        <x:v>0.8336958</x:v>
      </x:c>
      <x:c r="D2046" s="23" t="n">
        <x:v>-19.50235</x:v>
      </x:c>
      <x:c r="E2046" s="23" t="n">
        <x:f>'Parameters'!$B$2*'Parameters'!$B$3*LN(4*PI()*C2046^2)</x:f>
        <x:v>5.372521764834528</x:v>
      </x:c>
      <x:c r="F2046" s="23" t="n">
        <x:f>D2046+E2046</x:f>
        <x:v>-14.129828235165473</x:v>
      </x:c>
      <x:c r="G2046" s="23" t="n">
        <x:f>AVERAGE($F$2144:$F$2167)</x:f>
        <x:v>-14.084347713961572</x:v>
      </x:c>
      <x:c r="H2046" s="24" t="n">
        <x:f>F2046-G2046</x:f>
        <x:v>-0.04548052120390089</x:v>
      </x:c>
    </x:row>
    <x:row r="2047">
      <x:c r="A2047" s="2" t="str">
        <x:v>LiLC-1</x:v>
      </x:c>
      <x:c r="B2047" s="4" t="str">
        <x:v>LiCl</x:v>
      </x:c>
      <x:c r="C2047" s="23" t="n">
        <x:v>0.845909</x:v>
      </x:c>
      <x:c r="D2047" s="23" t="n">
        <x:v>-19.86053</x:v>
      </x:c>
      <x:c r="E2047" s="23" t="n">
        <x:f>'Parameters'!$B$2*'Parameters'!$B$3*LN(4*PI()*C2047^2)</x:f>
        <x:v>5.444625706472189</x:v>
      </x:c>
      <x:c r="F2047" s="23" t="n">
        <x:f>D2047+E2047</x:f>
        <x:v>-14.415904293527813</x:v>
      </x:c>
      <x:c r="G2047" s="23" t="n">
        <x:f>AVERAGE($F$2144:$F$2167)</x:f>
        <x:v>-14.084347713961572</x:v>
      </x:c>
      <x:c r="H2047" s="24" t="n">
        <x:f>F2047-G2047</x:f>
        <x:v>-0.3315565795662412</x:v>
      </x:c>
    </x:row>
    <x:row r="2048">
      <x:c r="A2048" s="2" t="str">
        <x:v>LiLC-1</x:v>
      </x:c>
      <x:c r="B2048" s="4" t="str">
        <x:v>LiCl</x:v>
      </x:c>
      <x:c r="C2048" s="23" t="n">
        <x:v>0.8581223</x:v>
      </x:c>
      <x:c r="D2048" s="23" t="n">
        <x:v>-19.62062</x:v>
      </x:c>
      <x:c r="E2048" s="23" t="n">
        <x:f>'Parameters'!$B$2*'Parameters'!$B$3*LN(4*PI()*C2048^2)</x:f>
        <x:v>5.515696617757641</x:v>
      </x:c>
      <x:c r="F2048" s="23" t="n">
        <x:f>D2048+E2048</x:f>
        <x:v>-14.104923382242358</x:v>
      </x:c>
      <x:c r="G2048" s="23" t="n">
        <x:f>AVERAGE($F$2144:$F$2167)</x:f>
        <x:v>-14.084347713961572</x:v>
      </x:c>
      <x:c r="H2048" s="24" t="n">
        <x:f>F2048-G2048</x:f>
        <x:v>-0.020575668280786275</x:v>
      </x:c>
    </x:row>
    <x:row r="2049">
      <x:c r="A2049" s="2" t="str">
        <x:v>LiLC-1</x:v>
      </x:c>
      <x:c r="B2049" s="4" t="str">
        <x:v>LiCl</x:v>
      </x:c>
      <x:c r="C2049" s="23" t="n">
        <x:v>0.8703355</x:v>
      </x:c>
      <x:c r="D2049" s="23" t="n">
        <x:v>-19.74536</x:v>
      </x:c>
      <x:c r="E2049" s="23" t="n">
        <x:f>'Parameters'!$B$2*'Parameters'!$B$3*LN(4*PI()*C2049^2)</x:f>
        <x:v>5.5857625502418164</x:v>
      </x:c>
      <x:c r="F2049" s="23" t="n">
        <x:f>D2049+E2049</x:f>
        <x:v>-14.159597449758184</x:v>
      </x:c>
      <x:c r="G2049" s="23" t="n">
        <x:f>AVERAGE($F$2144:$F$2167)</x:f>
        <x:v>-14.084347713961572</x:v>
      </x:c>
      <x:c r="H2049" s="24" t="n">
        <x:f>F2049-G2049</x:f>
        <x:v>-0.07524973579661243</x:v>
      </x:c>
    </x:row>
    <x:row r="2050">
      <x:c r="A2050" s="2" t="str">
        <x:v>LiLC-1</x:v>
      </x:c>
      <x:c r="B2050" s="4" t="str">
        <x:v>LiCl</x:v>
      </x:c>
      <x:c r="C2050" s="23" t="n">
        <x:v>0.8825488</x:v>
      </x:c>
      <x:c r="D2050" s="23" t="n">
        <x:v>-19.69627</x:v>
      </x:c>
      <x:c r="E2050" s="23" t="n">
        <x:f>'Parameters'!$B$2*'Parameters'!$B$3*LN(4*PI()*C2050^2)</x:f>
        <x:v>5.654852645557296</x:v>
      </x:c>
      <x:c r="F2050" s="23" t="n">
        <x:f>D2050+E2050</x:f>
        <x:v>-14.041417354442704</x:v>
      </x:c>
      <x:c r="G2050" s="23" t="n">
        <x:f>AVERAGE($F$2144:$F$2167)</x:f>
        <x:v>-14.084347713961572</x:v>
      </x:c>
      <x:c r="H2050" s="24" t="n">
        <x:f>F2050-G2050</x:f>
        <x:v>0.042930359518868144</x:v>
      </x:c>
    </x:row>
    <x:row r="2051">
      <x:c r="A2051" s="2" t="str">
        <x:v>LiLC-1</x:v>
      </x:c>
      <x:c r="B2051" s="4" t="str">
        <x:v>LiCl</x:v>
      </x:c>
      <x:c r="C2051" s="23" t="n">
        <x:v>0.894762</x:v>
      </x:c>
      <x:c r="D2051" s="23" t="n">
        <x:v>-19.85453</x:v>
      </x:c>
      <x:c r="E2051" s="23" t="n">
        <x:f>'Parameters'!$B$2*'Parameters'!$B$3*LN(4*PI()*C2051^2)</x:f>
        <x:v>5.722992611979485</x:v>
      </x:c>
      <x:c r="F2051" s="23" t="n">
        <x:f>D2051+E2051</x:f>
        <x:v>-14.131537388020515</x:v>
      </x:c>
      <x:c r="G2051" s="23" t="n">
        <x:f>AVERAGE($F$2144:$F$2167)</x:f>
        <x:v>-14.084347713961572</x:v>
      </x:c>
      <x:c r="H2051" s="24" t="n">
        <x:f>F2051-G2051</x:f>
        <x:v>-0.047189674058943254</x:v>
      </x:c>
    </x:row>
    <x:row r="2052">
      <x:c r="A2052" s="2" t="str">
        <x:v>LiLC-1</x:v>
      </x:c>
      <x:c r="B2052" s="4" t="str">
        <x:v>LiCl</x:v>
      </x:c>
      <x:c r="C2052" s="23" t="n">
        <x:v>0.9069753</x:v>
      </x:c>
      <x:c r="D2052" s="23" t="n">
        <x:v>-19.81042</x:v>
      </x:c>
      <x:c r="E2052" s="23" t="n">
        <x:f>'Parameters'!$B$2*'Parameters'!$B$3*LN(4*PI()*C2052^2)</x:f>
        <x:v>5.790209313617458</x:v>
      </x:c>
      <x:c r="F2052" s="23" t="n">
        <x:f>D2052+E2052</x:f>
        <x:v>-14.020210686382542</x:v>
      </x:c>
      <x:c r="G2052" s="23" t="n">
        <x:f>AVERAGE($F$2144:$F$2167)</x:f>
        <x:v>-14.084347713961572</x:v>
      </x:c>
      <x:c r="H2052" s="24" t="n">
        <x:f>F2052-G2052</x:f>
        <x:v>0.0641370275790294</x:v>
      </x:c>
    </x:row>
    <x:row r="2053">
      <x:c r="A2053" s="2" t="str">
        <x:v>LiLC-1</x:v>
      </x:c>
      <x:c r="B2053" s="4" t="str">
        <x:v>LiCl</x:v>
      </x:c>
      <x:c r="C2053" s="23" t="n">
        <x:v>0.9191885</x:v>
      </x:c>
      <x:c r="D2053" s="23" t="n">
        <x:v>-19.7761</x:v>
      </x:c>
      <x:c r="E2053" s="23" t="n">
        <x:f>'Parameters'!$B$2*'Parameters'!$B$3*LN(4*PI()*C2053^2)</x:f>
        <x:v>5.856526364477847</x:v>
      </x:c>
      <x:c r="F2053" s="23" t="n">
        <x:f>D2053+E2053</x:f>
        <x:v>-13.919573635522152</x:v>
      </x:c>
      <x:c r="G2053" s="23" t="n">
        <x:f>AVERAGE($F$2144:$F$2167)</x:f>
        <x:v>-14.084347713961572</x:v>
      </x:c>
      <x:c r="H2053" s="24" t="n">
        <x:f>F2053-G2053</x:f>
        <x:v>0.16477407843941982</x:v>
      </x:c>
    </x:row>
    <x:row r="2054">
      <x:c r="A2054" s="2" t="str">
        <x:v>LiLC-1</x:v>
      </x:c>
      <x:c r="B2054" s="4" t="str">
        <x:v>LiCl</x:v>
      </x:c>
      <x:c r="C2054" s="23" t="n">
        <x:v>0.9314018</x:v>
      </x:c>
      <x:c r="D2054" s="23" t="n">
        <x:v>-19.95461</x:v>
      </x:c>
      <x:c r="E2054" s="23" t="n">
        <x:f>'Parameters'!$B$2*'Parameters'!$B$3*LN(4*PI()*C2054^2)</x:f>
        <x:v>5.921968586820242</x:v>
      </x:c>
      <x:c r="F2054" s="23" t="n">
        <x:f>D2054+E2054</x:f>
        <x:v>-14.032641413179757</x:v>
      </x:c>
      <x:c r="G2054" s="23" t="n">
        <x:f>AVERAGE($F$2144:$F$2167)</x:f>
        <x:v>-14.084347713961572</x:v>
      </x:c>
      <x:c r="H2054" s="24" t="n">
        <x:f>F2054-G2054</x:f>
        <x:v>0.05170630078181482</x:v>
      </x:c>
    </x:row>
    <x:row r="2055">
      <x:c r="A2055" s="2" t="str">
        <x:v>LiLC-1</x:v>
      </x:c>
      <x:c r="B2055" s="4" t="str">
        <x:v>LiCl</x:v>
      </x:c>
      <x:c r="C2055" s="23" t="n">
        <x:v>0.943615</x:v>
      </x:c>
      <x:c r="D2055" s="23" t="n">
        <x:v>-20.01004</x:v>
      </x:c>
      <x:c r="E2055" s="23" t="n">
        <x:f>'Parameters'!$B$2*'Parameters'!$B$3*LN(4*PI()*C2055^2)</x:f>
        <x:v>5.9865577172947955</x:v>
      </x:c>
      <x:c r="F2055" s="23" t="n">
        <x:f>D2055+E2055</x:f>
        <x:v>-14.023482282705205</x:v>
      </x:c>
      <x:c r="G2055" s="23" t="n">
        <x:f>AVERAGE($F$2144:$F$2167)</x:f>
        <x:v>-14.084347713961572</x:v>
      </x:c>
      <x:c r="H2055" s="24" t="n">
        <x:f>F2055-G2055</x:f>
        <x:v>0.06086543125636723</x:v>
      </x:c>
    </x:row>
    <x:row r="2056">
      <x:c r="A2056" s="2" t="str">
        <x:v>LiLC-1</x:v>
      </x:c>
      <x:c r="B2056" s="4" t="str">
        <x:v>LiCl</x:v>
      </x:c>
      <x:c r="C2056" s="23" t="n">
        <x:v>0.9558283</x:v>
      </x:c>
      <x:c r="D2056" s="23" t="n">
        <x:v>-19.88934</x:v>
      </x:c>
      <x:c r="E2056" s="23" t="n">
        <x:f>'Parameters'!$B$2*'Parameters'!$B$3*LN(4*PI()*C2056^2)</x:f>
        <x:v>6.050316742158313</x:v>
      </x:c>
      <x:c r="F2056" s="23" t="n">
        <x:f>D2056+E2056</x:f>
        <x:v>-13.839023257841689</x:v>
      </x:c>
      <x:c r="G2056" s="23" t="n">
        <x:f>AVERAGE($F$2144:$F$2167)</x:f>
        <x:v>-14.084347713961572</x:v>
      </x:c>
      <x:c r="H2056" s="24" t="n">
        <x:f>F2056-G2056</x:f>
        <x:v>0.2453244561198833</x:v>
      </x:c>
    </x:row>
    <x:row r="2057">
      <x:c r="A2057" s="2" t="str">
        <x:v>LiLC-1</x:v>
      </x:c>
      <x:c r="B2057" s="4" t="str">
        <x:v>LiCl</x:v>
      </x:c>
      <x:c r="C2057" s="23" t="n">
        <x:v>0.9680415</x:v>
      </x:c>
      <x:c r="D2057" s="23" t="n">
        <x:v>-19.97879</x:v>
      </x:c>
      <x:c r="E2057" s="23" t="n">
        <x:f>'Parameters'!$B$2*'Parameters'!$B$3*LN(4*PI()*C2057^2)</x:f>
        <x:v>6.1132657103550665</x:v>
      </x:c>
      <x:c r="F2057" s="23" t="n">
        <x:f>D2057+E2057</x:f>
        <x:v>-13.865524289644934</x:v>
      </x:c>
      <x:c r="G2057" s="23" t="n">
        <x:f>AVERAGE($F$2144:$F$2167)</x:f>
        <x:v>-14.084347713961572</x:v>
      </x:c>
      <x:c r="H2057" s="24" t="n">
        <x:f>F2057-G2057</x:f>
        <x:v>0.21882342431663737</x:v>
      </x:c>
    </x:row>
    <x:row r="2058">
      <x:c r="A2058" s="2" t="str">
        <x:v>LiLC-1</x:v>
      </x:c>
      <x:c r="B2058" s="4" t="str">
        <x:v>LiCl</x:v>
      </x:c>
      <x:c r="C2058" s="23" t="n">
        <x:v>0.9802548</x:v>
      </x:c>
      <x:c r="D2058" s="23" t="n">
        <x:v>-19.94581</x:v>
      </x:c>
      <x:c r="E2058" s="23" t="n">
        <x:f>'Parameters'!$B$2*'Parameters'!$B$3*LN(4*PI()*C2058^2)</x:f>
        <x:v>6.175425952582025</x:v>
      </x:c>
      <x:c r="F2058" s="23" t="n">
        <x:f>D2058+E2058</x:f>
        <x:v>-13.770384047417977</x:v>
      </x:c>
      <x:c r="G2058" s="23" t="n">
        <x:f>AVERAGE($F$2144:$F$2167)</x:f>
        <x:v>-14.084347713961572</x:v>
      </x:c>
      <x:c r="H2058" s="24" t="n">
        <x:f>F2058-G2058</x:f>
        <x:v>0.31396366654359475</x:v>
      </x:c>
    </x:row>
    <x:row r="2059">
      <x:c r="A2059" s="2" t="str">
        <x:v>LiLC-1</x:v>
      </x:c>
      <x:c r="B2059" s="4" t="str">
        <x:v>LiCl</x:v>
      </x:c>
      <x:c r="C2059" s="23" t="n">
        <x:v>0.992468</x:v>
      </x:c>
      <x:c r="D2059" s="23" t="n">
        <x:v>-20.12222</x:v>
      </x:c>
      <x:c r="E2059" s="23" t="n">
        <x:f>'Parameters'!$B$2*'Parameters'!$B$3*LN(4*PI()*C2059^2)</x:f>
        <x:v>6.236815996471564</x:v>
      </x:c>
      <x:c r="F2059" s="23" t="n">
        <x:f>D2059+E2059</x:f>
        <x:v>-13.885404003528436</x:v>
      </x:c>
      <x:c r="G2059" s="23" t="n">
        <x:f>AVERAGE($F$2144:$F$2167)</x:f>
        <x:v>-14.084347713961572</x:v>
      </x:c>
      <x:c r="H2059" s="24" t="n">
        <x:f>F2059-G2059</x:f>
        <x:v>0.1989437104331362</x:v>
      </x:c>
    </x:row>
    <x:row r="2060">
      <x:c r="A2060" s="2" t="str">
        <x:v>LiLC-1</x:v>
      </x:c>
      <x:c r="B2060" s="4" t="str">
        <x:v>LiCl</x:v>
      </x:c>
      <x:c r="C2060" s="23" t="n">
        <x:v>1.004681</x:v>
      </x:c>
      <x:c r="D2060" s="23" t="n">
        <x:v>-20.2186</x:v>
      </x:c>
      <x:c r="E2060" s="23" t="n">
        <x:f>'Parameters'!$B$2*'Parameters'!$B$3*LN(4*PI()*C2060^2)</x:f>
        <x:v>6.297454195432257</x:v>
      </x:c>
      <x:c r="F2060" s="23" t="n">
        <x:f>D2060+E2060</x:f>
        <x:v>-13.921145804567741</x:v>
      </x:c>
      <x:c r="G2060" s="23" t="n">
        <x:f>AVERAGE($F$2144:$F$2167)</x:f>
        <x:v>-14.084347713961572</x:v>
      </x:c>
      <x:c r="H2060" s="24" t="n">
        <x:f>F2060-G2060</x:f>
        <x:v>0.1632019093938304</x:v>
      </x:c>
    </x:row>
    <x:row r="2061">
      <x:c r="A2061" s="2" t="str">
        <x:v>LiLC-1</x:v>
      </x:c>
      <x:c r="B2061" s="4" t="str">
        <x:v>LiCl</x:v>
      </x:c>
      <x:c r="C2061" s="23" t="n">
        <x:v>1.016895</x:v>
      </x:c>
      <x:c r="D2061" s="23" t="n">
        <x:v>-20.20284</x:v>
      </x:c>
      <x:c r="E2061" s="23" t="n">
        <x:f>'Parameters'!$B$2*'Parameters'!$B$3*LN(4*PI()*C2061^2)</x:f>
        <x:v>6.35736458136098</x:v>
      </x:c>
      <x:c r="F2061" s="23" t="n">
        <x:f>D2061+E2061</x:f>
        <x:v>-13.845475418639019</x:v>
      </x:c>
      <x:c r="G2061" s="23" t="n">
        <x:f>AVERAGE($F$2144:$F$2167)</x:f>
        <x:v>-14.084347713961572</x:v>
      </x:c>
      <x:c r="H2061" s="24" t="n">
        <x:f>F2061-G2061</x:f>
        <x:v>0.23887229532255283</x:v>
      </x:c>
    </x:row>
    <x:row r="2062">
      <x:c r="A2062" s="2" t="str">
        <x:v>LiLC-1</x:v>
      </x:c>
      <x:c r="B2062" s="4" t="str">
        <x:v>LiCl</x:v>
      </x:c>
      <x:c r="C2062" s="23" t="n">
        <x:v>1.029108</x:v>
      </x:c>
      <x:c r="D2062" s="23" t="n">
        <x:v>-20.25351</x:v>
      </x:c>
      <x:c r="E2062" s="23" t="n">
        <x:f>'Parameters'!$B$2*'Parameters'!$B$3*LN(4*PI()*C2062^2)</x:f>
        <x:v>6.4165548402136094</x:v>
      </x:c>
      <x:c r="F2062" s="23" t="n">
        <x:f>D2062+E2062</x:f>
        <x:v>-13.836955159786388</x:v>
      </x:c>
      <x:c r="G2062" s="23" t="n">
        <x:f>AVERAGE($F$2144:$F$2167)</x:f>
        <x:v>-14.084347713961572</x:v>
      </x:c>
      <x:c r="H2062" s="24" t="n">
        <x:f>F2062-G2062</x:f>
        <x:v>0.24739255417518358</x:v>
      </x:c>
    </x:row>
    <x:row r="2063">
      <x:c r="A2063" s="2" t="str">
        <x:v>LiLC-1</x:v>
      </x:c>
      <x:c r="B2063" s="4" t="str">
        <x:v>LiCl</x:v>
      </x:c>
      <x:c r="C2063" s="23" t="n">
        <x:v>1.041321</x:v>
      </x:c>
      <x:c r="D2063" s="23" t="n">
        <x:v>-20.29503</x:v>
      </x:c>
      <x:c r="E2063" s="23" t="n">
        <x:f>'Parameters'!$B$2*'Parameters'!$B$3*LN(4*PI()*C2063^2)</x:f>
        <x:v>6.475046782436298</x:v>
      </x:c>
      <x:c r="F2063" s="23" t="n">
        <x:f>D2063+E2063</x:f>
        <x:v>-13.819983217563703</x:v>
      </x:c>
      <x:c r="G2063" s="23" t="n">
        <x:f>AVERAGE($F$2144:$F$2167)</x:f>
        <x:v>-14.084347713961572</x:v>
      </x:c>
      <x:c r="H2063" s="24" t="n">
        <x:f>F2063-G2063</x:f>
        <x:v>0.2643644963978691</x:v>
      </x:c>
    </x:row>
    <x:row r="2064">
      <x:c r="A2064" s="2" t="str">
        <x:v>LiLC-1</x:v>
      </x:c>
      <x:c r="B2064" s="4" t="str">
        <x:v>LiCl</x:v>
      </x:c>
      <x:c r="C2064" s="23" t="n">
        <x:v>1.053534</x:v>
      </x:c>
      <x:c r="D2064" s="23" t="n">
        <x:v>-20.42038</x:v>
      </x:c>
      <x:c r="E2064" s="23" t="n">
        <x:f>'Parameters'!$B$2*'Parameters'!$B$3*LN(4*PI()*C2064^2)</x:f>
        <x:v>6.532856693326755</x:v>
      </x:c>
      <x:c r="F2064" s="23" t="n">
        <x:f>D2064+E2064</x:f>
        <x:v>-13.887523306673247</x:v>
      </x:c>
      <x:c r="G2064" s="23" t="n">
        <x:f>AVERAGE($F$2144:$F$2167)</x:f>
        <x:v>-14.084347713961572</x:v>
      </x:c>
      <x:c r="H2064" s="24" t="n">
        <x:f>F2064-G2064</x:f>
        <x:v>0.19682440728832518</x:v>
      </x:c>
    </x:row>
    <x:row r="2065">
      <x:c r="A2065" s="2" t="str">
        <x:v>LiLC-1</x:v>
      </x:c>
      <x:c r="B2065" s="4" t="str">
        <x:v>LiCl</x:v>
      </x:c>
      <x:c r="C2065" s="23" t="n">
        <x:v>1.065748</x:v>
      </x:c>
      <x:c r="D2065" s="23" t="n">
        <x:v>-20.3797</x:v>
      </x:c>
      <x:c r="E2065" s="23" t="n">
        <x:f>'Parameters'!$B$2*'Parameters'!$B$3*LN(4*PI()*C2065^2)</x:f>
        <x:v>6.590004947116681</x:v>
      </x:c>
      <x:c r="F2065" s="23" t="n">
        <x:f>D2065+E2065</x:f>
        <x:v>-13.789695052883319</x:v>
      </x:c>
      <x:c r="G2065" s="23" t="n">
        <x:f>AVERAGE($F$2144:$F$2167)</x:f>
        <x:v>-14.084347713961572</x:v>
      </x:c>
      <x:c r="H2065" s="24" t="n">
        <x:f>F2065-G2065</x:f>
        <x:v>0.2946526610782527</x:v>
      </x:c>
    </x:row>
    <x:row r="2066">
      <x:c r="A2066" s="2" t="str">
        <x:v>LiLC-1</x:v>
      </x:c>
      <x:c r="B2066" s="4" t="str">
        <x:v>LiCl</x:v>
      </x:c>
      <x:c r="C2066" s="23" t="n">
        <x:v>1.077961</x:v>
      </x:c>
      <x:c r="D2066" s="23" t="n">
        <x:v>-20.43098</x:v>
      </x:c>
      <x:c r="E2066" s="23" t="n">
        <x:f>'Parameters'!$B$2*'Parameters'!$B$3*LN(4*PI()*C2066^2)</x:f>
        <x:v>6.64649737171927</x:v>
      </x:c>
      <x:c r="F2066" s="23" t="n">
        <x:f>D2066+E2066</x:f>
        <x:v>-13.784482628280731</x:v>
      </x:c>
      <x:c r="G2066" s="23" t="n">
        <x:f>AVERAGE($F$2144:$F$2167)</x:f>
        <x:v>-14.084347713961572</x:v>
      </x:c>
      <x:c r="H2066" s="24" t="n">
        <x:f>F2066-G2066</x:f>
        <x:v>0.2998650856808407</x:v>
      </x:c>
    </x:row>
    <x:row r="2067">
      <x:c r="A2067" s="2" t="str">
        <x:v>LiLC-1</x:v>
      </x:c>
      <x:c r="B2067" s="4" t="str">
        <x:v>LiCl</x:v>
      </x:c>
      <x:c r="C2067" s="23" t="n">
        <x:v>1.090174</x:v>
      </x:c>
      <x:c r="D2067" s="23" t="n">
        <x:v>-20.55098</x:v>
      </x:c>
      <x:c r="E2067" s="23" t="n">
        <x:f>'Parameters'!$B$2*'Parameters'!$B$3*LN(4*PI()*C2067^2)</x:f>
        <x:v>6.702353344569671</x:v>
      </x:c>
      <x:c r="F2067" s="23" t="n">
        <x:f>D2067+E2067</x:f>
        <x:v>-13.848626655430328</x:v>
      </x:c>
      <x:c r="G2067" s="23" t="n">
        <x:f>AVERAGE($F$2144:$F$2167)</x:f>
        <x:v>-14.084347713961572</x:v>
      </x:c>
      <x:c r="H2067" s="24" t="n">
        <x:f>F2067-G2067</x:f>
        <x:v>0.2357210585312437</x:v>
      </x:c>
    </x:row>
    <x:row r="2068">
      <x:c r="A2068" s="2" t="str">
        <x:v>LiLC-1</x:v>
      </x:c>
      <x:c r="B2068" s="4" t="str">
        <x:v>LiCl</x:v>
      </x:c>
      <x:c r="C2068" s="23" t="n">
        <x:v>1.102387</x:v>
      </x:c>
      <x:c r="D2068" s="23" t="n">
        <x:v>-20.47104</x:v>
      </x:c>
      <x:c r="E2068" s="23" t="n">
        <x:f>'Parameters'!$B$2*'Parameters'!$B$3*LN(4*PI()*C2068^2)</x:f>
        <x:v>6.757587046763266</x:v>
      </x:c>
      <x:c r="F2068" s="23" t="n">
        <x:f>D2068+E2068</x:f>
        <x:v>-13.713452953236732</x:v>
      </x:c>
      <x:c r="G2068" s="23" t="n">
        <x:f>AVERAGE($F$2144:$F$2167)</x:f>
        <x:v>-14.084347713961572</x:v>
      </x:c>
      <x:c r="H2068" s="24" t="n">
        <x:f>F2068-G2068</x:f>
        <x:v>0.3708947607248394</x:v>
      </x:c>
    </x:row>
    <x:row r="2069">
      <x:c r="A2069" s="2" t="str">
        <x:v>LiLC-1</x:v>
      </x:c>
      <x:c r="B2069" s="4" t="str">
        <x:v>LiCl</x:v>
      </x:c>
      <x:c r="C2069" s="23" t="n">
        <x:v>1.114601</x:v>
      </x:c>
      <x:c r="D2069" s="23" t="n">
        <x:v>-20.45605</x:v>
      </x:c>
      <x:c r="E2069" s="23" t="n">
        <x:f>'Parameters'!$B$2*'Parameters'!$B$3*LN(4*PI()*C2069^2)</x:f>
        <x:v>6.812216638802308</x:v>
      </x:c>
      <x:c r="F2069" s="23" t="n">
        <x:f>D2069+E2069</x:f>
        <x:v>-13.643833361197693</x:v>
      </x:c>
      <x:c r="G2069" s="23" t="n">
        <x:f>AVERAGE($F$2144:$F$2167)</x:f>
        <x:v>-14.084347713961572</x:v>
      </x:c>
      <x:c r="H2069" s="24" t="n">
        <x:f>F2069-G2069</x:f>
        <x:v>0.44051435276387885</x:v>
      </x:c>
    </x:row>
    <x:row r="2070">
      <x:c r="A2070" s="2" t="str">
        <x:v>LiLC-1</x:v>
      </x:c>
      <x:c r="B2070" s="4" t="str">
        <x:v>LiCl</x:v>
      </x:c>
      <x:c r="C2070" s="23" t="n">
        <x:v>1.126814</x:v>
      </x:c>
      <x:c r="D2070" s="23" t="n">
        <x:v>-20.51659</x:v>
      </x:c>
      <x:c r="E2070" s="23" t="n">
        <x:f>'Parameters'!$B$2*'Parameters'!$B$3*LN(4*PI()*C2070^2)</x:f>
        <x:v>6.866246440204556</x:v>
      </x:c>
      <x:c r="F2070" s="23" t="n">
        <x:f>D2070+E2070</x:f>
        <x:v>-13.650343559795445</x:v>
      </x:c>
      <x:c r="G2070" s="23" t="n">
        <x:f>AVERAGE($F$2144:$F$2167)</x:f>
        <x:v>-14.084347713961572</x:v>
      </x:c>
      <x:c r="H2070" s="24" t="n">
        <x:f>F2070-G2070</x:f>
        <x:v>0.4340041541661268</x:v>
      </x:c>
    </x:row>
    <x:row r="2071">
      <x:c r="A2071" s="2" t="str">
        <x:v>LiLC-1</x:v>
      </x:c>
      <x:c r="B2071" s="4" t="str">
        <x:v>LiCl</x:v>
      </x:c>
      <x:c r="C2071" s="23" t="n">
        <x:v>1.139027</x:v>
      </x:c>
      <x:c r="D2071" s="23" t="n">
        <x:v>-20.58142</x:v>
      </x:c>
      <x:c r="E2071" s="23" t="n">
        <x:f>'Parameters'!$B$2*'Parameters'!$B$3*LN(4*PI()*C2071^2)</x:f>
        <x:v>6.919693783424552</x:v>
      </x:c>
      <x:c r="F2071" s="23" t="n">
        <x:f>D2071+E2071</x:f>
        <x:v>-13.661726216575449</x:v>
      </x:c>
      <x:c r="G2071" s="23" t="n">
        <x:f>AVERAGE($F$2144:$F$2167)</x:f>
        <x:v>-14.084347713961572</x:v>
      </x:c>
      <x:c r="H2071" s="24" t="n">
        <x:f>F2071-G2071</x:f>
        <x:v>0.42262149738612287</x:v>
      </x:c>
    </x:row>
    <x:row r="2072">
      <x:c r="A2072" s="2" t="str">
        <x:v>LiLC-1</x:v>
      </x:c>
      <x:c r="B2072" s="4" t="str">
        <x:v>LiCl</x:v>
      </x:c>
      <x:c r="C2072" s="23" t="n">
        <x:v>1.15124</x:v>
      </x:c>
      <x:c r="D2072" s="23" t="n">
        <x:v>-20.5942</x:v>
      </x:c>
      <x:c r="E2072" s="23" t="n">
        <x:f>'Parameters'!$B$2*'Parameters'!$B$3*LN(4*PI()*C2072^2)</x:f>
        <x:v>6.972571092806302</x:v>
      </x:c>
      <x:c r="F2072" s="23" t="n">
        <x:f>D2072+E2072</x:f>
        <x:v>-13.6216289071937</x:v>
      </x:c>
      <x:c r="G2072" s="23" t="n">
        <x:f>AVERAGE($F$2144:$F$2167)</x:f>
        <x:v>-14.084347713961572</x:v>
      </x:c>
      <x:c r="H2072" s="24" t="n">
        <x:f>F2072-G2072</x:f>
        <x:v>0.4627188067678727</x:v>
      </x:c>
    </x:row>
    <x:row r="2073">
      <x:c r="A2073" s="2" t="str">
        <x:v>LiLC-1</x:v>
      </x:c>
      <x:c r="B2073" s="4" t="str">
        <x:v>LiCl</x:v>
      </x:c>
      <x:c r="C2073" s="23" t="n">
        <x:v>1.163454</x:v>
      </x:c>
      <x:c r="D2073" s="23" t="n">
        <x:v>-20.74633</x:v>
      </x:c>
      <x:c r="E2073" s="23" t="n">
        <x:f>'Parameters'!$B$2*'Parameters'!$B$3*LN(4*PI()*C2073^2)</x:f>
        <x:v>7.024894660729103</x:v>
      </x:c>
      <x:c r="F2073" s="23" t="n">
        <x:f>D2073+E2073</x:f>
        <x:v>-13.721435339270897</x:v>
      </x:c>
      <x:c r="G2073" s="23" t="n">
        <x:f>AVERAGE($F$2144:$F$2167)</x:f>
        <x:v>-14.084347713961572</x:v>
      </x:c>
      <x:c r="H2073" s="24" t="n">
        <x:f>F2073-G2073</x:f>
        <x:v>0.3629123746906746</x:v>
      </x:c>
    </x:row>
    <x:row r="2074">
      <x:c r="A2074" s="2" t="str">
        <x:v>LiLC-1</x:v>
      </x:c>
      <x:c r="B2074" s="4" t="str">
        <x:v>LiCl</x:v>
      </x:c>
      <x:c r="C2074" s="23" t="n">
        <x:v>1.175667</x:v>
      </x:c>
      <x:c r="D2074" s="23" t="n">
        <x:v>-20.73876</x:v>
      </x:c>
      <x:c r="E2074" s="23" t="n">
        <x:f>'Parameters'!$B$2*'Parameters'!$B$3*LN(4*PI()*C2074^2)</x:f>
        <x:v>7.076667574261962</x:v>
      </x:c>
      <x:c r="F2074" s="23" t="n">
        <x:f>D2074+E2074</x:f>
        <x:v>-13.662092425738038</x:v>
      </x:c>
      <x:c r="G2074" s="23" t="n">
        <x:f>AVERAGE($F$2144:$F$2167)</x:f>
        <x:v>-14.084347713961572</x:v>
      </x:c>
      <x:c r="H2074" s="24" t="n">
        <x:f>F2074-G2074</x:f>
        <x:v>0.42225528822353375</x:v>
      </x:c>
    </x:row>
    <x:row r="2075">
      <x:c r="A2075" s="2" t="str">
        <x:v>LiLC-1</x:v>
      </x:c>
      <x:c r="B2075" s="4" t="str">
        <x:v>LiCl</x:v>
      </x:c>
      <x:c r="C2075" s="23" t="n">
        <x:v>1.18788</x:v>
      </x:c>
      <x:c r="D2075" s="23" t="n">
        <x:v>-20.75285</x:v>
      </x:c>
      <x:c r="E2075" s="23" t="n">
        <x:f>'Parameters'!$B$2*'Parameters'!$B$3*LN(4*PI()*C2075^2)</x:f>
        <x:v>7.127905432721138</x:v>
      </x:c>
      <x:c r="F2075" s="23" t="n">
        <x:f>D2075+E2075</x:f>
        <x:v>-13.62494456727886</x:v>
      </x:c>
      <x:c r="G2075" s="23" t="n">
        <x:f>AVERAGE($F$2144:$F$2167)</x:f>
        <x:v>-14.084347713961572</x:v>
      </x:c>
      <x:c r="H2075" s="24" t="n">
        <x:f>F2075-G2075</x:f>
        <x:v>0.4594031466827122</x:v>
      </x:c>
    </x:row>
    <x:row r="2076">
      <x:c r="A2076" s="2" t="str">
        <x:v>LiLC-1</x:v>
      </x:c>
      <x:c r="B2076" s="4" t="str">
        <x:v>LiCl</x:v>
      </x:c>
      <x:c r="C2076" s="23" t="n">
        <x:v>1.200093</x:v>
      </x:c>
      <x:c r="D2076" s="23" t="n">
        <x:v>-20.79753</x:v>
      </x:c>
      <x:c r="E2076" s="23" t="n">
        <x:f>'Parameters'!$B$2*'Parameters'!$B$3*LN(4*PI()*C2076^2)</x:f>
        <x:v>7.178619182294587</x:v>
      </x:c>
      <x:c r="F2076" s="23" t="n">
        <x:f>D2076+E2076</x:f>
        <x:v>-13.618910817705412</x:v>
      </x:c>
      <x:c r="G2076" s="23" t="n">
        <x:f>AVERAGE($F$2144:$F$2167)</x:f>
        <x:v>-14.084347713961572</x:v>
      </x:c>
      <x:c r="H2076" s="24" t="n">
        <x:f>F2076-G2076</x:f>
        <x:v>0.46543689625615947</x:v>
      </x:c>
    </x:row>
    <x:row r="2077">
      <x:c r="A2077" s="2" t="str">
        <x:v>LiLC-1</x:v>
      </x:c>
      <x:c r="B2077" s="4" t="str">
        <x:v>LiCl</x:v>
      </x:c>
      <x:c r="C2077" s="23" t="n">
        <x:v>1.212307</x:v>
      </x:c>
      <x:c r="D2077" s="23" t="n">
        <x:v>-20.94155</x:v>
      </x:c>
      <x:c r="E2077" s="23" t="n">
        <x:f>'Parameters'!$B$2*'Parameters'!$B$3*LN(4*PI()*C2077^2)</x:f>
        <x:v>7.228823526315947</x:v>
      </x:c>
      <x:c r="F2077" s="23" t="n">
        <x:f>D2077+E2077</x:f>
        <x:v>-13.712726473684054</x:v>
      </x:c>
      <x:c r="G2077" s="23" t="n">
        <x:f>AVERAGE($F$2144:$F$2167)</x:f>
        <x:v>-14.084347713961572</x:v>
      </x:c>
      <x:c r="H2077" s="24" t="n">
        <x:f>F2077-G2077</x:f>
        <x:v>0.3716212402775181</x:v>
      </x:c>
    </x:row>
    <x:row r="2078">
      <x:c r="A2078" s="2" t="str">
        <x:v>LiLC-1</x:v>
      </x:c>
      <x:c r="B2078" s="4" t="str">
        <x:v>LiCl</x:v>
      </x:c>
      <x:c r="C2078" s="23" t="n">
        <x:v>1.22452</x:v>
      </x:c>
      <x:c r="D2078" s="23" t="n">
        <x:v>-20.93588</x:v>
      </x:c>
      <x:c r="E2078" s="23" t="n">
        <x:f>'Parameters'!$B$2*'Parameters'!$B$3*LN(4*PI()*C2078^2)</x:f>
        <x:v>7.278520539192172</x:v>
      </x:c>
      <x:c r="F2078" s="23" t="n">
        <x:f>D2078+E2078</x:f>
        <x:v>-13.657359460807829</x:v>
      </x:c>
      <x:c r="G2078" s="23" t="n">
        <x:f>AVERAGE($F$2144:$F$2167)</x:f>
        <x:v>-14.084347713961572</x:v>
      </x:c>
      <x:c r="H2078" s="24" t="n">
        <x:f>F2078-G2078</x:f>
        <x:v>0.426988253153743</x:v>
      </x:c>
    </x:row>
    <x:row r="2079">
      <x:c r="A2079" s="2" t="str">
        <x:v>LiLC-1</x:v>
      </x:c>
      <x:c r="B2079" s="4" t="str">
        <x:v>LiCl</x:v>
      </x:c>
      <x:c r="C2079" s="23" t="n">
        <x:v>1.236733</x:v>
      </x:c>
      <x:c r="D2079" s="23" t="n">
        <x:v>-21.08963</x:v>
      </x:c>
      <x:c r="E2079" s="23" t="n">
        <x:f>'Parameters'!$B$2*'Parameters'!$B$3*LN(4*PI()*C2079^2)</x:f>
        <x:v>7.327724340170646</x:v>
      </x:c>
      <x:c r="F2079" s="23" t="n">
        <x:f>D2079+E2079</x:f>
        <x:v>-13.761905659829353</x:v>
      </x:c>
      <x:c r="G2079" s="23" t="n">
        <x:f>AVERAGE($F$2144:$F$2167)</x:f>
        <x:v>-14.084347713961572</x:v>
      </x:c>
      <x:c r="H2079" s="24" t="n">
        <x:f>F2079-G2079</x:f>
        <x:v>0.32244205413221927</x:v>
      </x:c>
    </x:row>
    <x:row r="2080">
      <x:c r="A2080" s="2" t="str">
        <x:v>LiLC-1</x:v>
      </x:c>
      <x:c r="B2080" s="4" t="str">
        <x:v>LiCl</x:v>
      </x:c>
      <x:c r="C2080" s="23" t="n">
        <x:v>1.248946</x:v>
      </x:c>
      <x:c r="D2080" s="23" t="n">
        <x:v>-21.1307</x:v>
      </x:c>
      <x:c r="E2080" s="23" t="n">
        <x:f>'Parameters'!$B$2*'Parameters'!$B$3*LN(4*PI()*C2080^2)</x:f>
        <x:v>7.376444622769769</x:v>
      </x:c>
      <x:c r="F2080" s="23" t="n">
        <x:f>D2080+E2080</x:f>
        <x:v>-13.754255377230232</x:v>
      </x:c>
      <x:c r="G2080" s="23" t="n">
        <x:f>AVERAGE($F$2144:$F$2167)</x:f>
        <x:v>-14.084347713961572</x:v>
      </x:c>
      <x:c r="H2080" s="24" t="n">
        <x:f>F2080-G2080</x:f>
        <x:v>0.3300923367313402</x:v>
      </x:c>
    </x:row>
    <x:row r="2081">
      <x:c r="A2081" s="2" t="str">
        <x:v>LiLC-1</x:v>
      </x:c>
      <x:c r="B2081" s="4" t="str">
        <x:v>LiCl</x:v>
      </x:c>
      <x:c r="C2081" s="23" t="n">
        <x:v>1.26116</x:v>
      </x:c>
      <x:c r="D2081" s="23" t="n">
        <x:v>-21.26407</x:v>
      </x:c>
      <x:c r="E2081" s="23" t="n">
        <x:f>'Parameters'!$B$2*'Parameters'!$B$3*LN(4*PI()*C2081^2)</x:f>
        <x:v>7.424694728748797</x:v>
      </x:c>
      <x:c r="F2081" s="23" t="n">
        <x:f>D2081+E2081</x:f>
        <x:v>-13.839375271251203</x:v>
      </x:c>
      <x:c r="G2081" s="23" t="n">
        <x:f>AVERAGE($F$2144:$F$2167)</x:f>
        <x:v>-14.084347713961572</x:v>
      </x:c>
      <x:c r="H2081" s="24" t="n">
        <x:f>F2081-G2081</x:f>
        <x:v>0.24497244271036855</x:v>
      </x:c>
    </x:row>
    <x:row r="2082">
      <x:c r="A2082" s="2" t="str">
        <x:v>LiLC-1</x:v>
      </x:c>
      <x:c r="B2082" s="4" t="str">
        <x:v>LiCl</x:v>
      </x:c>
      <x:c r="C2082" s="23" t="n">
        <x:v>1.273373</x:v>
      </x:c>
      <x:c r="D2082" s="23" t="n">
        <x:v>-21.33389</x:v>
      </x:c>
      <x:c r="E2082" s="23" t="n">
        <x:f>'Parameters'!$B$2*'Parameters'!$B$3*LN(4*PI()*C2082^2)</x:f>
        <x:v>7.4724758963736875</x:v>
      </x:c>
      <x:c r="F2082" s="23" t="n">
        <x:f>D2082+E2082</x:f>
        <x:v>-13.861414103626313</x:v>
      </x:c>
      <x:c r="G2082" s="23" t="n">
        <x:f>AVERAGE($F$2144:$F$2167)</x:f>
        <x:v>-14.084347713961572</x:v>
      </x:c>
      <x:c r="H2082" s="24" t="n">
        <x:f>F2082-G2082</x:f>
        <x:v>0.22293361033525905</x:v>
      </x:c>
    </x:row>
    <x:row r="2083">
      <x:c r="A2083" s="2" t="str">
        <x:v>LiLC-1</x:v>
      </x:c>
      <x:c r="B2083" s="4" t="str">
        <x:v>LiCl</x:v>
      </x:c>
      <x:c r="C2083" s="23" t="n">
        <x:v>1.285586</x:v>
      </x:c>
      <x:c r="D2083" s="23" t="n">
        <x:v>-21.17455</x:v>
      </x:c>
      <x:c r="E2083" s="23" t="n">
        <x:f>'Parameters'!$B$2*'Parameters'!$B$3*LN(4*PI()*C2083^2)</x:f>
        <x:v>7.51980097204513</x:v>
      </x:c>
      <x:c r="F2083" s="23" t="n">
        <x:f>D2083+E2083</x:f>
        <x:v>-13.654749027954871</x:v>
      </x:c>
      <x:c r="G2083" s="23" t="n">
        <x:f>AVERAGE($F$2144:$F$2167)</x:f>
        <x:v>-14.084347713961572</x:v>
      </x:c>
      <x:c r="H2083" s="24" t="n">
        <x:f>F2083-G2083</x:f>
        <x:v>0.4295986860067007</x:v>
      </x:c>
    </x:row>
    <x:row r="2084">
      <x:c r="A2084" s="2" t="str">
        <x:v>LiLC-1</x:v>
      </x:c>
      <x:c r="B2084" s="4" t="str">
        <x:v>LiCl</x:v>
      </x:c>
      <x:c r="C2084" s="23" t="n">
        <x:v>1.297799</x:v>
      </x:c>
      <x:c r="D2084" s="23" t="n">
        <x:v>-21.33522</x:v>
      </x:c>
      <x:c r="E2084" s="23" t="n">
        <x:f>'Parameters'!$B$2*'Parameters'!$B$3*LN(4*PI()*C2084^2)</x:f>
        <x:v>7.566678580690059</x:v>
      </x:c>
      <x:c r="F2084" s="23" t="n">
        <x:f>D2084+E2084</x:f>
        <x:v>-13.76854141930994</x:v>
      </x:c>
      <x:c r="G2084" s="23" t="n">
        <x:f>AVERAGE($F$2144:$F$2167)</x:f>
        <x:v>-14.084347713961572</x:v>
      </x:c>
      <x:c r="H2084" s="24" t="n">
        <x:f>F2084-G2084</x:f>
        <x:v>0.31580629465163135</x:v>
      </x:c>
    </x:row>
    <x:row r="2085">
      <x:c r="A2085" s="2" t="str">
        <x:v>LiLC-1</x:v>
      </x:c>
      <x:c r="B2085" s="4" t="str">
        <x:v>LiCl</x:v>
      </x:c>
      <x:c r="C2085" s="23" t="n">
        <x:v>1.310013</x:v>
      </x:c>
      <x:c r="D2085" s="23" t="n">
        <x:v>-21.4</x:v>
      </x:c>
      <x:c r="E2085" s="23" t="n">
        <x:f>'Parameters'!$B$2*'Parameters'!$B$3*LN(4*PI()*C2085^2)</x:f>
        <x:v>7.61312088950381</x:v>
      </x:c>
      <x:c r="F2085" s="23" t="n">
        <x:f>D2085+E2085</x:f>
        <x:v>-13.786879110496189</x:v>
      </x:c>
      <x:c r="G2085" s="23" t="n">
        <x:f>AVERAGE($F$2144:$F$2167)</x:f>
        <x:v>-14.084347713961572</x:v>
      </x:c>
      <x:c r="H2085" s="24" t="n">
        <x:f>F2085-G2085</x:f>
        <x:v>0.29746860346538284</x:v>
      </x:c>
    </x:row>
    <x:row r="2086">
      <x:c r="A2086" s="2" t="str">
        <x:v>LiLC-1</x:v>
      </x:c>
      <x:c r="B2086" s="4" t="str">
        <x:v>LiCl</x:v>
      </x:c>
      <x:c r="C2086" s="23" t="n">
        <x:v>1.322226</x:v>
      </x:c>
      <x:c r="D2086" s="23" t="n">
        <x:v>-21.4623</x:v>
      </x:c>
      <x:c r="E2086" s="23" t="n">
        <x:f>'Parameters'!$B$2*'Parameters'!$B$3*LN(4*PI()*C2086^2)</x:f>
        <x:v>7.6591284434645805</x:v>
      </x:c>
      <x:c r="F2086" s="23" t="n">
        <x:f>D2086+E2086</x:f>
        <x:v>-13.803171556535418</x:v>
      </x:c>
      <x:c r="G2086" s="23" t="n">
        <x:f>AVERAGE($F$2144:$F$2167)</x:f>
        <x:v>-14.084347713961572</x:v>
      </x:c>
      <x:c r="H2086" s="24" t="n">
        <x:f>F2086-G2086</x:f>
        <x:v>0.2811761574261542</x:v>
      </x:c>
    </x:row>
    <x:row r="2087">
      <x:c r="A2087" s="2" t="str">
        <x:v>LiLC-1</x:v>
      </x:c>
      <x:c r="B2087" s="4" t="str">
        <x:v>LiCl</x:v>
      </x:c>
      <x:c r="C2087" s="23" t="n">
        <x:v>1.334439</x:v>
      </x:c>
      <x:c r="D2087" s="23" t="n">
        <x:v>-21.55462</x:v>
      </x:c>
      <x:c r="E2087" s="23" t="n">
        <x:f>'Parameters'!$B$2*'Parameters'!$B$3*LN(4*PI()*C2087^2)</x:f>
        <x:v>7.7047129872152835</x:v>
      </x:c>
      <x:c r="F2087" s="23" t="n">
        <x:f>D2087+E2087</x:f>
        <x:v>-13.849907012784715</x:v>
      </x:c>
      <x:c r="G2087" s="23" t="n">
        <x:f>AVERAGE($F$2144:$F$2167)</x:f>
        <x:v>-14.084347713961572</x:v>
      </x:c>
      <x:c r="H2087" s="24" t="n">
        <x:f>F2087-G2087</x:f>
        <x:v>0.23444070117685634</x:v>
      </x:c>
    </x:row>
    <x:row r="2088">
      <x:c r="A2088" s="2" t="str">
        <x:v>LiLC-1</x:v>
      </x:c>
      <x:c r="B2088" s="4" t="str">
        <x:v>LiCl</x:v>
      </x:c>
      <x:c r="C2088" s="23" t="n">
        <x:v>1.346652</x:v>
      </x:c>
      <x:c r="D2088" s="23" t="n">
        <x:v>-21.59928</x:v>
      </x:c>
      <x:c r="E2088" s="23" t="n">
        <x:f>'Parameters'!$B$2*'Parameters'!$B$3*LN(4*PI()*C2088^2)</x:f>
        <x:v>7.749882228561269</x:v>
      </x:c>
      <x:c r="F2088" s="23" t="n">
        <x:f>D2088+E2088</x:f>
        <x:v>-13.849397771438731</x:v>
      </x:c>
      <x:c r="G2088" s="23" t="n">
        <x:f>AVERAGE($F$2144:$F$2167)</x:f>
        <x:v>-14.084347713961572</x:v>
      </x:c>
      <x:c r="H2088" s="24" t="n">
        <x:f>F2088-G2088</x:f>
        <x:v>0.23494994252284052</x:v>
      </x:c>
    </x:row>
    <x:row r="2089">
      <x:c r="A2089" s="2" t="str">
        <x:v>LiLC-1</x:v>
      </x:c>
      <x:c r="B2089" s="4" t="str">
        <x:v>LiCl</x:v>
      </x:c>
      <x:c r="C2089" s="23" t="n">
        <x:v>1.358865</x:v>
      </x:c>
      <x:c r="D2089" s="23" t="n">
        <x:v>-21.66815</x:v>
      </x:c>
      <x:c r="E2089" s="23" t="n">
        <x:f>'Parameters'!$B$2*'Parameters'!$B$3*LN(4*PI()*C2089^2)</x:f>
        <x:v>7.7946436665388745</x:v>
      </x:c>
      <x:c r="F2089" s="23" t="n">
        <x:f>D2089+E2089</x:f>
        <x:v>-13.873506333461126</x:v>
      </x:c>
      <x:c r="G2089" s="23" t="n">
        <x:f>AVERAGE($F$2144:$F$2167)</x:f>
        <x:v>-14.084347713961572</x:v>
      </x:c>
      <x:c r="H2089" s="24" t="n">
        <x:f>F2089-G2089</x:f>
        <x:v>0.21084138050044565</x:v>
      </x:c>
    </x:row>
    <x:row r="2090">
      <x:c r="A2090" s="2" t="str">
        <x:v>LiLC-1</x:v>
      </x:c>
      <x:c r="B2090" s="4" t="str">
        <x:v>LiCl</x:v>
      </x:c>
      <x:c r="C2090" s="23" t="n">
        <x:v>1.371079</x:v>
      </x:c>
      <x:c r="D2090" s="23" t="n">
        <x:v>-21.66465</x:v>
      </x:c>
      <x:c r="E2090" s="23" t="n">
        <x:f>'Parameters'!$B$2*'Parameters'!$B$3*LN(4*PI()*C2090^2)</x:f>
        <x:v>7.839008214956174</x:v>
      </x:c>
      <x:c r="F2090" s="23" t="n">
        <x:f>D2090+E2090</x:f>
        <x:v>-13.825641785043828</x:v>
      </x:c>
      <x:c r="G2090" s="23" t="n">
        <x:f>AVERAGE($F$2144:$F$2167)</x:f>
        <x:v>-14.084347713961572</x:v>
      </x:c>
      <x:c r="H2090" s="24" t="n">
        <x:f>F2090-G2090</x:f>
        <x:v>0.2587059289177436</x:v>
      </x:c>
    </x:row>
    <x:row r="2091">
      <x:c r="A2091" s="2" t="str">
        <x:v>LiLC-1</x:v>
      </x:c>
      <x:c r="B2091" s="4" t="str">
        <x:v>LiCl</x:v>
      </x:c>
      <x:c r="C2091" s="23" t="n">
        <x:v>1.383292</x:v>
      </x:c>
      <x:c r="D2091" s="23" t="n">
        <x:v>-21.64995</x:v>
      </x:c>
      <x:c r="E2091" s="23" t="n">
        <x:f>'Parameters'!$B$2*'Parameters'!$B$3*LN(4*PI()*C2091^2)</x:f>
        <x:v>7.882975713332814</x:v>
      </x:c>
      <x:c r="F2091" s="23" t="n">
        <x:f>D2091+E2091</x:f>
        <x:v>-13.766974286667185</x:v>
      </x:c>
      <x:c r="G2091" s="23" t="n">
        <x:f>AVERAGE($F$2144:$F$2167)</x:f>
        <x:v>-14.084347713961572</x:v>
      </x:c>
      <x:c r="H2091" s="24" t="n">
        <x:f>F2091-G2091</x:f>
        <x:v>0.31737342729438645</x:v>
      </x:c>
    </x:row>
    <x:row r="2092">
      <x:c r="A2092" s="2" t="str">
        <x:v>LiLC-1</x:v>
      </x:c>
      <x:c r="B2092" s="4" t="str">
        <x:v>LiCl</x:v>
      </x:c>
      <x:c r="C2092" s="23" t="n">
        <x:v>1.395505</x:v>
      </x:c>
      <x:c r="D2092" s="23" t="n">
        <x:v>-21.64211</x:v>
      </x:c>
      <x:c r="E2092" s="23" t="n">
        <x:f>'Parameters'!$B$2*'Parameters'!$B$3*LN(4*PI()*C2092^2)</x:f>
        <x:v>7.926556726476111</x:v>
      </x:c>
      <x:c r="F2092" s="23" t="n">
        <x:f>D2092+E2092</x:f>
        <x:v>-13.715553273523888</x:v>
      </x:c>
      <x:c r="G2092" s="23" t="n">
        <x:f>AVERAGE($F$2144:$F$2167)</x:f>
        <x:v>-14.084347713961572</x:v>
      </x:c>
      <x:c r="H2092" s="24" t="n">
        <x:f>F2092-G2092</x:f>
        <x:v>0.36879444043768395</x:v>
      </x:c>
    </x:row>
    <x:row r="2093">
      <x:c r="A2093" s="2" t="str">
        <x:v>LiLC-1</x:v>
      </x:c>
      <x:c r="B2093" s="4" t="str">
        <x:v>LiCl</x:v>
      </x:c>
      <x:c r="C2093" s="23" t="n">
        <x:v>1.407718</x:v>
      </x:c>
      <x:c r="D2093" s="23" t="n">
        <x:v>-21.65349</x:v>
      </x:c>
      <x:c r="E2093" s="23" t="n">
        <x:f>'Parameters'!$B$2*'Parameters'!$B$3*LN(4*PI()*C2093^2)</x:f>
        <x:v>7.969757989825298</x:v>
      </x:c>
      <x:c r="F2093" s="23" t="n">
        <x:f>D2093+E2093</x:f>
        <x:v>-13.683732010174705</x:v>
      </x:c>
      <x:c r="G2093" s="23" t="n">
        <x:f>AVERAGE($F$2144:$F$2167)</x:f>
        <x:v>-14.084347713961572</x:v>
      </x:c>
      <x:c r="H2093" s="24" t="n">
        <x:f>F2093-G2093</x:f>
        <x:v>0.40061570378686717</x:v>
      </x:c>
    </x:row>
    <x:row r="2094">
      <x:c r="A2094" s="2" t="str">
        <x:v>LiLC-1</x:v>
      </x:c>
      <x:c r="B2094" s="4" t="str">
        <x:v>LiCl</x:v>
      </x:c>
      <x:c r="C2094" s="23" t="n">
        <x:v>1.419932</x:v>
      </x:c>
      <x:c r="D2094" s="23" t="n">
        <x:v>-21.73504</x:v>
      </x:c>
      <x:c r="E2094" s="23" t="n">
        <x:f>'Parameters'!$B$2*'Parameters'!$B$3*LN(4*PI()*C2094^2)</x:f>
        <x:v>8.012589555924759</x:v>
      </x:c>
      <x:c r="F2094" s="23" t="n">
        <x:f>D2094+E2094</x:f>
        <x:v>-13.722450444075243</x:v>
      </x:c>
      <x:c r="G2094" s="23" t="n">
        <x:f>AVERAGE($F$2144:$F$2167)</x:f>
        <x:v>-14.084347713961572</x:v>
      </x:c>
      <x:c r="H2094" s="24" t="n">
        <x:f>F2094-G2094</x:f>
        <x:v>0.3618972698863292</x:v>
      </x:c>
    </x:row>
    <x:row r="2095">
      <x:c r="A2095" s="2" t="str">
        <x:v>LiLC-1</x:v>
      </x:c>
      <x:c r="B2095" s="4" t="str">
        <x:v>LiCl</x:v>
      </x:c>
      <x:c r="C2095" s="23" t="n">
        <x:v>1.432145</x:v>
      </x:c>
      <x:c r="D2095" s="23" t="n">
        <x:v>-21.78651</x:v>
      </x:c>
      <x:c r="E2095" s="23" t="n">
        <x:f>'Parameters'!$B$2*'Parameters'!$B$3*LN(4*PI()*C2095^2)</x:f>
        <x:v>8.055050803998983</x:v>
      </x:c>
      <x:c r="F2095" s="23" t="n">
        <x:f>D2095+E2095</x:f>
        <x:v>-13.731459196001017</x:v>
      </x:c>
      <x:c r="G2095" s="23" t="n">
        <x:f>AVERAGE($F$2144:$F$2167)</x:f>
        <x:v>-14.084347713961572</x:v>
      </x:c>
      <x:c r="H2095" s="24" t="n">
        <x:f>F2095-G2095</x:f>
        <x:v>0.35288851796055454</x:v>
      </x:c>
    </x:row>
    <x:row r="2096">
      <x:c r="A2096" s="2" t="str">
        <x:v>LiLC-1</x:v>
      </x:c>
      <x:c r="B2096" s="4" t="str">
        <x:v>LiCl</x:v>
      </x:c>
      <x:c r="C2096" s="23" t="n">
        <x:v>1.444358</x:v>
      </x:c>
      <x:c r="D2096" s="23" t="n">
        <x:v>-21.81495</x:v>
      </x:c>
      <x:c r="E2096" s="23" t="n">
        <x:f>'Parameters'!$B$2*'Parameters'!$B$3*LN(4*PI()*C2096^2)</x:f>
        <x:v>8.097151485453475</x:v>
      </x:c>
      <x:c r="F2096" s="23" t="n">
        <x:f>D2096+E2096</x:f>
        <x:v>-13.717798514546525</x:v>
      </x:c>
      <x:c r="G2096" s="23" t="n">
        <x:f>AVERAGE($F$2144:$F$2167)</x:f>
        <x:v>-14.084347713961572</x:v>
      </x:c>
      <x:c r="H2096" s="24" t="n">
        <x:f>F2096-G2096</x:f>
        <x:v>0.36654919941504716</x:v>
      </x:c>
    </x:row>
    <x:row r="2097">
      <x:c r="A2097" s="2" t="str">
        <x:v>LiLC-1</x:v>
      </x:c>
      <x:c r="B2097" s="4" t="str">
        <x:v>LiCl</x:v>
      </x:c>
      <x:c r="C2097" s="23" t="n">
        <x:v>1.456571</x:v>
      </x:c>
      <x:c r="D2097" s="23" t="n">
        <x:v>-21.85925</x:v>
      </x:c>
      <x:c r="E2097" s="23" t="n">
        <x:f>'Parameters'!$B$2*'Parameters'!$B$3*LN(4*PI()*C2097^2)</x:f>
        <x:v>8.138897672382857</x:v>
      </x:c>
      <x:c r="F2097" s="23" t="n">
        <x:f>D2097+E2097</x:f>
        <x:v>-13.720352327617142</x:v>
      </x:c>
      <x:c r="G2097" s="23" t="n">
        <x:f>AVERAGE($F$2144:$F$2167)</x:f>
        <x:v>-14.084347713961572</x:v>
      </x:c>
      <x:c r="H2097" s="24" t="n">
        <x:f>F2097-G2097</x:f>
        <x:v>0.3639953863444294</x:v>
      </x:c>
    </x:row>
    <x:row r="2098">
      <x:c r="A2098" s="2" t="str">
        <x:v>LiLC-1</x:v>
      </x:c>
      <x:c r="B2098" s="4" t="str">
        <x:v>LiCl</x:v>
      </x:c>
      <x:c r="C2098" s="23" t="n">
        <x:v>1.468785</x:v>
      </x:c>
      <x:c r="D2098" s="23" t="n">
        <x:v>-21.86697</x:v>
      </x:c>
      <x:c r="E2098" s="23" t="n">
        <x:f>'Parameters'!$B$2*'Parameters'!$B$3*LN(4*PI()*C2098^2)</x:f>
        <x:v>8.180298660298424</x:v>
      </x:c>
      <x:c r="F2098" s="23" t="n">
        <x:f>D2098+E2098</x:f>
        <x:v>-13.686671339701574</x:v>
      </x:c>
      <x:c r="G2098" s="23" t="n">
        <x:f>AVERAGE($F$2144:$F$2167)</x:f>
        <x:v>-14.084347713961572</x:v>
      </x:c>
      <x:c r="H2098" s="24" t="n">
        <x:f>F2098-G2098</x:f>
        <x:v>0.3976763742599978</x:v>
      </x:c>
    </x:row>
    <x:row r="2099">
      <x:c r="A2099" s="2" t="str">
        <x:v>LiLC-1</x:v>
      </x:c>
      <x:c r="B2099" s="4" t="str">
        <x:v>LiCl</x:v>
      </x:c>
      <x:c r="C2099" s="23" t="n">
        <x:v>1.480998</x:v>
      </x:c>
      <x:c r="D2099" s="23" t="n">
        <x:v>-21.8341</x:v>
      </x:c>
      <x:c r="E2099" s="23" t="n">
        <x:f>'Parameters'!$B$2*'Parameters'!$B$3*LN(4*PI()*C2099^2)</x:f>
        <x:v>8.221353443243151</x:v>
      </x:c>
      <x:c r="F2099" s="23" t="n">
        <x:f>D2099+E2099</x:f>
        <x:v>-13.612746556756848</x:v>
      </x:c>
      <x:c r="G2099" s="23" t="n">
        <x:f>AVERAGE($F$2144:$F$2167)</x:f>
        <x:v>-14.084347713961572</x:v>
      </x:c>
      <x:c r="H2099" s="24" t="n">
        <x:f>F2099-G2099</x:f>
        <x:v>0.4716011572047236</x:v>
      </x:c>
    </x:row>
    <x:row r="2100">
      <x:c r="A2100" s="2" t="str">
        <x:v>LiLC-1</x:v>
      </x:c>
      <x:c r="B2100" s="4" t="str">
        <x:v>LiCl</x:v>
      </x:c>
      <x:c r="C2100" s="23" t="n">
        <x:v>1.493211</x:v>
      </x:c>
      <x:c r="D2100" s="23" t="n">
        <x:v>-21.86898</x:v>
      </x:c>
      <x:c r="E2100" s="23" t="n">
        <x:f>'Parameters'!$B$2*'Parameters'!$B$3*LN(4*PI()*C2100^2)</x:f>
        <x:v>8.262071055717442</x:v>
      </x:c>
      <x:c r="F2100" s="23" t="n">
        <x:f>D2100+E2100</x:f>
        <x:v>-13.606908944282559</x:v>
      </x:c>
      <x:c r="G2100" s="23" t="n">
        <x:f>AVERAGE($F$2144:$F$2167)</x:f>
        <x:v>-14.084347713961572</x:v>
      </x:c>
      <x:c r="H2100" s="24" t="n">
        <x:f>F2100-G2100</x:f>
        <x:v>0.4774387696790132</x:v>
      </x:c>
    </x:row>
    <x:row r="2101">
      <x:c r="A2101" s="2" t="str">
        <x:v>LiLC-1</x:v>
      </x:c>
      <x:c r="B2101" s="4" t="str">
        <x:v>LiCl</x:v>
      </x:c>
      <x:c r="C2101" s="23" t="n">
        <x:v>1.505424</x:v>
      </x:c>
      <x:c r="D2101" s="23" t="n">
        <x:v>-21.83073</x:v>
      </x:c>
      <x:c r="E2101" s="23" t="n">
        <x:f>'Parameters'!$B$2*'Parameters'!$B$3*LN(4*PI()*C2101^2)</x:f>
        <x:v>8.302456990796415</x:v>
      </x:c>
      <x:c r="F2101" s="23" t="n">
        <x:f>D2101+E2101</x:f>
        <x:v>-13.528273009203584</x:v>
      </x:c>
      <x:c r="G2101" s="23" t="n">
        <x:f>AVERAGE($F$2144:$F$2167)</x:f>
        <x:v>-14.084347713961572</x:v>
      </x:c>
      <x:c r="H2101" s="24" t="n">
        <x:f>F2101-G2101</x:f>
        <x:v>0.5560747047579877</x:v>
      </x:c>
    </x:row>
    <x:row r="2102">
      <x:c r="A2102" s="2" t="str">
        <x:v>LiLC-1</x:v>
      </x:c>
      <x:c r="B2102" s="4" t="str">
        <x:v>LiCl</x:v>
      </x:c>
      <x:c r="C2102" s="23" t="n">
        <x:v>1.517638</x:v>
      </x:c>
      <x:c r="D2102" s="23" t="n">
        <x:v>-21.81132</x:v>
      </x:c>
      <x:c r="E2102" s="23" t="n">
        <x:f>'Parameters'!$B$2*'Parameters'!$B$3*LN(4*PI()*C2102^2)</x:f>
        <x:v>8.342519875265102</x:v>
      </x:c>
      <x:c r="F2102" s="23" t="n">
        <x:f>D2102+E2102</x:f>
        <x:v>-13.468800124734896</x:v>
      </x:c>
      <x:c r="G2102" s="23" t="n">
        <x:f>AVERAGE($F$2144:$F$2167)</x:f>
        <x:v>-14.084347713961572</x:v>
      </x:c>
      <x:c r="H2102" s="24" t="n">
        <x:f>F2102-G2102</x:f>
        <x:v>0.6155475892266757</x:v>
      </x:c>
    </x:row>
    <x:row r="2103">
      <x:c r="A2103" s="2" t="str">
        <x:v>LiLC-1</x:v>
      </x:c>
      <x:c r="B2103" s="4" t="str">
        <x:v>LiCl</x:v>
      </x:c>
      <x:c r="C2103" s="23" t="n">
        <x:v>1.529851</x:v>
      </x:c>
      <x:c r="D2103" s="23" t="n">
        <x:v>-21.89894</x:v>
      </x:c>
      <x:c r="E2103" s="23" t="n">
        <x:f>'Parameters'!$B$2*'Parameters'!$B$3*LN(4*PI()*C2103^2)</x:f>
        <x:v>8.382258380355037</x:v>
      </x:c>
      <x:c r="F2103" s="23" t="n">
        <x:f>D2103+E2103</x:f>
        <x:v>-13.516681619644963</x:v>
      </x:c>
      <x:c r="G2103" s="23" t="n">
        <x:f>AVERAGE($F$2144:$F$2167)</x:f>
        <x:v>-14.084347713961572</x:v>
      </x:c>
      <x:c r="H2103" s="24" t="n">
        <x:f>F2103-G2103</x:f>
        <x:v>0.5676660943166087</x:v>
      </x:c>
    </x:row>
    <x:row r="2104">
      <x:c r="A2104" s="2" t="str">
        <x:v>LiLC-1</x:v>
      </x:c>
      <x:c r="B2104" s="4" t="str">
        <x:v>LiCl</x:v>
      </x:c>
      <x:c r="C2104" s="23" t="n">
        <x:v>1.542064</x:v>
      </x:c>
      <x:c r="D2104" s="23" t="n">
        <x:v>-21.86954</x:v>
      </x:c>
      <x:c r="E2104" s="23" t="n">
        <x:f>'Parameters'!$B$2*'Parameters'!$B$3*LN(4*PI()*C2104^2)</x:f>
        <x:v>8.421680905675135</x:v>
      </x:c>
      <x:c r="F2104" s="23" t="n">
        <x:f>D2104+E2104</x:f>
        <x:v>-13.447859094324865</x:v>
      </x:c>
      <x:c r="G2104" s="23" t="n">
        <x:f>AVERAGE($F$2144:$F$2167)</x:f>
        <x:v>-14.084347713961572</x:v>
      </x:c>
      <x:c r="H2104" s="24" t="n">
        <x:f>F2104-G2104</x:f>
        <x:v>0.6364886196367063</x:v>
      </x:c>
    </x:row>
    <x:row r="2105">
      <x:c r="A2105" s="2" t="str">
        <x:v>LiLC-1</x:v>
      </x:c>
      <x:c r="B2105" s="4" t="str">
        <x:v>LiCl</x:v>
      </x:c>
      <x:c r="C2105" s="23" t="n">
        <x:v>1.554277</x:v>
      </x:c>
      <x:c r="D2105" s="23" t="n">
        <x:v>-21.63879</x:v>
      </x:c>
      <x:c r="E2105" s="23" t="n">
        <x:f>'Parameters'!$B$2*'Parameters'!$B$3*LN(4*PI()*C2105^2)</x:f>
        <x:v>8.46079243662132</x:v>
      </x:c>
      <x:c r="F2105" s="23" t="n">
        <x:f>D2105+E2105</x:f>
        <x:v>-13.17799756337868</x:v>
      </x:c>
      <x:c r="G2105" s="23" t="n">
        <x:f>AVERAGE($F$2144:$F$2167)</x:f>
        <x:v>-14.084347713961572</x:v>
      </x:c>
      <x:c r="H2105" s="24" t="n">
        <x:f>F2105-G2105</x:f>
        <x:v>0.9063501505828917</x:v>
      </x:c>
    </x:row>
    <x:row r="2106">
      <x:c r="A2106" s="2" t="str">
        <x:v>LiLC-1</x:v>
      </x:c>
      <x:c r="B2106" s="4" t="str">
        <x:v>LiCl</x:v>
      </x:c>
      <x:c r="C2106" s="23" t="n">
        <x:v>1.566491</x:v>
      </x:c>
      <x:c r="D2106" s="23" t="n">
        <x:v>-21.71068</x:v>
      </x:c>
      <x:c r="E2106" s="23" t="n">
        <x:f>'Parameters'!$B$2*'Parameters'!$B$3*LN(4*PI()*C2106^2)</x:f>
        <x:v>8.499601006508067</x:v>
      </x:c>
      <x:c r="F2106" s="23" t="n">
        <x:f>D2106+E2106</x:f>
        <x:v>-13.211078993491933</x:v>
      </x:c>
      <x:c r="G2106" s="23" t="n">
        <x:f>AVERAGE($F$2144:$F$2167)</x:f>
        <x:v>-14.084347713961572</x:v>
      </x:c>
      <x:c r="H2106" s="24" t="n">
        <x:f>F2106-G2106</x:f>
        <x:v>0.873268720469639</x:v>
      </x:c>
    </x:row>
    <x:row r="2107">
      <x:c r="A2107" s="2" t="str">
        <x:v>LiLC-1</x:v>
      </x:c>
      <x:c r="B2107" s="4" t="str">
        <x:v>LiCl</x:v>
      </x:c>
      <x:c r="C2107" s="23" t="n">
        <x:v>1.578704</x:v>
      </x:c>
      <x:c r="D2107" s="23" t="n">
        <x:v>-21.91521</x:v>
      </x:c>
      <x:c r="E2107" s="23" t="n">
        <x:f>'Parameters'!$B$2*'Parameters'!$B$3*LN(4*PI()*C2107^2)</x:f>
        <x:v>8.538105015792866</x:v>
      </x:c>
      <x:c r="F2107" s="23" t="n">
        <x:f>D2107+E2107</x:f>
        <x:v>-13.377104984207133</x:v>
      </x:c>
      <x:c r="G2107" s="23" t="n">
        <x:f>AVERAGE($F$2144:$F$2167)</x:f>
        <x:v>-14.084347713961572</x:v>
      </x:c>
      <x:c r="H2107" s="24" t="n">
        <x:f>F2107-G2107</x:f>
        <x:v>0.707242729754439</x:v>
      </x:c>
    </x:row>
    <x:row r="2108">
      <x:c r="A2108" s="2" t="str">
        <x:v>LiLC-1</x:v>
      </x:c>
      <x:c r="B2108" s="4" t="str">
        <x:v>LiCl</x:v>
      </x:c>
      <x:c r="C2108" s="23" t="n">
        <x:v>1.590917</x:v>
      </x:c>
      <x:c r="D2108" s="23" t="n">
        <x:v>-21.9395</x:v>
      </x:c>
      <x:c r="E2108" s="23" t="n">
        <x:f>'Parameters'!$B$2*'Parameters'!$B$3*LN(4*PI()*C2108^2)</x:f>
        <x:v>8.576312299293749</x:v>
      </x:c>
      <x:c r="F2108" s="23" t="n">
        <x:f>D2108+E2108</x:f>
        <x:v>-13.36318770070625</x:v>
      </x:c>
      <x:c r="G2108" s="23" t="n">
        <x:f>AVERAGE($F$2144:$F$2167)</x:f>
        <x:v>-14.084347713961572</x:v>
      </x:c>
      <x:c r="H2108" s="24" t="n">
        <x:f>F2108-G2108</x:f>
        <x:v>0.7211600132553215</x:v>
      </x:c>
    </x:row>
    <x:row r="2109">
      <x:c r="A2109" s="2" t="str">
        <x:v>LiLC-1</x:v>
      </x:c>
      <x:c r="B2109" s="4" t="str">
        <x:v>LiCl</x:v>
      </x:c>
      <x:c r="C2109" s="23" t="n">
        <x:v>1.60313</x:v>
      </x:c>
      <x:c r="D2109" s="23" t="n">
        <x:v>-21.96049</x:v>
      </x:c>
      <x:c r="E2109" s="23" t="n">
        <x:f>'Parameters'!$B$2*'Parameters'!$B$3*LN(4*PI()*C2109^2)</x:f>
        <x:v>8.614227395410305</x:v>
      </x:c>
      <x:c r="F2109" s="23" t="n">
        <x:f>D2109+E2109</x:f>
        <x:v>-13.346262604589695</x:v>
      </x:c>
      <x:c r="G2109" s="23" t="n">
        <x:f>AVERAGE($F$2144:$F$2167)</x:f>
        <x:v>-14.084347713961572</x:v>
      </x:c>
      <x:c r="H2109" s="24" t="n">
        <x:f>F2109-G2109</x:f>
        <x:v>0.7380851093718768</x:v>
      </x:c>
    </x:row>
    <x:row r="2110">
      <x:c r="A2110" s="2" t="str">
        <x:v>LiLC-1</x:v>
      </x:c>
      <x:c r="B2110" s="4" t="str">
        <x:v>LiCl</x:v>
      </x:c>
      <x:c r="C2110" s="23" t="n">
        <x:v>1.615344</x:v>
      </x:c>
      <x:c r="D2110" s="23" t="n">
        <x:v>-22.15442</x:v>
      </x:c>
      <x:c r="E2110" s="23" t="n">
        <x:f>'Parameters'!$B$2*'Parameters'!$B$3*LN(4*PI()*C2110^2)</x:f>
        <x:v>8.651857808473112</x:v>
      </x:c>
      <x:c r="F2110" s="23" t="n">
        <x:f>D2110+E2110</x:f>
        <x:v>-13.502562191526886</x:v>
      </x:c>
      <x:c r="G2110" s="23" t="n">
        <x:f>AVERAGE($F$2144:$F$2167)</x:f>
        <x:v>-14.084347713961572</x:v>
      </x:c>
      <x:c r="H2110" s="24" t="n">
        <x:f>F2110-G2110</x:f>
        <x:v>0.5817855224346857</x:v>
      </x:c>
    </x:row>
    <x:row r="2111">
      <x:c r="A2111" s="2" t="str">
        <x:v>LiLC-1</x:v>
      </x:c>
      <x:c r="B2111" s="4" t="str">
        <x:v>LiCl</x:v>
      </x:c>
      <x:c r="C2111" s="23" t="n">
        <x:v>1.627557</x:v>
      </x:c>
      <x:c r="D2111" s="23" t="n">
        <x:v>-22.11827</x:v>
      </x:c>
      <x:c r="E2111" s="23" t="n">
        <x:f>'Parameters'!$B$2*'Parameters'!$B$3*LN(4*PI()*C2111^2)</x:f>
        <x:v>8.689201711773617</x:v>
      </x:c>
      <x:c r="F2111" s="23" t="n">
        <x:f>D2111+E2111</x:f>
        <x:v>-13.429068288226382</x:v>
      </x:c>
      <x:c r="G2111" s="23" t="n">
        <x:f>AVERAGE($F$2144:$F$2167)</x:f>
        <x:v>-14.084347713961572</x:v>
      </x:c>
      <x:c r="H2111" s="24" t="n">
        <x:f>F2111-G2111</x:f>
        <x:v>0.6552794257351895</x:v>
      </x:c>
    </x:row>
    <x:row r="2112">
      <x:c r="A2112" s="2" t="str">
        <x:v>LiLC-1</x:v>
      </x:c>
      <x:c r="B2112" s="4" t="str">
        <x:v>LiCl</x:v>
      </x:c>
      <x:c r="C2112" s="23" t="n">
        <x:v>1.63977</x:v>
      </x:c>
      <x:c r="D2112" s="23" t="n">
        <x:v>-22.16844</x:v>
      </x:c>
      <x:c r="E2112" s="23" t="n">
        <x:f>'Parameters'!$B$2*'Parameters'!$B$3*LN(4*PI()*C2112^2)</x:f>
        <x:v>8.726266435576438</x:v>
      </x:c>
      <x:c r="F2112" s="23" t="n">
        <x:f>D2112+E2112</x:f>
        <x:v>-13.442173564423562</x:v>
      </x:c>
      <x:c r="G2112" s="23" t="n">
        <x:f>AVERAGE($F$2144:$F$2167)</x:f>
        <x:v>-14.084347713961572</x:v>
      </x:c>
      <x:c r="H2112" s="24" t="n">
        <x:f>F2112-G2112</x:f>
        <x:v>0.6421741495380093</x:v>
      </x:c>
    </x:row>
    <x:row r="2113">
      <x:c r="A2113" s="2" t="str">
        <x:v>LiLC-1</x:v>
      </x:c>
      <x:c r="B2113" s="4" t="str">
        <x:v>LiCl</x:v>
      </x:c>
      <x:c r="C2113" s="23" t="n">
        <x:v>1.651983</x:v>
      </x:c>
      <x:c r="D2113" s="23" t="n">
        <x:v>-22.12884</x:v>
      </x:c>
      <x:c r="E2113" s="23" t="n">
        <x:f>'Parameters'!$B$2*'Parameters'!$B$3*LN(4*PI()*C2113^2)</x:f>
        <x:v>8.763056123165102</x:v>
      </x:c>
      <x:c r="F2113" s="23" t="n">
        <x:f>D2113+E2113</x:f>
        <x:v>-13.365783876834898</x:v>
      </x:c>
      <x:c r="G2113" s="23" t="n">
        <x:f>AVERAGE($F$2144:$F$2167)</x:f>
        <x:v>-14.084347713961572</x:v>
      </x:c>
      <x:c r="H2113" s="24" t="n">
        <x:f>F2113-G2113</x:f>
        <x:v>0.7185638371266734</x:v>
      </x:c>
    </x:row>
    <x:row r="2114">
      <x:c r="A2114" s="2" t="str">
        <x:v>LiLC-1</x:v>
      </x:c>
      <x:c r="B2114" s="4" t="str">
        <x:v>LiCl</x:v>
      </x:c>
      <x:c r="C2114" s="23" t="n">
        <x:v>1.664197</x:v>
      </x:c>
      <x:c r="D2114" s="23" t="n">
        <x:v>-21.96815</x:v>
      </x:c>
      <x:c r="E2114" s="23" t="n">
        <x:f>'Parameters'!$B$2*'Parameters'!$B$3*LN(4*PI()*C2114^2)</x:f>
        <x:v>8.799577805430683</x:v>
      </x:c>
      <x:c r="F2114" s="23" t="n">
        <x:f>D2114+E2114</x:f>
        <x:v>-13.168572194569318</x:v>
      </x:c>
      <x:c r="G2114" s="23" t="n">
        <x:f>AVERAGE($F$2144:$F$2167)</x:f>
        <x:v>-14.084347713961572</x:v>
      </x:c>
      <x:c r="H2114" s="24" t="n">
        <x:f>F2114-G2114</x:f>
        <x:v>0.9157755193922537</x:v>
      </x:c>
    </x:row>
    <x:row r="2115">
      <x:c r="A2115" s="2" t="str">
        <x:v>LiLC-1</x:v>
      </x:c>
      <x:c r="B2115" s="4" t="str">
        <x:v>LiCl</x:v>
      </x:c>
      <x:c r="C2115" s="23" t="n">
        <x:v>1.67641</x:v>
      </x:c>
      <x:c r="D2115" s="23" t="n">
        <x:v>-22.17622</x:v>
      </x:c>
      <x:c r="E2115" s="23" t="n">
        <x:f>'Parameters'!$B$2*'Parameters'!$B$3*LN(4*PI()*C2115^2)</x:f>
        <x:v>8.835829465190406</x:v>
      </x:c>
      <x:c r="F2115" s="23" t="n">
        <x:f>D2115+E2115</x:f>
        <x:v>-13.340390534809595</x:v>
      </x:c>
      <x:c r="G2115" s="23" t="n">
        <x:f>AVERAGE($F$2144:$F$2167)</x:f>
        <x:v>-14.084347713961572</x:v>
      </x:c>
      <x:c r="H2115" s="24" t="n">
        <x:f>F2115-G2115</x:f>
        <x:v>0.7439571791519768</x:v>
      </x:c>
    </x:row>
    <x:row r="2116">
      <x:c r="A2116" s="2" t="str">
        <x:v>LiLC-1</x:v>
      </x:c>
      <x:c r="B2116" s="4" t="str">
        <x:v>LiCl</x:v>
      </x:c>
      <x:c r="C2116" s="23" t="n">
        <x:v>1.688623</x:v>
      </x:c>
      <x:c r="D2116" s="23" t="n">
        <x:v>-21.95444</x:v>
      </x:c>
      <x:c r="E2116" s="23" t="n">
        <x:f>'Parameters'!$B$2*'Parameters'!$B$3*LN(4*PI()*C2116^2)</x:f>
        <x:v>8.87181798017687</x:v>
      </x:c>
      <x:c r="F2116" s="23" t="n">
        <x:f>D2116+E2116</x:f>
        <x:v>-13.082622019823132</x:v>
      </x:c>
      <x:c r="G2116" s="23" t="n">
        <x:f>AVERAGE($F$2144:$F$2167)</x:f>
        <x:v>-14.084347713961572</x:v>
      </x:c>
      <x:c r="H2116" s="24" t="n">
        <x:f>F2116-G2116</x:f>
        <x:v>1.0017256941384396</x:v>
      </x:c>
    </x:row>
    <x:row r="2117">
      <x:c r="A2117" s="2" t="str">
        <x:v>LiLC-1</x:v>
      </x:c>
      <x:c r="B2117" s="4" t="str">
        <x:v>LiCl</x:v>
      </x:c>
      <x:c r="C2117" s="23" t="n">
        <x:v>1.700836</x:v>
      </x:c>
      <x:c r="D2117" s="23" t="n">
        <x:v>-22.06329</x:v>
      </x:c>
      <x:c r="E2117" s="23" t="n">
        <x:f>'Parameters'!$B$2*'Parameters'!$B$3*LN(4*PI()*C2117^2)</x:f>
        <x:v>8.907547143124132</x:v>
      </x:c>
      <x:c r="F2117" s="23" t="n">
        <x:f>D2117+E2117</x:f>
        <x:v>-13.155742856875866</x:v>
      </x:c>
      <x:c r="G2117" s="23" t="n">
        <x:f>AVERAGE($F$2144:$F$2167)</x:f>
        <x:v>-14.084347713961572</x:v>
      </x:c>
      <x:c r="H2117" s="24" t="n">
        <x:f>F2117-G2117</x:f>
        <x:v>0.9286048570857055</x:v>
      </x:c>
    </x:row>
    <x:row r="2118">
      <x:c r="A2118" s="2" t="str">
        <x:v>LiLC-1</x:v>
      </x:c>
      <x:c r="B2118" s="4" t="str">
        <x:v>LiCl</x:v>
      </x:c>
      <x:c r="C2118" s="23" t="n">
        <x:v>1.71305</x:v>
      </x:c>
      <x:c r="D2118" s="23" t="n">
        <x:v>-22.05638</x:v>
      </x:c>
      <x:c r="E2118" s="23" t="n">
        <x:f>'Parameters'!$B$2*'Parameters'!$B$3*LN(4*PI()*C2118^2)</x:f>
        <x:v>8.943023559558586</x:v>
      </x:c>
      <x:c r="F2118" s="23" t="n">
        <x:f>D2118+E2118</x:f>
        <x:v>-13.113356440441414</x:v>
      </x:c>
      <x:c r="G2118" s="23" t="n">
        <x:f>AVERAGE($F$2144:$F$2167)</x:f>
        <x:v>-14.084347713961572</x:v>
      </x:c>
      <x:c r="H2118" s="24" t="n">
        <x:f>F2118-G2118</x:f>
        <x:v>0.9709912735201573</x:v>
      </x:c>
    </x:row>
    <x:row r="2119">
      <x:c r="A2119" s="2" t="str">
        <x:v>LiLC-1</x:v>
      </x:c>
      <x:c r="B2119" s="4" t="str">
        <x:v>LiCl</x:v>
      </x:c>
      <x:c r="C2119" s="23" t="n">
        <x:v>1.725263</x:v>
      </x:c>
      <x:c r="D2119" s="23" t="n">
        <x:v>-22.14569</x:v>
      </x:c>
      <x:c r="E2119" s="23" t="n">
        <x:f>'Parameters'!$B$2*'Parameters'!$B$3*LN(4*PI()*C2119^2)</x:f>
        <x:v>8.978245052810099</x:v>
      </x:c>
      <x:c r="F2119" s="23" t="n">
        <x:f>D2119+E2119</x:f>
        <x:v>-13.1674449471899</x:v>
      </x:c>
      <x:c r="G2119" s="23" t="n">
        <x:f>AVERAGE($F$2144:$F$2167)</x:f>
        <x:v>-14.084347713961572</x:v>
      </x:c>
      <x:c r="H2119" s="24" t="n">
        <x:f>F2119-G2119</x:f>
        <x:v>0.9169027667716723</x:v>
      </x:c>
    </x:row>
    <x:row r="2120">
      <x:c r="A2120" s="2" t="str">
        <x:v>LiLC-1</x:v>
      </x:c>
      <x:c r="B2120" s="4" t="str">
        <x:v>LiCl</x:v>
      </x:c>
      <x:c r="C2120" s="23" t="n">
        <x:v>1.737476</x:v>
      </x:c>
      <x:c r="D2120" s="23" t="n">
        <x:v>-22.0609</x:v>
      </x:c>
      <x:c r="E2120" s="23" t="n">
        <x:f>'Parameters'!$B$2*'Parameters'!$B$3*LN(4*PI()*C2120^2)</x:f>
        <x:v>9.013218093217127</x:v>
      </x:c>
      <x:c r="F2120" s="23" t="n">
        <x:f>D2120+E2120</x:f>
        <x:v>-13.047681906782874</x:v>
      </x:c>
      <x:c r="G2120" s="23" t="n">
        <x:f>AVERAGE($F$2144:$F$2167)</x:f>
        <x:v>-14.084347713961572</x:v>
      </x:c>
      <x:c r="H2120" s="24" t="n">
        <x:f>F2120-G2120</x:f>
        <x:v>1.0366658071786983</x:v>
      </x:c>
    </x:row>
    <x:row r="2121">
      <x:c r="A2121" s="2" t="str">
        <x:v>LiLC-1</x:v>
      </x:c>
      <x:c r="B2121" s="4" t="str">
        <x:v>LiCl</x:v>
      </x:c>
      <x:c r="C2121" s="23" t="n">
        <x:v>1.749689</x:v>
      </x:c>
      <x:c r="D2121" s="23" t="n">
        <x:v>-22.3172</x:v>
      </x:c>
      <x:c r="E2121" s="23" t="n">
        <x:f>'Parameters'!$B$2*'Parameters'!$B$3*LN(4*PI()*C2121^2)</x:f>
        <x:v>9.047946161420334</x:v>
      </x:c>
      <x:c r="F2121" s="23" t="n">
        <x:f>D2121+E2121</x:f>
        <x:v>-13.269253838579665</x:v>
      </x:c>
      <x:c r="G2121" s="23" t="n">
        <x:f>AVERAGE($F$2144:$F$2167)</x:f>
        <x:v>-14.084347713961572</x:v>
      </x:c>
      <x:c r="H2121" s="24" t="n">
        <x:f>F2121-G2121</x:f>
        <x:v>0.8150938753819066</x:v>
      </x:c>
    </x:row>
    <x:row r="2122">
      <x:c r="A2122" s="2" t="str">
        <x:v>LiLC-1</x:v>
      </x:c>
      <x:c r="B2122" s="4" t="str">
        <x:v>LiCl</x:v>
      </x:c>
      <x:c r="C2122" s="23" t="n">
        <x:v>1.761903</x:v>
      </x:c>
      <x:c r="D2122" s="23" t="n">
        <x:v>-22.42012</x:v>
      </x:c>
      <x:c r="E2122" s="23" t="n">
        <x:f>'Parameters'!$B$2*'Parameters'!$B$3*LN(4*PI()*C2122^2)</x:f>
        <x:v>9.082435479381886</x:v>
      </x:c>
      <x:c r="F2122" s="23" t="n">
        <x:f>D2122+E2122</x:f>
        <x:v>-13.337684520618115</x:v>
      </x:c>
      <x:c r="G2122" s="23" t="n">
        <x:f>AVERAGE($F$2144:$F$2167)</x:f>
        <x:v>-14.084347713961572</x:v>
      </x:c>
      <x:c r="H2122" s="24" t="n">
        <x:f>F2122-G2122</x:f>
        <x:v>0.7466631933434567</x:v>
      </x:c>
    </x:row>
    <x:row r="2123">
      <x:c r="A2123" s="2" t="str">
        <x:v>LiLC-1</x:v>
      </x:c>
      <x:c r="B2123" s="4" t="str">
        <x:v>LiCl</x:v>
      </x:c>
      <x:c r="C2123" s="23" t="n">
        <x:v>1.774116</x:v>
      </x:c>
      <x:c r="D2123" s="23" t="n">
        <x:v>-22.371</x:v>
      </x:c>
      <x:c r="E2123" s="23" t="n">
        <x:f>'Parameters'!$B$2*'Parameters'!$B$3*LN(4*PI()*C2123^2)</x:f>
        <x:v>9.116683737201846</x:v>
      </x:c>
      <x:c r="F2123" s="23" t="n">
        <x:f>D2123+E2123</x:f>
        <x:v>-13.254316262798152</x:v>
      </x:c>
      <x:c r="G2123" s="23" t="n">
        <x:f>AVERAGE($F$2144:$F$2167)</x:f>
        <x:v>-14.084347713961572</x:v>
      </x:c>
      <x:c r="H2123" s="24" t="n">
        <x:f>F2123-G2123</x:f>
        <x:v>0.8300314511634195</x:v>
      </x:c>
    </x:row>
    <x:row r="2124">
      <x:c r="A2124" s="2" t="str">
        <x:v>LiLC-1</x:v>
      </x:c>
      <x:c r="B2124" s="4" t="str">
        <x:v>LiCl</x:v>
      </x:c>
      <x:c r="C2124" s="23" t="n">
        <x:v>1.786329</x:v>
      </x:c>
      <x:c r="D2124" s="23" t="n">
        <x:v>-22.61285</x:v>
      </x:c>
      <x:c r="E2124" s="23" t="n">
        <x:f>'Parameters'!$B$2*'Parameters'!$B$3*LN(4*PI()*C2124^2)</x:f>
        <x:v>9.150697037163948</x:v>
      </x:c>
      <x:c r="F2124" s="23" t="n">
        <x:f>D2124+E2124</x:f>
        <x:v>-13.462152962836054</x:v>
      </x:c>
      <x:c r="G2124" s="23" t="n">
        <x:f>AVERAGE($F$2144:$F$2167)</x:f>
        <x:v>-14.084347713961572</x:v>
      </x:c>
      <x:c r="H2124" s="24" t="n">
        <x:f>F2124-G2124</x:f>
        <x:v>0.6221947511255177</x:v>
      </x:c>
    </x:row>
    <x:row r="2125">
      <x:c r="A2125" s="2" t="str">
        <x:v>LiLC-1</x:v>
      </x:c>
      <x:c r="B2125" s="4" t="str">
        <x:v>LiCl</x:v>
      </x:c>
      <x:c r="C2125" s="23" t="n">
        <x:v>1.798542</x:v>
      </x:c>
      <x:c r="D2125" s="23" t="n">
        <x:v>-22.53831</x:v>
      </x:c>
      <x:c r="E2125" s="23" t="n">
        <x:f>'Parameters'!$B$2*'Parameters'!$B$3*LN(4*PI()*C2125^2)</x:f>
        <x:v>9.184478581139441</x:v>
      </x:c>
      <x:c r="F2125" s="23" t="n">
        <x:f>D2125+E2125</x:f>
        <x:v>-13.353831418860558</x:v>
      </x:c>
      <x:c r="G2125" s="23" t="n">
        <x:f>AVERAGE($F$2144:$F$2167)</x:f>
        <x:v>-14.084347713961572</x:v>
      </x:c>
      <x:c r="H2125" s="24" t="n">
        <x:f>F2125-G2125</x:f>
        <x:v>0.7305162951010136</x:v>
      </x:c>
    </x:row>
    <x:row r="2126">
      <x:c r="A2126" s="2" t="str">
        <x:v>LiLC-1</x:v>
      </x:c>
      <x:c r="B2126" s="4" t="str">
        <x:v>LiCl</x:v>
      </x:c>
      <x:c r="C2126" s="23" t="n">
        <x:v>1.810756</x:v>
      </x:c>
      <x:c r="D2126" s="23" t="n">
        <x:v>-22.68186</x:v>
      </x:c>
      <x:c r="E2126" s="23" t="n">
        <x:f>'Parameters'!$B$2*'Parameters'!$B$3*LN(4*PI()*C2126^2)</x:f>
        <x:v>9.218034244028544</x:v>
      </x:c>
      <x:c r="F2126" s="23" t="n">
        <x:f>D2126+E2126</x:f>
        <x:v>-13.463825755971456</x:v>
      </x:c>
      <x:c r="G2126" s="23" t="n">
        <x:f>AVERAGE($F$2144:$F$2167)</x:f>
        <x:v>-14.084347713961572</x:v>
      </x:c>
      <x:c r="H2126" s="24" t="n">
        <x:f>F2126-G2126</x:f>
        <x:v>0.6205219579901158</x:v>
      </x:c>
    </x:row>
    <x:row r="2127">
      <x:c r="A2127" s="2" t="str">
        <x:v>LiLC-1</x:v>
      </x:c>
      <x:c r="B2127" s="4" t="str">
        <x:v>LiCl</x:v>
      </x:c>
      <x:c r="C2127" s="23" t="n">
        <x:v>1.822969</x:v>
      </x:c>
      <x:c r="D2127" s="23" t="n">
        <x:v>-22.83527</x:v>
      </x:c>
      <x:c r="E2127" s="23" t="n">
        <x:f>'Parameters'!$B$2*'Parameters'!$B$3*LN(4*PI()*C2127^2)</x:f>
        <x:v>9.251361605020191</x:v>
      </x:c>
      <x:c r="F2127" s="23" t="n">
        <x:f>D2127+E2127</x:f>
        <x:v>-13.58390839497981</x:v>
      </x:c>
      <x:c r="G2127" s="23" t="n">
        <x:f>AVERAGE($F$2144:$F$2167)</x:f>
        <x:v>-14.084347713961572</x:v>
      </x:c>
      <x:c r="H2127" s="24" t="n">
        <x:f>F2127-G2127</x:f>
        <x:v>0.500439318981762</x:v>
      </x:c>
    </x:row>
    <x:row r="2128">
      <x:c r="A2128" s="2" t="str">
        <x:v>LiLC-1</x:v>
      </x:c>
      <x:c r="B2128" s="4" t="str">
        <x:v>LiCl</x:v>
      </x:c>
      <x:c r="C2128" s="23" t="n">
        <x:v>1.835182</x:v>
      </x:c>
      <x:c r="D2128" s="23" t="n">
        <x:v>-22.87789</x:v>
      </x:c>
      <x:c r="E2128" s="23" t="n">
        <x:f>'Parameters'!$B$2*'Parameters'!$B$3*LN(4*PI()*C2128^2)</x:f>
        <x:v>9.284466432773334</x:v>
      </x:c>
      <x:c r="F2128" s="23" t="n">
        <x:f>D2128+E2128</x:f>
        <x:v>-13.593423567226667</x:v>
      </x:c>
      <x:c r="G2128" s="23" t="n">
        <x:f>AVERAGE($F$2144:$F$2167)</x:f>
        <x:v>-14.084347713961572</x:v>
      </x:c>
      <x:c r="H2128" s="24" t="n">
        <x:f>F2128-G2128</x:f>
        <x:v>0.4909241467349048</x:v>
      </x:c>
    </x:row>
    <x:row r="2129">
      <x:c r="A2129" s="2" t="str">
        <x:v>LiLC-1</x:v>
      </x:c>
      <x:c r="B2129" s="4" t="str">
        <x:v>LiCl</x:v>
      </x:c>
      <x:c r="C2129" s="23" t="n">
        <x:v>1.847395</x:v>
      </x:c>
      <x:c r="D2129" s="23" t="n">
        <x:v>-23.00688</x:v>
      </x:c>
      <x:c r="E2129" s="23" t="n">
        <x:f>'Parameters'!$B$2*'Parameters'!$B$3*LN(4*PI()*C2129^2)</x:f>
        <x:v>9.317351679382153</x:v>
      </x:c>
      <x:c r="F2129" s="23" t="n">
        <x:f>D2129+E2129</x:f>
        <x:v>-13.689528320617846</x:v>
      </x:c>
      <x:c r="G2129" s="23" t="n">
        <x:f>AVERAGE($F$2144:$F$2167)</x:f>
        <x:v>-14.084347713961572</x:v>
      </x:c>
      <x:c r="H2129" s="24" t="n">
        <x:f>F2129-G2129</x:f>
        <x:v>0.3948193933437256</x:v>
      </x:c>
    </x:row>
    <x:row r="2130">
      <x:c r="A2130" s="2" t="str">
        <x:v>LiLC-1</x:v>
      </x:c>
      <x:c r="B2130" s="4" t="str">
        <x:v>LiCl</x:v>
      </x:c>
      <x:c r="C2130" s="23" t="n">
        <x:v>1.859609</x:v>
      </x:c>
      <x:c r="D2130" s="23" t="n">
        <x:v>-23.05477</x:v>
      </x:c>
      <x:c r="E2130" s="23" t="n">
        <x:f>'Parameters'!$B$2*'Parameters'!$B$3*LN(4*PI()*C2130^2)</x:f>
        <x:v>9.350022904690968</x:v>
      </x:c>
      <x:c r="F2130" s="23" t="n">
        <x:f>D2130+E2130</x:f>
        <x:v>-13.704747095309033</x:v>
      </x:c>
      <x:c r="G2130" s="23" t="n">
        <x:f>AVERAGE($F$2144:$F$2167)</x:f>
        <x:v>-14.084347713961572</x:v>
      </x:c>
      <x:c r="H2130" s="24" t="n">
        <x:f>F2130-G2130</x:f>
        <x:v>0.3796006186525389</x:v>
      </x:c>
    </x:row>
    <x:row r="2131">
      <x:c r="A2131" s="2" t="str">
        <x:v>LiLC-1</x:v>
      </x:c>
      <x:c r="B2131" s="4" t="str">
        <x:v>LiCl</x:v>
      </x:c>
      <x:c r="C2131" s="23" t="n">
        <x:v>1.871822</x:v>
      </x:c>
      <x:c r="D2131" s="23" t="n">
        <x:v>-23.08594</x:v>
      </x:c>
      <x:c r="E2131" s="23" t="n">
        <x:f>'Parameters'!$B$2*'Parameters'!$B$3*LN(4*PI()*C2131^2)</x:f>
        <x:v>9.382477596001364</x:v>
      </x:c>
      <x:c r="F2131" s="23" t="n">
        <x:f>D2131+E2131</x:f>
        <x:v>-13.703462403998637</x:v>
      </x:c>
      <x:c r="G2131" s="23" t="n">
        <x:f>AVERAGE($F$2144:$F$2167)</x:f>
        <x:v>-14.084347713961572</x:v>
      </x:c>
      <x:c r="H2131" s="24" t="n">
        <x:f>F2131-G2131</x:f>
        <x:v>0.38088530996293457</x:v>
      </x:c>
    </x:row>
    <x:row r="2132">
      <x:c r="A2132" s="2" t="str">
        <x:v>LiLC-1</x:v>
      </x:c>
      <x:c r="B2132" s="4" t="str">
        <x:v>LiCl</x:v>
      </x:c>
      <x:c r="C2132" s="23" t="n">
        <x:v>1.884035</x:v>
      </x:c>
      <x:c r="D2132" s="23" t="n">
        <x:v>-23.2146</x:v>
      </x:c>
      <x:c r="E2132" s="23" t="n">
        <x:f>'Parameters'!$B$2*'Parameters'!$B$3*LN(4*PI()*C2132^2)</x:f>
        <x:v>9.414721218600569</x:v>
      </x:c>
      <x:c r="F2132" s="23" t="n">
        <x:f>D2132+E2132</x:f>
        <x:v>-13.799878781399432</x:v>
      </x:c>
      <x:c r="G2132" s="23" t="n">
        <x:f>AVERAGE($F$2144:$F$2167)</x:f>
        <x:v>-14.084347713961572</x:v>
      </x:c>
      <x:c r="H2132" s="24" t="n">
        <x:f>F2132-G2132</x:f>
        <x:v>0.2844689325621399</x:v>
      </x:c>
    </x:row>
    <x:row r="2133">
      <x:c r="A2133" s="2" t="str">
        <x:v>LiLC-1</x:v>
      </x:c>
      <x:c r="B2133" s="4" t="str">
        <x:v>LiCl</x:v>
      </x:c>
      <x:c r="C2133" s="23" t="n">
        <x:v>1.896248</x:v>
      </x:c>
      <x:c r="D2133" s="23" t="n">
        <x:v>-23.06509</x:v>
      </x:c>
      <x:c r="E2133" s="23" t="n">
        <x:f>'Parameters'!$B$2*'Parameters'!$B$3*LN(4*PI()*C2133^2)</x:f>
        <x:v>9.44675650012485</x:v>
      </x:c>
      <x:c r="F2133" s="23" t="n">
        <x:f>D2133+E2133</x:f>
        <x:v>-13.61833349987515</x:v>
      </x:c>
      <x:c r="G2133" s="23" t="n">
        <x:f>AVERAGE($F$2144:$F$2167)</x:f>
        <x:v>-14.084347713961572</x:v>
      </x:c>
      <x:c r="H2133" s="24" t="n">
        <x:f>F2133-G2133</x:f>
        <x:v>0.46601421408642096</x:v>
      </x:c>
    </x:row>
    <x:row r="2134">
      <x:c r="A2134" s="2" t="str">
        <x:v>LiLC-1</x:v>
      </x:c>
      <x:c r="B2134" s="4" t="str">
        <x:v>LiCl</x:v>
      </x:c>
      <x:c r="C2134" s="23" t="n">
        <x:v>1.908462</x:v>
      </x:c>
      <x:c r="D2134" s="23" t="n">
        <x:v>-23.32847</x:v>
      </x:c>
      <x:c r="E2134" s="23" t="n">
        <x:f>'Parameters'!$B$2*'Parameters'!$B$3*LN(4*PI()*C2134^2)</x:f>
        <x:v>9.478588713535062</x:v>
      </x:c>
      <x:c r="F2134" s="23" t="n">
        <x:f>D2134+E2134</x:f>
        <x:v>-13.849881286464937</x:v>
      </x:c>
      <x:c r="G2134" s="23" t="n">
        <x:f>AVERAGE($F$2144:$F$2167)</x:f>
        <x:v>-14.084347713961572</x:v>
      </x:c>
      <x:c r="H2134" s="24" t="n">
        <x:f>F2134-G2134</x:f>
        <x:v>0.23446642749663482</x:v>
      </x:c>
    </x:row>
    <x:row r="2135">
      <x:c r="A2135" s="2" t="str">
        <x:v>LiLC-1</x:v>
      </x:c>
      <x:c r="B2135" s="4" t="str">
        <x:v>LiCl</x:v>
      </x:c>
      <x:c r="C2135" s="23" t="n">
        <x:v>1.920675</x:v>
      </x:c>
      <x:c r="D2135" s="23" t="n">
        <x:v>-23.18689</x:v>
      </x:c>
      <x:c r="E2135" s="23" t="n">
        <x:f>'Parameters'!$B$2*'Parameters'!$B$3*LN(4*PI()*C2135^2)</x:f>
        <x:v>9.51021527050175</x:v>
      </x:c>
      <x:c r="F2135" s="23" t="n">
        <x:f>D2135+E2135</x:f>
        <x:v>-13.676674729498249</x:v>
      </x:c>
      <x:c r="G2135" s="23" t="n">
        <x:f>AVERAGE($F$2144:$F$2167)</x:f>
        <x:v>-14.084347713961572</x:v>
      </x:c>
      <x:c r="H2135" s="24" t="n">
        <x:f>F2135-G2135</x:f>
        <x:v>0.4076729844633231</x:v>
      </x:c>
    </x:row>
    <x:row r="2136">
      <x:c r="A2136" s="2" t="str">
        <x:v>LiLC-1</x:v>
      </x:c>
      <x:c r="B2136" s="4" t="str">
        <x:v>LiCl</x:v>
      </x:c>
      <x:c r="C2136" s="23" t="n">
        <x:v>1.932888</x:v>
      </x:c>
      <x:c r="D2136" s="23" t="n">
        <x:v>-23.33225</x:v>
      </x:c>
      <x:c r="E2136" s="23" t="n">
        <x:f>'Parameters'!$B$2*'Parameters'!$B$3*LN(4*PI()*C2136^2)</x:f>
        <x:v>9.54164135962351</x:v>
      </x:c>
      <x:c r="F2136" s="23" t="n">
        <x:f>D2136+E2136</x:f>
        <x:v>-13.790608640376488</x:v>
      </x:c>
      <x:c r="G2136" s="23" t="n">
        <x:f>AVERAGE($F$2144:$F$2167)</x:f>
        <x:v>-14.084347713961572</x:v>
      </x:c>
      <x:c r="H2136" s="24" t="n">
        <x:f>F2136-G2136</x:f>
        <x:v>0.29373907358508333</x:v>
      </x:c>
    </x:row>
    <x:row r="2137">
      <x:c r="A2137" s="2" t="str">
        <x:v>LiLC-1</x:v>
      </x:c>
      <x:c r="B2137" s="4" t="str">
        <x:v>LiCl</x:v>
      </x:c>
      <x:c r="C2137" s="23" t="n">
        <x:v>1.945101</x:v>
      </x:c>
      <x:c r="D2137" s="23" t="n">
        <x:v>-23.26008</x:v>
      </x:c>
      <x:c r="E2137" s="23" t="n">
        <x:f>'Parameters'!$B$2*'Parameters'!$B$3*LN(4*PI()*C2137^2)</x:f>
        <x:v>9.572869506269269</x:v>
      </x:c>
      <x:c r="F2137" s="23" t="n">
        <x:f>D2137+E2137</x:f>
        <x:v>-13.68721049373073</x:v>
      </x:c>
      <x:c r="G2137" s="23" t="n">
        <x:f>AVERAGE($F$2144:$F$2167)</x:f>
        <x:v>-14.084347713961572</x:v>
      </x:c>
      <x:c r="H2137" s="24" t="n">
        <x:f>F2137-G2137</x:f>
        <x:v>0.3971372202308423</x:v>
      </x:c>
    </x:row>
    <x:row r="2138">
      <x:c r="A2138" s="2" t="str">
        <x:v>LiLC-1</x:v>
      </x:c>
      <x:c r="B2138" s="4" t="str">
        <x:v>LiCl</x:v>
      </x:c>
      <x:c r="C2138" s="23" t="n">
        <x:v>1.957315</x:v>
      </x:c>
      <x:c r="D2138" s="23" t="n">
        <x:v>-23.41817</x:v>
      </x:c>
      <x:c r="E2138" s="23" t="n">
        <x:f>'Parameters'!$B$2*'Parameters'!$B$3*LN(4*PI()*C2138^2)</x:f>
        <x:v>9.603904721405563</x:v>
      </x:c>
      <x:c r="F2138" s="23" t="n">
        <x:f>D2138+E2138</x:f>
        <x:v>-13.814265278594437</x:v>
      </x:c>
      <x:c r="G2138" s="23" t="n">
        <x:f>AVERAGE($F$2144:$F$2167)</x:f>
        <x:v>-14.084347713961572</x:v>
      </x:c>
      <x:c r="H2138" s="24" t="n">
        <x:f>F2138-G2138</x:f>
        <x:v>0.2700824353671347</x:v>
      </x:c>
    </x:row>
    <x:row r="2139">
      <x:c r="A2139" s="2" t="str">
        <x:v>LiLC-1</x:v>
      </x:c>
      <x:c r="B2139" s="4" t="str">
        <x:v>LiCl</x:v>
      </x:c>
      <x:c r="C2139" s="23" t="n">
        <x:v>1.969528</x:v>
      </x:c>
      <x:c r="D2139" s="23" t="n">
        <x:v>-23.51067</x:v>
      </x:c>
      <x:c r="E2139" s="23" t="n">
        <x:f>'Parameters'!$B$2*'Parameters'!$B$3*LN(4*PI()*C2139^2)</x:f>
        <x:v>9.6347443549948</x:v>
      </x:c>
      <x:c r="F2139" s="23" t="n">
        <x:f>D2139+E2139</x:f>
        <x:v>-13.875925645005202</x:v>
      </x:c>
      <x:c r="G2139" s="23" t="n">
        <x:f>AVERAGE($F$2144:$F$2167)</x:f>
        <x:v>-14.084347713961572</x:v>
      </x:c>
      <x:c r="H2139" s="24" t="n">
        <x:f>F2139-G2139</x:f>
        <x:v>0.20842206895637005</x:v>
      </x:c>
    </x:row>
    <x:row r="2140">
      <x:c r="A2140" s="2" t="str">
        <x:v>LiLC-1</x:v>
      </x:c>
      <x:c r="B2140" s="4" t="str">
        <x:v>LiCl</x:v>
      </x:c>
      <x:c r="C2140" s="23" t="n">
        <x:v>1.981741</x:v>
      </x:c>
      <x:c r="D2140" s="23" t="n">
        <x:v>-23.38931</x:v>
      </x:c>
      <x:c r="E2140" s="23" t="n">
        <x:f>'Parameters'!$B$2*'Parameters'!$B$3*LN(4*PI()*C2140^2)</x:f>
        <x:v>9.66539334256555</x:v>
      </x:c>
      <x:c r="F2140" s="23" t="n">
        <x:f>D2140+E2140</x:f>
        <x:v>-13.723916657434449</x:v>
      </x:c>
      <x:c r="G2140" s="23" t="n">
        <x:f>AVERAGE($F$2144:$F$2167)</x:f>
        <x:v>-14.084347713961572</x:v>
      </x:c>
      <x:c r="H2140" s="24" t="n">
        <x:f>F2140-G2140</x:f>
        <x:v>0.3604310565271227</x:v>
      </x:c>
    </x:row>
    <x:row r="2141">
      <x:c r="A2141" s="2" t="str">
        <x:v>LiLC-1</x:v>
      </x:c>
      <x:c r="B2141" s="4" t="str">
        <x:v>LiCl</x:v>
      </x:c>
      <x:c r="C2141" s="23" t="n">
        <x:v>1.993954</x:v>
      </x:c>
      <x:c r="D2141" s="23" t="n">
        <x:v>-23.60899</x:v>
      </x:c>
      <x:c r="E2141" s="23" t="n">
        <x:f>'Parameters'!$B$2*'Parameters'!$B$3*LN(4*PI()*C2141^2)</x:f>
        <x:v>9.695854026734073</x:v>
      </x:c>
      <x:c r="F2141" s="23" t="n">
        <x:f>D2141+E2141</x:f>
        <x:v>-13.913135973265925</x:v>
      </x:c>
      <x:c r="G2141" s="23" t="n">
        <x:f>AVERAGE($F$2144:$F$2167)</x:f>
        <x:v>-14.084347713961572</x:v>
      </x:c>
      <x:c r="H2141" s="24" t="n">
        <x:f>F2141-G2141</x:f>
        <x:v>0.1712117406956466</x:v>
      </x:c>
    </x:row>
    <x:row r="2142">
      <x:c r="A2142" s="2" t="str">
        <x:v>LiLC-1</x:v>
      </x:c>
      <x:c r="B2142" s="4" t="str">
        <x:v>LiCl</x:v>
      </x:c>
      <x:c r="C2142" s="23" t="n">
        <x:v>2.006168</x:v>
      </x:c>
      <x:c r="D2142" s="23" t="n">
        <x:v>-23.63052</x:v>
      </x:c>
      <x:c r="E2142" s="23" t="n">
        <x:f>'Parameters'!$B$2*'Parameters'!$B$3*LN(4*PI()*C2142^2)</x:f>
        <x:v>9.72613117853787</x:v>
      </x:c>
      <x:c r="F2142" s="23" t="n">
        <x:f>D2142+E2142</x:f>
        <x:v>-13.904388821462131</x:v>
      </x:c>
      <x:c r="G2142" s="23" t="n">
        <x:f>AVERAGE($F$2144:$F$2167)</x:f>
        <x:v>-14.084347713961572</x:v>
      </x:c>
      <x:c r="H2142" s="24" t="n">
        <x:f>F2142-G2142</x:f>
        <x:v>0.17995889249944064</x:v>
      </x:c>
    </x:row>
    <x:row r="2143">
      <x:c r="A2143" s="2" t="str">
        <x:v>LiLC-1</x:v>
      </x:c>
      <x:c r="B2143" s="4" t="str">
        <x:v>LiCl</x:v>
      </x:c>
      <x:c r="C2143" s="23" t="n">
        <x:v>2.018381</x:v>
      </x:c>
      <x:c r="D2143" s="23" t="n">
        <x:v>-23.75706</x:v>
      </x:c>
      <x:c r="E2143" s="23" t="n">
        <x:f>'Parameters'!$B$2*'Parameters'!$B$3*LN(4*PI()*C2143^2)</x:f>
        <x:v>9.756222098179574</x:v>
      </x:c>
      <x:c r="F2143" s="23" t="n">
        <x:f>D2143+E2143</x:f>
        <x:v>-14.000837901820425</x:v>
      </x:c>
      <x:c r="G2143" s="23" t="n">
        <x:f>AVERAGE($F$2144:$F$2167)</x:f>
        <x:v>-14.084347713961572</x:v>
      </x:c>
      <x:c r="H2143" s="24" t="n">
        <x:f>F2143-G2143</x:f>
        <x:v>0.08350981214114661</x:v>
      </x:c>
    </x:row>
    <x:row r="2144">
      <x:c r="A2144" s="2" t="str">
        <x:v>LiLC-1</x:v>
      </x:c>
      <x:c r="B2144" s="4" t="str">
        <x:v>LiCl</x:v>
      </x:c>
      <x:c r="C2144" s="23" t="n">
        <x:v>2.030594</x:v>
      </x:c>
      <x:c r="D2144" s="23" t="n">
        <x:v>-23.7987</x:v>
      </x:c>
      <x:c r="E2144" s="23" t="n">
        <x:f>'Parameters'!$B$2*'Parameters'!$B$3*LN(4*PI()*C2144^2)</x:f>
        <x:v>9.786131489094911</x:v>
      </x:c>
      <x:c r="F2144" s="23" t="n">
        <x:f>D2144+E2144</x:f>
        <x:v>-14.012568510905089</x:v>
      </x:c>
      <x:c r="G2144" s="23" t="n">
        <x:f>AVERAGE($F$2144:$F$2167)</x:f>
        <x:v>-14.084347713961572</x:v>
      </x:c>
      <x:c r="H2144" s="24" t="n">
        <x:f>F2144-G2144</x:f>
        <x:v>0.071779203056483</x:v>
      </x:c>
    </x:row>
    <x:row r="2145">
      <x:c r="A2145" s="2" t="str">
        <x:v>LiLC-1</x:v>
      </x:c>
      <x:c r="B2145" s="4" t="str">
        <x:v>LiCl</x:v>
      </x:c>
      <x:c r="C2145" s="23" t="n">
        <x:v>2.042807</x:v>
      </x:c>
      <x:c r="D2145" s="23" t="n">
        <x:v>-23.91658</x:v>
      </x:c>
      <x:c r="E2145" s="23" t="n">
        <x:f>'Parameters'!$B$2*'Parameters'!$B$3*LN(4*PI()*C2145^2)</x:f>
        <x:v>9.815861528364298</x:v>
      </x:c>
      <x:c r="F2145" s="23" t="n">
        <x:f>D2145+E2145</x:f>
        <x:v>-14.100718471635702</x:v>
      </x:c>
      <x:c r="G2145" s="23" t="n">
        <x:f>AVERAGE($F$2144:$F$2167)</x:f>
        <x:v>-14.084347713961572</x:v>
      </x:c>
      <x:c r="H2145" s="24" t="n">
        <x:f>F2145-G2145</x:f>
        <x:v>-0.016370757674129877</x:v>
      </x:c>
    </x:row>
    <x:row r="2146">
      <x:c r="A2146" s="2" t="str">
        <x:v>LiLC-1</x:v>
      </x:c>
      <x:c r="B2146" s="4" t="str">
        <x:v>LiCl</x:v>
      </x:c>
      <x:c r="C2146" s="23" t="n">
        <x:v>2.055021</x:v>
      </x:c>
      <x:c r="D2146" s="23" t="n">
        <x:v>-23.99549</x:v>
      </x:c>
      <x:c r="E2146" s="23" t="n">
        <x:f>'Parameters'!$B$2*'Parameters'!$B$3*LN(4*PI()*C2146^2)</x:f>
        <x:v>9.84541676672296</x:v>
      </x:c>
      <x:c r="F2146" s="23" t="n">
        <x:f>D2146+E2146</x:f>
        <x:v>-14.15007323327704</x:v>
      </x:c>
      <x:c r="G2146" s="23" t="n">
        <x:f>AVERAGE($F$2144:$F$2167)</x:f>
        <x:v>-14.084347713961572</x:v>
      </x:c>
      <x:c r="H2146" s="24" t="n">
        <x:f>F2146-G2146</x:f>
        <x:v>-0.06572551931546755</x:v>
      </x:c>
    </x:row>
    <x:row r="2147">
      <x:c r="A2147" s="2" t="str">
        <x:v>LiLC-1</x:v>
      </x:c>
      <x:c r="B2147" s="4" t="str">
        <x:v>LiCl</x:v>
      </x:c>
      <x:c r="C2147" s="23" t="n">
        <x:v>2.067234</x:v>
      </x:c>
      <x:c r="D2147" s="23" t="n">
        <x:v>-23.8877</x:v>
      </x:c>
      <x:c r="E2147" s="23" t="n">
        <x:f>'Parameters'!$B$2*'Parameters'!$B$3*LN(4*PI()*C2147^2)</x:f>
        <x:v>9.874794464885666</x:v>
      </x:c>
      <x:c r="F2147" s="23" t="n">
        <x:f>D2147+E2147</x:f>
        <x:v>-14.012905535114333</x:v>
      </x:c>
      <x:c r="G2147" s="23" t="n">
        <x:f>AVERAGE($F$2144:$F$2167)</x:f>
        <x:v>-14.084347713961572</x:v>
      </x:c>
      <x:c r="H2147" s="24" t="n">
        <x:f>F2147-G2147</x:f>
        <x:v>0.07144217884723858</x:v>
      </x:c>
    </x:row>
    <x:row r="2148">
      <x:c r="A2148" s="2" t="str">
        <x:v>LiLC-1</x:v>
      </x:c>
      <x:c r="B2148" s="4" t="str">
        <x:v>LiCl</x:v>
      </x:c>
      <x:c r="C2148" s="23" t="n">
        <x:v>2.079447</x:v>
      </x:c>
      <x:c r="D2148" s="23" t="n">
        <x:v>-24.0857</x:v>
      </x:c>
      <x:c r="E2148" s="23" t="n">
        <x:f>'Parameters'!$B$2*'Parameters'!$B$3*LN(4*PI()*C2148^2)</x:f>
        <x:v>9.90399911288671</x:v>
      </x:c>
      <x:c r="F2148" s="23" t="n">
        <x:f>D2148+E2148</x:f>
        <x:v>-14.181700887113289</x:v>
      </x:c>
      <x:c r="G2148" s="23" t="n">
        <x:f>AVERAGE($F$2144:$F$2167)</x:f>
        <x:v>-14.084347713961572</x:v>
      </x:c>
      <x:c r="H2148" s="24" t="n">
        <x:f>F2148-G2148</x:f>
        <x:v>-0.09735317315171699</x:v>
      </x:c>
    </x:row>
    <x:row r="2149">
      <x:c r="A2149" s="2" t="str">
        <x:v>LiLC-1</x:v>
      </x:c>
      <x:c r="B2149" s="4" t="str">
        <x:v>LiCl</x:v>
      </x:c>
      <x:c r="C2149" s="23" t="n">
        <x:v>2.09166</x:v>
      </x:c>
      <x:c r="D2149" s="23" t="n">
        <x:v>-23.95205</x:v>
      </x:c>
      <x:c r="E2149" s="23" t="n">
        <x:f>'Parameters'!$B$2*'Parameters'!$B$3*LN(4*PI()*C2149^2)</x:f>
        <x:v>9.933032737506851</x:v>
      </x:c>
      <x:c r="F2149" s="23" t="n">
        <x:f>D2149+E2149</x:f>
        <x:v>-14.019017262493149</x:v>
      </x:c>
      <x:c r="G2149" s="23" t="n">
        <x:f>AVERAGE($F$2144:$F$2167)</x:f>
        <x:v>-14.084347713961572</x:v>
      </x:c>
      <x:c r="H2149" s="24" t="n">
        <x:f>F2149-G2149</x:f>
        <x:v>0.06533045146842298</x:v>
      </x:c>
    </x:row>
    <x:row r="2150">
      <x:c r="A2150" s="2" t="str">
        <x:v>LiLC-1</x:v>
      </x:c>
      <x:c r="B2150" s="4" t="str">
        <x:v>LiCl</x:v>
      </x:c>
      <x:c r="C2150" s="23" t="n">
        <x:v>2.103874</x:v>
      </x:c>
      <x:c r="D2150" s="23" t="n">
        <x:v>-24.10679</x:v>
      </x:c>
      <x:c r="E2150" s="23" t="n">
        <x:f>'Parameters'!$B$2*'Parameters'!$B$3*LN(4*PI()*C2150^2)</x:f>
        <x:v>9.961899686691979</x:v>
      </x:c>
      <x:c r="F2150" s="23" t="n">
        <x:f>D2150+E2150</x:f>
        <x:v>-14.144890313308021</x:v>
      </x:c>
      <x:c r="G2150" s="23" t="n">
        <x:f>AVERAGE($F$2144:$F$2167)</x:f>
        <x:v>-14.084347713961572</x:v>
      </x:c>
      <x:c r="H2150" s="24" t="n">
        <x:f>F2150-G2150</x:f>
        <x:v>-0.06054259934644968</x:v>
      </x:c>
    </x:row>
    <x:row r="2151">
      <x:c r="A2151" s="2" t="str">
        <x:v>LiLC-1</x:v>
      </x:c>
      <x:c r="B2151" s="4" t="str">
        <x:v>LiCl</x:v>
      </x:c>
      <x:c r="C2151" s="23" t="n">
        <x:v>2.116087</x:v>
      </x:c>
      <x:c r="D2151" s="23" t="n">
        <x:v>-24.04581</x:v>
      </x:c>
      <x:c r="E2151" s="23" t="n">
        <x:f>'Parameters'!$B$2*'Parameters'!$B$3*LN(4*PI()*C2151^2)</x:f>
        <x:v>9.99059719051293</x:v>
      </x:c>
      <x:c r="F2151" s="23" t="n">
        <x:f>D2151+E2151</x:f>
        <x:v>-14.05521280948707</x:v>
      </x:c>
      <x:c r="G2151" s="23" t="n">
        <x:f>AVERAGE($F$2144:$F$2167)</x:f>
        <x:v>-14.084347713961572</x:v>
      </x:c>
      <x:c r="H2151" s="24" t="n">
        <x:f>F2151-G2151</x:f>
        <x:v>0.02913490447450151</x:v>
      </x:c>
    </x:row>
    <x:row r="2152">
      <x:c r="A2152" s="2" t="str">
        <x:v>LiLC-1</x:v>
      </x:c>
      <x:c r="B2152" s="4" t="str">
        <x:v>LiCl</x:v>
      </x:c>
      <x:c r="C2152" s="23" t="n">
        <x:v>2.1283</x:v>
      </x:c>
      <x:c r="D2152" s="23" t="n">
        <x:v>-24.01581</x:v>
      </x:c>
      <x:c r="E2152" s="23" t="n">
        <x:f>'Parameters'!$B$2*'Parameters'!$B$3*LN(4*PI()*C2152^2)</x:f>
        <x:v>10.01912954230869</x:v>
      </x:c>
      <x:c r="F2152" s="23" t="n">
        <x:f>D2152+E2152</x:f>
        <x:v>-13.996680457691308</x:v>
      </x:c>
      <x:c r="G2152" s="23" t="n">
        <x:f>AVERAGE($F$2144:$F$2167)</x:f>
        <x:v>-14.084347713961572</x:v>
      </x:c>
      <x:c r="H2152" s="24" t="n">
        <x:f>F2152-G2152</x:f>
        <x:v>0.0876672562702634</x:v>
      </x:c>
    </x:row>
    <x:row r="2153">
      <x:c r="A2153" s="2" t="str">
        <x:v>LiLC-1</x:v>
      </x:c>
      <x:c r="B2153" s="4" t="str">
        <x:v>LiCl</x:v>
      </x:c>
      <x:c r="C2153" s="23" t="n">
        <x:v>2.140513</x:v>
      </x:c>
      <x:c r="D2153" s="23" t="n">
        <x:v>-24.1567</x:v>
      </x:c>
      <x:c r="E2153" s="23" t="n">
        <x:f>'Parameters'!$B$2*'Parameters'!$B$3*LN(4*PI()*C2153^2)</x:f>
        <x:v>10.047498632083146</x:v>
      </x:c>
      <x:c r="F2153" s="23" t="n">
        <x:f>D2153+E2153</x:f>
        <x:v>-14.109201367916855</x:v>
      </x:c>
      <x:c r="G2153" s="23" t="n">
        <x:f>AVERAGE($F$2144:$F$2167)</x:f>
        <x:v>-14.084347713961572</x:v>
      </x:c>
      <x:c r="H2153" s="24" t="n">
        <x:f>F2153-G2153</x:f>
        <x:v>-0.02485365395528305</x:v>
      </x:c>
    </x:row>
    <x:row r="2154">
      <x:c r="A2154" s="2" t="str">
        <x:v>LiLC-1</x:v>
      </x:c>
      <x:c r="B2154" s="4" t="str">
        <x:v>LiCl</x:v>
      </x:c>
      <x:c r="C2154" s="23" t="n">
        <x:v>2.152727</x:v>
      </x:c>
      <x:c r="D2154" s="23" t="n">
        <x:v>-24.19285</x:v>
      </x:c>
      <x:c r="E2154" s="23" t="n">
        <x:f>'Parameters'!$B$2*'Parameters'!$B$3*LN(4*PI()*C2154^2)</x:f>
        <x:v>10.07570862066671</x:v>
      </x:c>
      <x:c r="F2154" s="23" t="n">
        <x:f>D2154+E2154</x:f>
        <x:v>-14.11714137933329</x:v>
      </x:c>
      <x:c r="G2154" s="23" t="n">
        <x:f>AVERAGE($F$2144:$F$2167)</x:f>
        <x:v>-14.084347713961572</x:v>
      </x:c>
      <x:c r="H2154" s="24" t="n">
        <x:f>F2154-G2154</x:f>
        <x:v>-0.03279366537171846</x:v>
      </x:c>
    </x:row>
    <x:row r="2155">
      <x:c r="A2155" s="2" t="str">
        <x:v>LiLC-1</x:v>
      </x:c>
      <x:c r="B2155" s="4" t="str">
        <x:v>LiCl</x:v>
      </x:c>
      <x:c r="C2155" s="23" t="n">
        <x:v>2.16494</x:v>
      </x:c>
      <x:c r="D2155" s="23" t="n">
        <x:v>-24.25278</x:v>
      </x:c>
      <x:c r="E2155" s="23" t="n">
        <x:f>'Parameters'!$B$2*'Parameters'!$B$3*LN(4*PI()*C2155^2)</x:f>
        <x:v>10.103756715110386</x:v>
      </x:c>
      <x:c r="F2155" s="23" t="n">
        <x:f>D2155+E2155</x:f>
        <x:v>-14.149023284889616</x:v>
      </x:c>
      <x:c r="G2155" s="23" t="n">
        <x:f>AVERAGE($F$2144:$F$2167)</x:f>
        <x:v>-14.084347713961572</x:v>
      </x:c>
      <x:c r="H2155" s="24" t="n">
        <x:f>F2155-G2155</x:f>
        <x:v>-0.06467557092804377</x:v>
      </x:c>
    </x:row>
    <x:row r="2156">
      <x:c r="A2156" s="2" t="str">
        <x:v>LiLC-1</x:v>
      </x:c>
      <x:c r="B2156" s="4" t="str">
        <x:v>LiCl</x:v>
      </x:c>
      <x:c r="C2156" s="23" t="n">
        <x:v>2.177153</x:v>
      </x:c>
      <x:c r="D2156" s="23" t="n">
        <x:v>-24.1604</x:v>
      </x:c>
      <x:c r="E2156" s="23" t="n">
        <x:f>'Parameters'!$B$2*'Parameters'!$B$3*LN(4*PI()*C2156^2)</x:f>
        <x:v>10.1316470270334</x:v>
      </x:c>
      <x:c r="F2156" s="23" t="n">
        <x:f>D2156+E2156</x:f>
        <x:v>-14.028752972966599</x:v>
      </x:c>
      <x:c r="G2156" s="23" t="n">
        <x:f>AVERAGE($F$2144:$F$2167)</x:f>
        <x:v>-14.084347713961572</x:v>
      </x:c>
      <x:c r="H2156" s="24" t="n">
        <x:f>F2156-G2156</x:f>
        <x:v>0.05559474099497308</x:v>
      </x:c>
    </x:row>
    <x:row r="2157">
      <x:c r="A2157" s="2" t="str">
        <x:v>LiLC-1</x:v>
      </x:c>
      <x:c r="B2157" s="4" t="str">
        <x:v>LiCl</x:v>
      </x:c>
      <x:c r="C2157" s="23" t="n">
        <x:v>2.189366</x:v>
      </x:c>
      <x:c r="D2157" s="23" t="n">
        <x:v>-24.15436</x:v>
      </x:c>
      <x:c r="E2157" s="23" t="n">
        <x:f>'Parameters'!$B$2*'Parameters'!$B$3*LN(4*PI()*C2157^2)</x:f>
        <x:v>10.159381321698278</x:v>
      </x:c>
      <x:c r="F2157" s="23" t="n">
        <x:f>D2157+E2157</x:f>
        <x:v>-13.994978678301722</x:v>
      </x:c>
      <x:c r="G2157" s="23" t="n">
        <x:f>AVERAGE($F$2144:$F$2167)</x:f>
        <x:v>-14.084347713961572</x:v>
      </x:c>
      <x:c r="H2157" s="24" t="n">
        <x:f>F2157-G2157</x:f>
        <x:v>0.08936903565984977</x:v>
      </x:c>
    </x:row>
    <x:row r="2158">
      <x:c r="A2158" s="2" t="str">
        <x:v>LiLC-1</x:v>
      </x:c>
      <x:c r="B2158" s="4" t="str">
        <x:v>LiCl</x:v>
      </x:c>
      <x:c r="C2158" s="23" t="n">
        <x:v>2.20158</x:v>
      </x:c>
      <x:c r="D2158" s="23" t="n">
        <x:v>-24.31839</x:v>
      </x:c>
      <x:c r="E2158" s="23" t="n">
        <x:f>'Parameters'!$B$2*'Parameters'!$B$3*LN(4*PI()*C2158^2)</x:f>
        <x:v>10.18696358688824</x:v>
      </x:c>
      <x:c r="F2158" s="23" t="n">
        <x:f>D2158+E2158</x:f>
        <x:v>-14.131426413111761</x:v>
      </x:c>
      <x:c r="G2158" s="23" t="n">
        <x:f>AVERAGE($F$2144:$F$2167)</x:f>
        <x:v>-14.084347713961572</x:v>
      </x:c>
      <x:c r="H2158" s="24" t="n">
        <x:f>F2158-G2158</x:f>
        <x:v>-0.04707869915018925</x:v>
      </x:c>
    </x:row>
    <x:row r="2159">
      <x:c r="A2159" s="2" t="str">
        <x:v>LiLC-1</x:v>
      </x:c>
      <x:c r="B2159" s="4" t="str">
        <x:v>LiCl</x:v>
      </x:c>
      <x:c r="C2159" s="23" t="n">
        <x:v>2.213793</x:v>
      </x:c>
      <x:c r="D2159" s="23" t="n">
        <x:v>-24.24516</x:v>
      </x:c>
      <x:c r="E2159" s="23" t="n">
        <x:f>'Parameters'!$B$2*'Parameters'!$B$3*LN(4*PI()*C2159^2)</x:f>
        <x:v>10.214391013213525</x:v>
      </x:c>
      <x:c r="F2159" s="23" t="n">
        <x:f>D2159+E2159</x:f>
        <x:v>-14.030768986786473</x:v>
      </x:c>
      <x:c r="G2159" s="23" t="n">
        <x:f>AVERAGE($F$2144:$F$2167)</x:f>
        <x:v>-14.084347713961572</x:v>
      </x:c>
      <x:c r="H2159" s="24" t="n">
        <x:f>F2159-G2159</x:f>
        <x:v>0.053578727175098706</x:v>
      </x:c>
    </x:row>
    <x:row r="2160">
      <x:c r="A2160" s="2" t="str">
        <x:v>LiLC-1</x:v>
      </x:c>
      <x:c r="B2160" s="4" t="str">
        <x:v>LiCl</x:v>
      </x:c>
      <x:c r="C2160" s="23" t="n">
        <x:v>2.226006</x:v>
      </x:c>
      <x:c r="D2160" s="23" t="n">
        <x:v>-24.38895</x:v>
      </x:c>
      <x:c r="E2160" s="23" t="n">
        <x:f>'Parameters'!$B$2*'Parameters'!$B$3*LN(4*PI()*C2160^2)</x:f>
        <x:v>10.241667544035572</x:v>
      </x:c>
      <x:c r="F2160" s="23" t="n">
        <x:f>D2160+E2160</x:f>
        <x:v>-14.14728245596443</x:v>
      </x:c>
      <x:c r="G2160" s="23" t="n">
        <x:f>AVERAGE($F$2144:$F$2167)</x:f>
        <x:v>-14.084347713961572</x:v>
      </x:c>
      <x:c r="H2160" s="24" t="n">
        <x:f>F2160-G2160</x:f>
        <x:v>-0.06293474200285765</x:v>
      </x:c>
    </x:row>
    <x:row r="2161">
      <x:c r="A2161" s="2" t="str">
        <x:v>LiLC-1</x:v>
      </x:c>
      <x:c r="B2161" s="4" t="str">
        <x:v>LiCl</x:v>
      </x:c>
      <x:c r="C2161" s="23" t="n">
        <x:v>2.238219</x:v>
      </x:c>
      <x:c r="D2161" s="23" t="n">
        <x:v>-24.3811</x:v>
      </x:c>
      <x:c r="E2161" s="23" t="n">
        <x:f>'Parameters'!$B$2*'Parameters'!$B$3*LN(4*PI()*C2161^2)</x:f>
        <x:v>10.268794830615818</x:v>
      </x:c>
      <x:c r="F2161" s="23" t="n">
        <x:f>D2161+E2161</x:f>
        <x:v>-14.112305169384182</x:v>
      </x:c>
      <x:c r="G2161" s="23" t="n">
        <x:f>AVERAGE($F$2144:$F$2167)</x:f>
        <x:v>-14.084347713961572</x:v>
      </x:c>
      <x:c r="H2161" s="24" t="n">
        <x:f>F2161-G2161</x:f>
        <x:v>-0.027957455422610522</x:v>
      </x:c>
    </x:row>
    <x:row r="2162">
      <x:c r="A2162" s="2" t="str">
        <x:v>LiLC-1</x:v>
      </x:c>
      <x:c r="B2162" s="4" t="str">
        <x:v>LiCl</x:v>
      </x:c>
      <x:c r="C2162" s="23" t="n">
        <x:v>2.250433</x:v>
      </x:c>
      <x:c r="D2162" s="23" t="n">
        <x:v>-24.43662</x:v>
      </x:c>
      <x:c r="E2162" s="23" t="n">
        <x:f>'Parameters'!$B$2*'Parameters'!$B$3*LN(4*PI()*C2162^2)</x:f>
        <x:v>10.295776700352189</x:v>
      </x:c>
      <x:c r="F2162" s="23" t="n">
        <x:f>D2162+E2162</x:f>
        <x:v>-14.140843299647813</x:v>
      </x:c>
      <x:c r="G2162" s="23" t="n">
        <x:f>AVERAGE($F$2144:$F$2167)</x:f>
        <x:v>-14.084347713961572</x:v>
      </x:c>
      <x:c r="H2162" s="24" t="n">
        <x:f>F2162-G2162</x:f>
        <x:v>-0.0564955856862408</x:v>
      </x:c>
    </x:row>
    <x:row r="2163">
      <x:c r="A2163" s="2" t="str">
        <x:v>LiLC-1</x:v>
      </x:c>
      <x:c r="B2163" s="4" t="str">
        <x:v>LiCl</x:v>
      </x:c>
      <x:c r="C2163" s="23" t="n">
        <x:v>2.262646</x:v>
      </x:c>
      <x:c r="D2163" s="23" t="n">
        <x:v>-24.3762</x:v>
      </x:c>
      <x:c r="E2163" s="23" t="n">
        <x:f>'Parameters'!$B$2*'Parameters'!$B$3*LN(4*PI()*C2163^2)</x:f>
        <x:v>10.322610333095625</x:v>
      </x:c>
      <x:c r="F2163" s="23" t="n">
        <x:f>D2163+E2163</x:f>
        <x:v>-14.053589666904376</x:v>
      </x:c>
      <x:c r="G2163" s="23" t="n">
        <x:f>AVERAGE($F$2144:$F$2167)</x:f>
        <x:v>-14.084347713961572</x:v>
      </x:c>
      <x:c r="H2163" s="24" t="n">
        <x:f>F2163-G2163</x:f>
        <x:v>0.03075804705719598</x:v>
      </x:c>
    </x:row>
    <x:row r="2164">
      <x:c r="A2164" s="2" t="str">
        <x:v>LiLC-1</x:v>
      </x:c>
      <x:c r="B2164" s="4" t="str">
        <x:v>LiCl</x:v>
      </x:c>
      <x:c r="C2164" s="23" t="n">
        <x:v>2.274859</x:v>
      </x:c>
      <x:c r="D2164" s="23" t="n">
        <x:v>-24.47147</x:v>
      </x:c>
      <x:c r="E2164" s="23" t="n">
        <x:f>'Parameters'!$B$2*'Parameters'!$B$3*LN(4*PI()*C2164^2)</x:f>
        <x:v>10.349299516083624</x:v>
      </x:c>
      <x:c r="F2164" s="23" t="n">
        <x:f>D2164+E2164</x:f>
        <x:v>-14.122170483916376</x:v>
      </x:c>
      <x:c r="G2164" s="23" t="n">
        <x:f>AVERAGE($F$2144:$F$2167)</x:f>
        <x:v>-14.084347713961572</x:v>
      </x:c>
      <x:c r="H2164" s="24" t="n">
        <x:f>F2164-G2164</x:f>
        <x:v>-0.03782276995480416</x:v>
      </x:c>
    </x:row>
    <x:row r="2165">
      <x:c r="A2165" s="2" t="str">
        <x:v>LiLC-1</x:v>
      </x:c>
      <x:c r="B2165" s="4" t="str">
        <x:v>LiCl</x:v>
      </x:c>
      <x:c r="C2165" s="23" t="n">
        <x:v>2.287072</x:v>
      </x:c>
      <x:c r="D2165" s="23" t="n">
        <x:v>-24.41205</x:v>
      </x:c>
      <x:c r="E2165" s="23" t="n">
        <x:f>'Parameters'!$B$2*'Parameters'!$B$3*LN(4*PI()*C2165^2)</x:f>
        <x:v>10.375845796185331</x:v>
      </x:c>
      <x:c r="F2165" s="23" t="n">
        <x:f>D2165+E2165</x:f>
        <x:v>-14.03620420381467</x:v>
      </x:c>
      <x:c r="G2165" s="23" t="n">
        <x:f>AVERAGE($F$2144:$F$2167)</x:f>
        <x:v>-14.084347713961572</x:v>
      </x:c>
      <x:c r="H2165" s="24" t="n">
        <x:f>F2165-G2165</x:f>
        <x:v>0.0481435101469021</x:v>
      </x:c>
    </x:row>
    <x:row r="2166">
      <x:c r="A2166" s="2" t="str">
        <x:v>LiLC-1</x:v>
      </x:c>
      <x:c r="B2166" s="4" t="str">
        <x:v>LiCl</x:v>
      </x:c>
      <x:c r="C2166" s="23" t="n">
        <x:v>2.299286</x:v>
      </x:c>
      <x:c r="D2166" s="23" t="n">
        <x:v>-24.45736</x:v>
      </x:c>
      <x:c r="E2166" s="23" t="n">
        <x:f>'Parameters'!$B$2*'Parameters'!$B$3*LN(4*PI()*C2166^2)</x:f>
        <x:v>10.402252851839393</x:v>
      </x:c>
      <x:c r="F2166" s="23" t="n">
        <x:f>D2166+E2166</x:f>
        <x:v>-14.055107148160609</x:v>
      </x:c>
      <x:c r="G2166" s="23" t="n">
        <x:f>AVERAGE($F$2144:$F$2167)</x:f>
        <x:v>-14.084347713961572</x:v>
      </x:c>
      <x:c r="H2166" s="24" t="n">
        <x:f>F2166-G2166</x:f>
        <x:v>0.029240565800963125</x:v>
      </x:c>
    </x:row>
    <x:row r="2167">
      <x:c r="A2167" s="2" t="str">
        <x:v>LiLC-1</x:v>
      </x:c>
      <x:c r="B2167" s="4" t="str">
        <x:v>LiCl</x:v>
      </x:c>
      <x:c r="C2167" s="23" t="n">
        <x:v>2.311499</x:v>
      </x:c>
      <x:c r="D2167" s="23" t="n">
        <x:v>-24.5503</x:v>
      </x:c>
      <x:c r="E2167" s="23" t="n">
        <x:f>'Parameters'!$B$2*'Parameters'!$B$3*LN(4*PI()*C2167^2)</x:f>
        <x:v>10.428517857046113</x:v>
      </x:c>
      <x:c r="F2167" s="23" t="n">
        <x:f>D2167+E2167</x:f>
        <x:v>-14.121782142953887</x:v>
      </x:c>
      <x:c r="G2167" s="23" t="n">
        <x:f>AVERAGE($F$2144:$F$2167)</x:f>
        <x:v>-14.084347713961572</x:v>
      </x:c>
      <x:c r="H2167" s="24" t="n">
        <x:f>F2167-G2167</x:f>
        <x:v>-0.03743442899231475</x:v>
      </x:c>
    </x:row>
    <x:row r="2168">
      <x:c r="A2168" s="2" t="str">
        <x:v>LiLC-1</x:v>
      </x:c>
      <x:c r="B2168" s="4" t="str">
        <x:v>LiCl</x:v>
      </x:c>
      <x:c r="C2168" s="23" t="n">
        <x:v>2.323712</x:v>
      </x:c>
      <x:c r="D2168" s="23" t="n">
        <x:v>-24.50828</x:v>
      </x:c>
      <x:c r="E2168" s="23" t="n">
        <x:f>'Parameters'!$B$2*'Parameters'!$B$3*LN(4*PI()*C2168^2)</x:f>
        <x:v>10.454644453883876</x:v>
      </x:c>
      <x:c r="F2168" s="23" t="n">
        <x:f>D2168+E2168</x:f>
        <x:v>-14.053635546116123</x:v>
      </x:c>
      <x:c r="G2168" s="23" t="n">
        <x:f>AVERAGE($F$2144:$F$2167)</x:f>
        <x:v>-14.084347713961572</x:v>
      </x:c>
      <x:c r="H2168" s="24" t="n">
        <x:f>F2168-G2168</x:f>
        <x:v>0.030712167845448946</x:v>
      </x:c>
    </x:row>
    <x:row r="2169">
      <x:c r="A2169" s="2" t="str">
        <x:v>LiLC-1</x:v>
      </x:c>
      <x:c r="B2169" s="4" t="str">
        <x:v>LiCl</x:v>
      </x:c>
      <x:c r="C2169" s="23" t="n">
        <x:v>2.335925</x:v>
      </x:c>
      <x:c r="D2169" s="23" t="n">
        <x:v>-24.58625</x:v>
      </x:c>
      <x:c r="E2169" s="23" t="n">
        <x:f>'Parameters'!$B$2*'Parameters'!$B$3*LN(4*PI()*C2169^2)</x:f>
        <x:v>10.480634093446902</x:v>
      </x:c>
      <x:c r="F2169" s="23" t="n">
        <x:f>D2169+E2169</x:f>
        <x:v>-14.105615906553098</x:v>
      </x:c>
      <x:c r="G2169" s="23" t="n">
        <x:f>AVERAGE($F$2144:$F$2167)</x:f>
        <x:v>-14.084347713961572</x:v>
      </x:c>
      <x:c r="H2169" s="24" t="n">
        <x:f>F2169-G2169</x:f>
        <x:v>-0.021268192591525903</x:v>
      </x:c>
    </x:row>
    <x:row r="2170">
      <x:c r="A2170" s="2" t="str">
        <x:v>LiLC-1</x:v>
      </x:c>
      <x:c r="B2170" s="4" t="str">
        <x:v>LiCl</x:v>
      </x:c>
      <x:c r="C2170" s="23" t="n">
        <x:v>2.348139</x:v>
      </x:c>
      <x:c r="D2170" s="23" t="n">
        <x:v>-24.49363</x:v>
      </x:c>
      <x:c r="E2170" s="23" t="n">
        <x:f>'Parameters'!$B$2*'Parameters'!$B$3*LN(4*PI()*C2170^2)</x:f>
        <x:v>10.50649031555131</x:v>
      </x:c>
      <x:c r="F2170" s="23" t="n">
        <x:f>D2170+E2170</x:f>
        <x:v>-13.987139684448689</x:v>
      </x:c>
      <x:c r="G2170" s="23" t="n">
        <x:f>AVERAGE($F$2144:$F$2167)</x:f>
        <x:v>-14.084347713961572</x:v>
      </x:c>
      <x:c r="H2170" s="24" t="n">
        <x:f>F2170-G2170</x:f>
        <x:v>0.09720802951288299</x:v>
      </x:c>
    </x:row>
    <x:row r="2171">
      <x:c r="A2171" s="2" t="str">
        <x:v>LiLC-1</x:v>
      </x:c>
      <x:c r="B2171" s="4" t="str">
        <x:v>LiCl</x:v>
      </x:c>
      <x:c r="C2171" s="23" t="n">
        <x:v>2.360352</x:v>
      </x:c>
      <x:c r="D2171" s="23" t="n">
        <x:v>-24.61694</x:v>
      </x:c>
      <x:c r="E2171" s="23" t="n">
        <x:f>'Parameters'!$B$2*'Parameters'!$B$3*LN(4*PI()*C2171^2)</x:f>
        <x:v>10.532210292588474</x:v>
      </x:c>
      <x:c r="F2171" s="23" t="n">
        <x:f>D2171+E2171</x:f>
        <x:v>-14.084729707411526</x:v>
      </x:c>
      <x:c r="G2171" s="23" t="n">
        <x:f>AVERAGE($F$2144:$F$2167)</x:f>
        <x:v>-14.084347713961572</x:v>
      </x:c>
      <x:c r="H2171" s="24" t="n">
        <x:f>F2171-G2171</x:f>
        <x:v>-0.00038199344995426543</x:v>
      </x:c>
    </x:row>
    <x:row r="2172">
      <x:c r="A2172" s="2" t="str">
        <x:v>LiLC-1</x:v>
      </x:c>
      <x:c r="B2172" s="4" t="str">
        <x:v>LiCl</x:v>
      </x:c>
      <x:c r="C2172" s="23" t="n">
        <x:v>2.372565</x:v>
      </x:c>
      <x:c r="D2172" s="23" t="n">
        <x:v>-24.58721</x:v>
      </x:c>
      <x:c r="E2172" s="23" t="n">
        <x:f>'Parameters'!$B$2*'Parameters'!$B$3*LN(4*PI()*C2172^2)</x:f>
        <x:v>10.55779753141046</x:v>
      </x:c>
      <x:c r="F2172" s="23" t="n">
        <x:f>D2172+E2172</x:f>
        <x:v>-14.02941246858954</x:v>
      </x:c>
      <x:c r="G2172" s="23" t="n">
        <x:f>AVERAGE($F$2144:$F$2167)</x:f>
        <x:v>-14.084347713961572</x:v>
      </x:c>
      <x:c r="H2172" s="24" t="n">
        <x:f>F2172-G2172</x:f>
        <x:v>0.054935245372032426</x:v>
      </x:c>
    </x:row>
    <x:row r="2173">
      <x:c r="A2173" s="2" t="str">
        <x:v>LiLC-1</x:v>
      </x:c>
      <x:c r="B2173" s="4" t="str">
        <x:v>LiCl</x:v>
      </x:c>
      <x:c r="C2173" s="23" t="n">
        <x:v>2.384778</x:v>
      </x:c>
      <x:c r="D2173" s="23" t="n">
        <x:v>-24.5954</x:v>
      </x:c>
      <x:c r="E2173" s="23" t="n">
        <x:f>'Parameters'!$B$2*'Parameters'!$B$3*LN(4*PI()*C2173^2)</x:f>
        <x:v>10.583253395082794</x:v>
      </x:c>
      <x:c r="F2173" s="23" t="n">
        <x:f>D2173+E2173</x:f>
        <x:v>-14.012146604917207</x:v>
      </x:c>
      <x:c r="G2173" s="23" t="n">
        <x:f>AVERAGE($F$2144:$F$2167)</x:f>
        <x:v>-14.084347713961572</x:v>
      </x:c>
      <x:c r="H2173" s="24" t="n">
        <x:f>F2173-G2173</x:f>
        <x:v>0.07220110904436439</x:v>
      </x:c>
    </x:row>
    <x:row r="2174">
      <x:c r="A2174" s="2" t="str">
        <x:v>LiLC-1</x:v>
      </x:c>
      <x:c r="B2174" s="4" t="str">
        <x:v>LiCl</x:v>
      </x:c>
      <x:c r="C2174" s="23" t="n">
        <x:v>2.396992</x:v>
      </x:c>
      <x:c r="D2174" s="23" t="n">
        <x:v>-24.5528</x:v>
      </x:c>
      <x:c r="E2174" s="23" t="n">
        <x:f>'Parameters'!$B$2*'Parameters'!$B$3*LN(4*PI()*C2174^2)</x:f>
        <x:v>10.608581294172927</x:v>
      </x:c>
      <x:c r="F2174" s="23" t="n">
        <x:f>D2174+E2174</x:f>
        <x:v>-13.944218705827074</x:v>
      </x:c>
      <x:c r="G2174" s="23" t="n">
        <x:f>AVERAGE($F$2144:$F$2167)</x:f>
        <x:v>-14.084347713961572</x:v>
      </x:c>
      <x:c r="H2174" s="24" t="n">
        <x:f>F2174-G2174</x:f>
        <x:v>0.14012900813449747</x:v>
      </x:c>
    </x:row>
    <x:row r="2175">
      <x:c r="A2175" s="2" t="str">
        <x:v>LiLC-1</x:v>
      </x:c>
      <x:c r="B2175" s="4" t="str">
        <x:v>LiCl</x:v>
      </x:c>
      <x:c r="C2175" s="23" t="n">
        <x:v>2.409205</x:v>
      </x:c>
      <x:c r="D2175" s="23" t="n">
        <x:v>-24.43575</x:v>
      </x:c>
      <x:c r="E2175" s="23" t="n">
        <x:f>'Parameters'!$B$2*'Parameters'!$B$3*LN(4*PI()*C2175^2)</x:f>
        <x:v>10.633778403128202</x:v>
      </x:c>
      <x:c r="F2175" s="23" t="n">
        <x:f>D2175+E2175</x:f>
        <x:v>-13.801971596871796</x:v>
      </x:c>
      <x:c r="G2175" s="23" t="n">
        <x:f>AVERAGE($F$2144:$F$2167)</x:f>
        <x:v>-14.084347713961572</x:v>
      </x:c>
      <x:c r="H2175" s="24" t="n">
        <x:f>F2175-G2175</x:f>
        <x:v>0.2823761170897754</x:v>
      </x:c>
    </x:row>
    <x:row r="2176">
      <x:c r="A2176" s="2" t="str">
        <x:v>LiLC-1</x:v>
      </x:c>
      <x:c r="B2176" s="4" t="str">
        <x:v>LiCl</x:v>
      </x:c>
      <x:c r="C2176" s="23" t="n">
        <x:v>2.421418</x:v>
      </x:c>
      <x:c r="D2176" s="23" t="n">
        <x:v>-24.63547</x:v>
      </x:c>
      <x:c r="E2176" s="23" t="n">
        <x:f>'Parameters'!$B$2*'Parameters'!$B$3*LN(4*PI()*C2176^2)</x:f>
        <x:v>10.658848102593494</x:v>
      </x:c>
      <x:c r="F2176" s="23" t="n">
        <x:f>D2176+E2176</x:f>
        <x:v>-13.976621897406508</x:v>
      </x:c>
      <x:c r="G2176" s="23" t="n">
        <x:f>AVERAGE($F$2144:$F$2167)</x:f>
        <x:v>-14.084347713961572</x:v>
      </x:c>
      <x:c r="H2176" s="24" t="n">
        <x:f>F2176-G2176</x:f>
        <x:v>0.10772581655506386</x:v>
      </x:c>
    </x:row>
    <x:row r="2177">
      <x:c r="A2177" s="2" t="str">
        <x:v>LiLC-1</x:v>
      </x:c>
      <x:c r="B2177" s="4" t="str">
        <x:v>LiCl</x:v>
      </x:c>
      <x:c r="C2177" s="23" t="n">
        <x:v>2.433631</x:v>
      </x:c>
      <x:c r="D2177" s="23" t="n">
        <x:v>-24.47491</x:v>
      </x:c>
      <x:c r="E2177" s="23" t="n">
        <x:f>'Parameters'!$B$2*'Parameters'!$B$3*LN(4*PI()*C2177^2)</x:f>
        <x:v>10.683791674584283</x:v>
      </x:c>
      <x:c r="F2177" s="23" t="n">
        <x:f>D2177+E2177</x:f>
        <x:v>-13.791118325415718</x:v>
      </x:c>
      <x:c r="G2177" s="23" t="n">
        <x:f>AVERAGE($F$2144:$F$2167)</x:f>
        <x:v>-14.084347713961572</x:v>
      </x:c>
      <x:c r="H2177" s="24" t="n">
        <x:f>F2177-G2177</x:f>
        <x:v>0.29322938854585345</x:v>
      </x:c>
    </x:row>
    <x:row r="2178">
      <x:c r="A2178" s="2" t="str">
        <x:v>LiLC-1</x:v>
      </x:c>
      <x:c r="B2178" s="4" t="str">
        <x:v>LiCl</x:v>
      </x:c>
      <x:c r="C2178" s="23" t="n">
        <x:v>2.445845</x:v>
      </x:c>
      <x:c r="D2178" s="23" t="n">
        <x:v>-24.4554</x:v>
      </x:c>
      <x:c r="E2178" s="23" t="n">
        <x:f>'Parameters'!$B$2*'Parameters'!$B$3*LN(4*PI()*C2178^2)</x:f>
        <x:v>10.708612408939665</x:v>
      </x:c>
      <x:c r="F2178" s="23" t="n">
        <x:f>D2178+E2178</x:f>
        <x:v>-13.746787591060336</x:v>
      </x:c>
      <x:c r="G2178" s="23" t="n">
        <x:f>AVERAGE($F$2144:$F$2167)</x:f>
        <x:v>-14.084347713961572</x:v>
      </x:c>
      <x:c r="H2178" s="24" t="n">
        <x:f>F2178-G2178</x:f>
        <x:v>0.3375601229012357</x:v>
      </x:c>
    </x:row>
    <x:row r="2179">
      <x:c r="A2179" s="2" t="str">
        <x:v>LiLC-1</x:v>
      </x:c>
      <x:c r="B2179" s="4" t="str">
        <x:v>LiCl</x:v>
      </x:c>
      <x:c r="C2179" s="23" t="n">
        <x:v>2.458058</x:v>
      </x:c>
      <x:c r="D2179" s="23" t="n">
        <x:v>-24.52563</x:v>
      </x:c>
      <x:c r="E2179" s="23" t="n">
        <x:f>'Parameters'!$B$2*'Parameters'!$B$3*LN(4*PI()*C2179^2)</x:f>
        <x:v>10.733307485328028</x:v>
      </x:c>
      <x:c r="F2179" s="23" t="n">
        <x:f>D2179+E2179</x:f>
        <x:v>-13.792322514671971</x:v>
      </x:c>
      <x:c r="G2179" s="23" t="n">
        <x:f>AVERAGE($F$2144:$F$2167)</x:f>
        <x:v>-14.084347713961572</x:v>
      </x:c>
      <x:c r="H2179" s="24" t="n">
        <x:f>F2179-G2179</x:f>
        <x:v>0.2920251992896006</x:v>
      </x:c>
    </x:row>
    <x:row r="2180">
      <x:c r="A2180" s="2" t="str">
        <x:v>LiLC-1</x:v>
      </x:c>
      <x:c r="B2180" s="4" t="str">
        <x:v>LiCl</x:v>
      </x:c>
      <x:c r="C2180" s="23" t="n">
        <x:v>2.470271</x:v>
      </x:c>
      <x:c r="D2180" s="23" t="n">
        <x:v>-24.42763</x:v>
      </x:c>
      <x:c r="E2180" s="23" t="n">
        <x:f>'Parameters'!$B$2*'Parameters'!$B$3*LN(4*PI()*C2180^2)</x:f>
        <x:v>10.757880166395063</x:v>
      </x:c>
      <x:c r="F2180" s="23" t="n">
        <x:f>D2180+E2180</x:f>
        <x:v>-13.669749833604937</x:v>
      </x:c>
      <x:c r="G2180" s="23" t="n">
        <x:f>AVERAGE($F$2144:$F$2167)</x:f>
        <x:v>-14.084347713961572</x:v>
      </x:c>
      <x:c r="H2180" s="24" t="n">
        <x:f>F2180-G2180</x:f>
        <x:v>0.41459788035663436</x:v>
      </x:c>
    </x:row>
    <x:row r="2181">
      <x:c r="A2181" s="2" t="str">
        <x:v>LiLC-1</x:v>
      </x:c>
      <x:c r="B2181" s="4" t="str">
        <x:v>LiCl</x:v>
      </x:c>
      <x:c r="C2181" s="23" t="n">
        <x:v>2.482484</x:v>
      </x:c>
      <x:c r="D2181" s="23" t="n">
        <x:v>-24.44467</x:v>
      </x:c>
      <x:c r="E2181" s="23" t="n">
        <x:f>'Parameters'!$B$2*'Parameters'!$B$3*LN(4*PI()*C2181^2)</x:f>
        <x:v>10.782331659406779</x:v>
      </x:c>
      <x:c r="F2181" s="23" t="n">
        <x:f>D2181+E2181</x:f>
        <x:v>-13.66233834059322</x:v>
      </x:c>
      <x:c r="G2181" s="23" t="n">
        <x:f>AVERAGE($F$2144:$F$2167)</x:f>
        <x:v>-14.084347713961572</x:v>
      </x:c>
      <x:c r="H2181" s="24" t="n">
        <x:f>F2181-G2181</x:f>
        <x:v>0.4220093733683523</x:v>
      </x:c>
    </x:row>
    <x:row r="2182">
      <x:c r="A2182" s="2" t="str">
        <x:v>LiLC-1</x:v>
      </x:c>
      <x:c r="B2182" s="4" t="str">
        <x:v>LiCl</x:v>
      </x:c>
      <x:c r="C2182" s="23" t="n">
        <x:v>2.494698</x:v>
      </x:c>
      <x:c r="D2182" s="23" t="n">
        <x:v>-24.54926</x:v>
      </x:c>
      <x:c r="E2182" s="23" t="n">
        <x:f>'Parameters'!$B$2*'Parameters'!$B$3*LN(4*PI()*C2182^2)</x:f>
        <x:v>10.80666514123558</x:v>
      </x:c>
      <x:c r="F2182" s="23" t="n">
        <x:f>D2182+E2182</x:f>
        <x:v>-13.74259485876442</x:v>
      </x:c>
      <x:c r="G2182" s="23" t="n">
        <x:f>AVERAGE($F$2144:$F$2167)</x:f>
        <x:v>-14.084347713961572</x:v>
      </x:c>
      <x:c r="H2182" s="24" t="n">
        <x:f>F2182-G2182</x:f>
        <x:v>0.3417528551971518</x:v>
      </x:c>
    </x:row>
    <x:row r="2183">
      <x:c r="A2183" s="2" t="str">
        <x:v>LiLC-1</x:v>
      </x:c>
      <x:c r="B2183" s="4" t="str">
        <x:v>LiCl</x:v>
      </x:c>
      <x:c r="C2183" s="23" t="n">
        <x:v>2.506911</x:v>
      </x:c>
      <x:c r="D2183" s="23" t="n">
        <x:v>-24.51373</x:v>
      </x:c>
      <x:c r="E2183" s="23" t="n">
        <x:f>'Parameters'!$B$2*'Parameters'!$B$3*LN(4*PI()*C2183^2)</x:f>
        <x:v>10.83087779950205</x:v>
      </x:c>
      <x:c r="F2183" s="23" t="n">
        <x:f>D2183+E2183</x:f>
        <x:v>-13.68285220049795</x:v>
      </x:c>
      <x:c r="G2183" s="23" t="n">
        <x:f>AVERAGE($F$2144:$F$2167)</x:f>
        <x:v>-14.084347713961572</x:v>
      </x:c>
      <x:c r="H2183" s="24" t="n">
        <x:f>F2183-G2183</x:f>
        <x:v>0.40149551346362244</x:v>
      </x:c>
    </x:row>
    <x:row r="2184">
      <x:c r="A2184" s="2" t="str">
        <x:v>LiLC-1</x:v>
      </x:c>
      <x:c r="B2184" s="4" t="str">
        <x:v>LiCl</x:v>
      </x:c>
      <x:c r="C2184" s="23" t="n">
        <x:v>2.519124</x:v>
      </x:c>
      <x:c r="D2184" s="23" t="n">
        <x:v>-24.69964</x:v>
      </x:c>
      <x:c r="E2184" s="23" t="n">
        <x:f>'Parameters'!$B$2*'Parameters'!$B$3*LN(4*PI()*C2184^2)</x:f>
        <x:v>10.854972786338736</x:v>
      </x:c>
      <x:c r="F2184" s="23" t="n">
        <x:f>D2184+E2184</x:f>
        <x:v>-13.844667213661262</x:v>
      </x:c>
      <x:c r="G2184" s="23" t="n">
        <x:f>AVERAGE($F$2144:$F$2167)</x:f>
        <x:v>-14.084347713961572</x:v>
      </x:c>
      <x:c r="H2184" s="24" t="n">
        <x:f>F2184-G2184</x:f>
        <x:v>0.23968050030030952</x:v>
      </x:c>
    </x:row>
    <x:row r="2185">
      <x:c r="A2185" s="2" t="str">
        <x:v>LiLC-1</x:v>
      </x:c>
      <x:c r="B2185" s="4" t="str">
        <x:v>LiCl</x:v>
      </x:c>
      <x:c r="C2185" s="23" t="n">
        <x:v>2.531337</x:v>
      </x:c>
      <x:c r="D2185" s="23" t="n">
        <x:v>-24.76321</x:v>
      </x:c>
      <x:c r="E2185" s="23" t="n">
        <x:f>'Parameters'!$B$2*'Parameters'!$B$3*LN(4*PI()*C2185^2)</x:f>
        <x:v>10.87895123996222</x:v>
      </x:c>
      <x:c r="F2185" s="23" t="n">
        <x:f>D2185+E2185</x:f>
        <x:v>-13.884258760037781</x:v>
      </x:c>
      <x:c r="G2185" s="23" t="n">
        <x:f>AVERAGE($F$2144:$F$2167)</x:f>
        <x:v>-14.084347713961572</x:v>
      </x:c>
      <x:c r="H2185" s="24" t="n">
        <x:f>F2185-G2185</x:f>
        <x:v>0.20008895392379067</x:v>
      </x:c>
    </x:row>
    <x:row r="2186">
      <x:c r="A2186" s="2" t="str">
        <x:v>LiLC-1</x:v>
      </x:c>
      <x:c r="B2186" s="4" t="str">
        <x:v>LiCl</x:v>
      </x:c>
      <x:c r="C2186" s="23" t="n">
        <x:v>2.543551</x:v>
      </x:c>
      <x:c r="D2186" s="23" t="n">
        <x:v>-24.84949</x:v>
      </x:c>
      <x:c r="E2186" s="23" t="n">
        <x:f>'Parameters'!$B$2*'Parameters'!$B$3*LN(4*PI()*C2186^2)</x:f>
        <x:v>10.902816231363866</x:v>
      </x:c>
      <x:c r="F2186" s="23" t="n">
        <x:f>D2186+E2186</x:f>
        <x:v>-13.946673768636133</x:v>
      </x:c>
      <x:c r="G2186" s="23" t="n">
        <x:f>AVERAGE($F$2144:$F$2167)</x:f>
        <x:v>-14.084347713961572</x:v>
      </x:c>
      <x:c r="H2186" s="24" t="n">
        <x:f>F2186-G2186</x:f>
        <x:v>0.13767394532543875</x:v>
      </x:c>
    </x:row>
    <x:row r="2187">
      <x:c r="A2187" s="2" t="str">
        <x:v>LiLC-1</x:v>
      </x:c>
      <x:c r="B2187" s="4" t="str">
        <x:v>LiCl</x:v>
      </x:c>
      <x:c r="C2187" s="23" t="n">
        <x:v>2.555764</x:v>
      </x:c>
      <x:c r="D2187" s="23" t="n">
        <x:v>-24.64899</x:v>
      </x:c>
      <x:c r="E2187" s="23" t="n">
        <x:f>'Parameters'!$B$2*'Parameters'!$B$3*LN(4*PI()*C2187^2)</x:f>
        <x:v>10.926564958470216</x:v>
      </x:c>
      <x:c r="F2187" s="23" t="n">
        <x:f>D2187+E2187</x:f>
        <x:v>-13.722425041529785</x:v>
      </x:c>
      <x:c r="G2187" s="23" t="n">
        <x:f>AVERAGE($F$2144:$F$2167)</x:f>
        <x:v>-14.084347713961572</x:v>
      </x:c>
      <x:c r="H2187" s="24" t="n">
        <x:f>F2187-G2187</x:f>
        <x:v>0.36192267243178655</x:v>
      </x:c>
    </x:row>
    <x:row r="2188">
      <x:c r="A2188" s="2" t="str">
        <x:v>LiLC-1</x:v>
      </x:c>
      <x:c r="B2188" s="4" t="str">
        <x:v>LiCl</x:v>
      </x:c>
      <x:c r="C2188" s="23" t="n">
        <x:v>2.567977</x:v>
      </x:c>
      <x:c r="D2188" s="23" t="n">
        <x:v>-24.65364</x:v>
      </x:c>
      <x:c r="E2188" s="23" t="n">
        <x:f>'Parameters'!$B$2*'Parameters'!$B$3*LN(4*PI()*C2188^2)</x:f>
        <x:v>10.950200469742514</x:v>
      </x:c>
      <x:c r="F2188" s="23" t="n">
        <x:f>D2188+E2188</x:f>
        <x:v>-13.703439530257485</x:v>
      </x:c>
      <x:c r="G2188" s="23" t="n">
        <x:f>AVERAGE($F$2144:$F$2167)</x:f>
        <x:v>-14.084347713961572</x:v>
      </x:c>
      <x:c r="H2188" s="24" t="n">
        <x:f>F2188-G2188</x:f>
        <x:v>0.3809081837040864</x:v>
      </x:c>
    </x:row>
    <x:row r="2189">
      <x:c r="A2189" s="2" t="str">
        <x:v>LiLC-1</x:v>
      </x:c>
      <x:c r="B2189" s="4" t="str">
        <x:v>LiCl</x:v>
      </x:c>
      <x:c r="C2189" s="23" t="n">
        <x:v>2.58019</x:v>
      </x:c>
      <x:c r="D2189" s="23" t="n">
        <x:v>-24.78892</x:v>
      </x:c>
      <x:c r="E2189" s="23" t="n">
        <x:f>'Parameters'!$B$2*'Parameters'!$B$3*LN(4*PI()*C2189^2)</x:f>
        <x:v>10.973723839514827</x:v>
      </x:c>
      <x:c r="F2189" s="23" t="n">
        <x:f>D2189+E2189</x:f>
        <x:v>-13.815196160485174</x:v>
      </x:c>
      <x:c r="G2189" s="23" t="n">
        <x:f>AVERAGE($F$2144:$F$2167)</x:f>
        <x:v>-14.084347713961572</x:v>
      </x:c>
      <x:c r="H2189" s="24" t="n">
        <x:f>F2189-G2189</x:f>
        <x:v>0.26915155347639796</x:v>
      </x:c>
    </x:row>
    <x:row r="2190">
      <x:c r="A2190" s="2" t="str">
        <x:v>LiLC-1</x:v>
      </x:c>
      <x:c r="B2190" s="4" t="str">
        <x:v>LiCl</x:v>
      </x:c>
      <x:c r="C2190" s="23" t="n">
        <x:v>2.592404</x:v>
      </x:c>
      <x:c r="D2190" s="23" t="n">
        <x:v>-24.9487</x:v>
      </x:c>
      <x:c r="E2190" s="23" t="n">
        <x:f>'Parameters'!$B$2*'Parameters'!$B$3*LN(4*PI()*C2190^2)</x:f>
        <x:v>10.99713803937923</x:v>
      </x:c>
      <x:c r="F2190" s="23" t="n">
        <x:f>D2190+E2190</x:f>
        <x:v>-13.951561960620769</x:v>
      </x:c>
      <x:c r="G2190" s="23" t="n">
        <x:f>AVERAGE($F$2144:$F$2167)</x:f>
        <x:v>-14.084347713961572</x:v>
      </x:c>
      <x:c r="H2190" s="24" t="n">
        <x:f>F2190-G2190</x:f>
        <x:v>0.13278575334080323</x:v>
      </x:c>
    </x:row>
    <x:row r="2191">
      <x:c r="A2191" s="2" t="str">
        <x:v>LiLC-1</x:v>
      </x:c>
      <x:c r="B2191" s="4" t="str">
        <x:v>LiCl</x:v>
      </x:c>
      <x:c r="C2191" s="23" t="n">
        <x:v>2.604617</x:v>
      </x:c>
      <x:c r="D2191" s="23" t="n">
        <x:v>-24.70528</x:v>
      </x:c>
      <x:c r="E2191" s="23" t="n">
        <x:f>'Parameters'!$B$2*'Parameters'!$B$3*LN(4*PI()*C2191^2)</x:f>
        <x:v>11.02044027959329</x:v>
      </x:c>
      <x:c r="F2191" s="23" t="n">
        <x:f>D2191+E2191</x:f>
        <x:v>-13.684839720406709</x:v>
      </x:c>
      <x:c r="G2191" s="23" t="n">
        <x:f>AVERAGE($F$2144:$F$2167)</x:f>
        <x:v>-14.084347713961572</x:v>
      </x:c>
      <x:c r="H2191" s="24" t="n">
        <x:f>F2191-G2191</x:f>
        <x:v>0.3995079935548631</x:v>
      </x:c>
    </x:row>
    <x:row r="2192">
      <x:c r="A2192" s="2" t="str">
        <x:v>LiLC-1</x:v>
      </x:c>
      <x:c r="B2192" s="4" t="str">
        <x:v>LiCl</x:v>
      </x:c>
      <x:c r="C2192" s="23" t="n">
        <x:v>2.61683</x:v>
      </x:c>
      <x:c r="D2192" s="23" t="n">
        <x:v>-24.9083</x:v>
      </x:c>
      <x:c r="E2192" s="23" t="n">
        <x:f>'Parameters'!$B$2*'Parameters'!$B$3*LN(4*PI()*C2192^2)</x:f>
        <x:v>11.043633511212542</x:v>
      </x:c>
      <x:c r="F2192" s="23" t="n">
        <x:f>D2192+E2192</x:f>
        <x:v>-13.864666488787458</x:v>
      </x:c>
      <x:c r="G2192" s="23" t="n">
        <x:f>AVERAGE($F$2144:$F$2167)</x:f>
        <x:v>-14.084347713961572</x:v>
      </x:c>
      <x:c r="H2192" s="24" t="n">
        <x:f>F2192-G2192</x:f>
        <x:v>0.2196812251741136</x:v>
      </x:c>
    </x:row>
    <x:row r="2193">
      <x:c r="A2193" s="2" t="str">
        <x:v>LiLC-1</x:v>
      </x:c>
      <x:c r="B2193" s="4" t="str">
        <x:v>LiCl</x:v>
      </x:c>
      <x:c r="C2193" s="23" t="n">
        <x:v>2.629043</x:v>
      </x:c>
      <x:c r="D2193" s="23" t="n">
        <x:v>-25.02558</x:v>
      </x:c>
      <x:c r="E2193" s="23" t="n">
        <x:f>'Parameters'!$B$2*'Parameters'!$B$3*LN(4*PI()*C2193^2)</x:f>
        <x:v>11.066718749381058</x:v>
      </x:c>
      <x:c r="F2193" s="23" t="n">
        <x:f>D2193+E2193</x:f>
        <x:v>-13.958861250618943</x:v>
      </x:c>
      <x:c r="G2193" s="23" t="n">
        <x:f>AVERAGE($F$2144:$F$2167)</x:f>
        <x:v>-14.084347713961572</x:v>
      </x:c>
      <x:c r="H2193" s="24" t="n">
        <x:f>F2193-G2193</x:f>
        <x:v>0.1254864633426287</x:v>
      </x:c>
    </x:row>
    <x:row r="2194">
      <x:c r="A2194" s="2" t="str">
        <x:v>LiLC-1</x:v>
      </x:c>
      <x:c r="B2194" s="4" t="str">
        <x:v>LiCl</x:v>
      </x:c>
      <x:c r="C2194" s="23" t="n">
        <x:v>2.641257</x:v>
      </x:c>
      <x:c r="D2194" s="23" t="n">
        <x:v>-25.18793</x:v>
      </x:c>
      <x:c r="E2194" s="23" t="n">
        <x:f>'Parameters'!$B$2*'Parameters'!$B$3*LN(4*PI()*C2194^2)</x:f>
        <x:v>11.089698872232637</x:v>
      </x:c>
      <x:c r="F2194" s="23" t="n">
        <x:f>D2194+E2194</x:f>
        <x:v>-14.098231127767365</x:v>
      </x:c>
      <x:c r="G2194" s="23" t="n">
        <x:f>AVERAGE($F$2144:$F$2167)</x:f>
        <x:v>-14.084347713961572</x:v>
      </x:c>
      <x:c r="H2194" s="24" t="n">
        <x:f>F2194-G2194</x:f>
        <x:v>-0.013883413805793055</x:v>
      </x:c>
    </x:row>
    <x:row r="2195">
      <x:c r="A2195" s="2" t="str">
        <x:v>LiLC-1</x:v>
      </x:c>
      <x:c r="B2195" s="4" t="str">
        <x:v>LiCl</x:v>
      </x:c>
      <x:c r="C2195" s="23" t="n">
        <x:v>2.65347</x:v>
      </x:c>
      <x:c r="D2195" s="23" t="n">
        <x:v>-24.82116</x:v>
      </x:c>
      <x:c r="E2195" s="23" t="n">
        <x:f>'Parameters'!$B$2*'Parameters'!$B$3*LN(4*PI()*C2195^2)</x:f>
        <x:v>11.112571104094217</x:v>
      </x:c>
      <x:c r="F2195" s="23" t="n">
        <x:f>D2195+E2195</x:f>
        <x:v>-13.708588895905782</x:v>
      </x:c>
      <x:c r="G2195" s="23" t="n">
        <x:f>AVERAGE($F$2144:$F$2167)</x:f>
        <x:v>-14.084347713961572</x:v>
      </x:c>
      <x:c r="H2195" s="24" t="n">
        <x:f>F2195-G2195</x:f>
        <x:v>0.3757588180557896</x:v>
      </x:c>
    </x:row>
    <x:row r="2196">
      <x:c r="A2196" s="2" t="str">
        <x:v>LiLC-1</x:v>
      </x:c>
      <x:c r="B2196" s="4" t="str">
        <x:v>LiCl</x:v>
      </x:c>
      <x:c r="C2196" s="23" t="n">
        <x:v>2.665683</x:v>
      </x:c>
      <x:c r="D2196" s="23" t="n">
        <x:v>-25.26813</x:v>
      </x:c>
      <x:c r="E2196" s="23" t="n">
        <x:f>'Parameters'!$B$2*'Parameters'!$B$3*LN(4*PI()*C2196^2)</x:f>
        <x:v>11.135338304364588</x:v>
      </x:c>
      <x:c r="F2196" s="23" t="n">
        <x:f>D2196+E2196</x:f>
        <x:v>-14.132791695635412</x:v>
      </x:c>
      <x:c r="G2196" s="23" t="n">
        <x:f>AVERAGE($F$2144:$F$2167)</x:f>
        <x:v>-14.084347713961572</x:v>
      </x:c>
      <x:c r="H2196" s="24" t="n">
        <x:f>F2196-G2196</x:f>
        <x:v>-0.04844398167383979</x:v>
      </x:c>
    </x:row>
    <x:row r="2197">
      <x:c r="A2197" s="2" t="str">
        <x:v>LiLC-1</x:v>
      </x:c>
      <x:c r="B2197" s="4" t="str">
        <x:v>LiCl</x:v>
      </x:c>
      <x:c r="C2197" s="23" t="n">
        <x:v>2.677896</x:v>
      </x:c>
      <x:c r="D2197" s="23" t="n">
        <x:v>-25.44319</x:v>
      </x:c>
      <x:c r="E2197" s="23" t="n">
        <x:f>'Parameters'!$B$2*'Parameters'!$B$3*LN(4*PI()*C2197^2)</x:f>
        <x:v>11.158001433267263</x:v>
      </x:c>
      <x:c r="F2197" s="23" t="n">
        <x:f>D2197+E2197</x:f>
        <x:v>-14.285188566732739</x:v>
      </x:c>
      <x:c r="G2197" s="23" t="n">
        <x:f>AVERAGE($F$2144:$F$2167)</x:f>
        <x:v>-14.084347713961572</x:v>
      </x:c>
      <x:c r="H2197" s="24" t="n">
        <x:f>F2197-G2197</x:f>
        <x:v>-0.20084085277116692</x:v>
      </x:c>
    </x:row>
    <x:row r="2198">
      <x:c r="A2198" s="2" t="str">
        <x:v>LiLC-1</x:v>
      </x:c>
      <x:c r="B2198" s="4" t="str">
        <x:v>LiCl</x:v>
      </x:c>
      <x:c r="C2198" s="23" t="n">
        <x:v>2.69011</x:v>
      </x:c>
      <x:c r="D2198" s="23" t="n">
        <x:v>-25.9119</x:v>
      </x:c>
      <x:c r="E2198" s="23" t="n">
        <x:f>'Parameters'!$B$2*'Parameters'!$B$3*LN(4*PI()*C2198^2)</x:f>
        <x:v>11.180563280933479</x:v>
      </x:c>
      <x:c r="F2198" s="23" t="n">
        <x:f>D2198+E2198</x:f>
        <x:v>-14.73133671906652</x:v>
      </x:c>
      <x:c r="G2198" s="23" t="n">
        <x:f>AVERAGE($F$2144:$F$2167)</x:f>
        <x:v>-14.084347713961572</x:v>
      </x:c>
      <x:c r="H2198" s="24" t="n">
        <x:f>F2198-G2198</x:f>
        <x:v>-0.6469890051049489</x:v>
      </x:c>
    </x:row>
    <x:row r="2199">
      <x:c r="A2199" s="2" t="str">
        <x:v>LiLC-1</x:v>
      </x:c>
      <x:c r="B2199" s="4" t="str">
        <x:v>LiCl</x:v>
      </x:c>
      <x:c r="C2199" s="23" t="n">
        <x:v>2.702323</x:v>
      </x:c>
      <x:c r="D2199" s="23" t="n">
        <x:v>-24.64225</x:v>
      </x:c>
      <x:c r="E2199" s="23" t="n">
        <x:f>'Parameters'!$B$2*'Parameters'!$B$3*LN(4*PI()*C2199^2)</x:f>
        <x:v>11.203021087247455</x:v>
      </x:c>
      <x:c r="F2199" s="23" t="n">
        <x:f>D2199+E2199</x:f>
        <x:v>-13.439228912752545</x:v>
      </x:c>
      <x:c r="G2199" s="23" t="n">
        <x:f>AVERAGE($F$2144:$F$2167)</x:f>
        <x:v>-14.084347713961572</x:v>
      </x:c>
      <x:c r="H2199" s="24" t="n">
        <x:f>F2199-G2199</x:f>
        <x:v>0.6451188012090263</x:v>
      </x:c>
    </x:row>
    <x:row r="2200">
      <x:c r="A2200" s="2" t="str">
        <x:v>LiLC-1</x:v>
      </x:c>
      <x:c r="B2200" s="4" t="str">
        <x:v>LiCl</x:v>
      </x:c>
      <x:c r="C2200" s="23" t="n">
        <x:v>2.714536</x:v>
      </x:c>
      <x:c r="D2200" s="23" t="n">
        <x:v>-24.8354</x:v>
      </x:c>
      <x:c r="E2200" s="23" t="n">
        <x:f>'Parameters'!$B$2*'Parameters'!$B$3*LN(4*PI()*C2200^2)</x:f>
        <x:v>11.225377625235964</x:v>
      </x:c>
      <x:c r="F2200" s="23" t="n">
        <x:f>D2200+E2200</x:f>
        <x:v>-13.610022374764036</x:v>
      </x:c>
      <x:c r="G2200" s="23" t="n">
        <x:f>AVERAGE($F$2144:$F$2167)</x:f>
        <x:v>-14.084347713961572</x:v>
      </x:c>
      <x:c r="H2200" s="24" t="n">
        <x:f>F2200-G2200</x:f>
        <x:v>0.47432533919753617</x:v>
      </x:c>
    </x:row>
    <x:row r="2201">
      <x:c r="A2201" s="2" t="str">
        <x:v>LiLC-1</x:v>
      </x:c>
      <x:c r="B2201" s="4" t="str">
        <x:v>LiCl</x:v>
      </x:c>
      <x:c r="C2201" s="23" t="n">
        <x:v>2.726749</x:v>
      </x:c>
      <x:c r="D2201" s="23" t="n">
        <x:v>-26.34147</x:v>
      </x:c>
      <x:c r="E2201" s="23" t="n">
        <x:f>'Parameters'!$B$2*'Parameters'!$B$3*LN(4*PI()*C2201^2)</x:f>
        <x:v>11.247633804093297</x:v>
      </x:c>
      <x:c r="F2201" s="23" t="n">
        <x:f>D2201+E2201</x:f>
        <x:v>-15.093836195906704</x:v>
      </x:c>
      <x:c r="G2201" s="23" t="n">
        <x:f>AVERAGE($F$2144:$F$2167)</x:f>
        <x:v>-14.084347713961572</x:v>
      </x:c>
      <x:c r="H2201" s="24" t="n">
        <x:f>F2201-G2201</x:f>
        <x:v>-1.009488481945132</x:v>
      </x:c>
    </x:row>
    <x:row r="2202">
      <x:c r="A2202" s="2" t="str">
        <x:v>LiLC-1</x:v>
      </x:c>
      <x:c r="B2202" s="4" t="str">
        <x:v>NaCl</x:v>
      </x:c>
      <x:c r="C2202" s="23" t="n">
        <x:v>0.2623679</x:v>
      </x:c>
      <x:c r="D2202" s="23" t="n">
        <x:v>0</x:v>
      </x:c>
      <x:c r="E2202" s="23" t="n">
        <x:f>'Parameters'!$B$2*'Parameters'!$B$3*LN(4*PI()*C2202^2)</x:f>
        <x:v>-0.3594261524180146</x:v>
      </x:c>
      <x:c r="F2202" s="23" t="n">
        <x:f>D2202+E2202</x:f>
        <x:v>-0.3594261524180146</x:v>
      </x:c>
      <x:c r="G2202" s="23" t="n">
        <x:f>AVERAGE($F$2344:$F$2368)</x:f>
        <x:v>-10.69722718587915</x:v>
      </x:c>
      <x:c r="H2202" s="24" t="n">
        <x:f>F2202-G2202</x:f>
        <x:v>10.337801033461135</x:v>
      </x:c>
    </x:row>
    <x:row r="2203">
      <x:c r="A2203" s="2" t="str">
        <x:v>LiLC-1</x:v>
      </x:c>
      <x:c r="B2203" s="4" t="str">
        <x:v>NaCl</x:v>
      </x:c>
      <x:c r="C2203" s="23" t="n">
        <x:v>0.2747558</x:v>
      </x:c>
      <x:c r="D2203" s="23" t="n">
        <x:v>-2.734439</x:v>
      </x:c>
      <x:c r="E2203" s="23" t="n">
        <x:f>'Parameters'!$B$2*'Parameters'!$B$3*LN(4*PI()*C2203^2)</x:f>
        <x:v>-0.13069285724605634</x:v>
      </x:c>
      <x:c r="F2203" s="23" t="n">
        <x:f>D2203+E2203</x:f>
        <x:v>-2.8651318572460562</x:v>
      </x:c>
      <x:c r="G2203" s="23" t="n">
        <x:f>AVERAGE($F$2344:$F$2368)</x:f>
        <x:v>-10.69722718587915</x:v>
      </x:c>
      <x:c r="H2203" s="24" t="n">
        <x:f>F2203-G2203</x:f>
        <x:v>7.832095328633094</x:v>
      </x:c>
    </x:row>
    <x:row r="2204">
      <x:c r="A2204" s="2" t="str">
        <x:v>LiLC-1</x:v>
      </x:c>
      <x:c r="B2204" s="4" t="str">
        <x:v>NaCl</x:v>
      </x:c>
      <x:c r="C2204" s="23" t="n">
        <x:v>0.2871436</x:v>
      </x:c>
      <x:c r="D2204" s="23" t="n">
        <x:v>-5.412208</x:v>
      </x:c>
      <x:c r="E2204" s="23" t="n">
        <x:f>'Parameters'!$B$2*'Parameters'!$B$3*LN(4*PI()*C2204^2)</x:f>
        <x:v>0.08794984337050762</x:v>
      </x:c>
      <x:c r="F2204" s="23" t="n">
        <x:f>D2204+E2204</x:f>
        <x:v>-5.324258156629492</x:v>
      </x:c>
      <x:c r="G2204" s="23" t="n">
        <x:f>AVERAGE($F$2344:$F$2368)</x:f>
        <x:v>-10.69722718587915</x:v>
      </x:c>
      <x:c r="H2204" s="24" t="n">
        <x:f>F2204-G2204</x:f>
        <x:v>5.372969029249658</x:v>
      </x:c>
    </x:row>
    <x:row r="2205">
      <x:c r="A2205" s="2" t="str">
        <x:v>LiLC-1</x:v>
      </x:c>
      <x:c r="B2205" s="4" t="str">
        <x:v>NaCl</x:v>
      </x:c>
      <x:c r="C2205" s="23" t="n">
        <x:v>0.2995314</x:v>
      </x:c>
      <x:c r="D2205" s="23" t="n">
        <x:v>-6.705869</x:v>
      </x:c>
      <x:c r="E2205" s="23" t="n">
        <x:f>'Parameters'!$B$2*'Parameters'!$B$3*LN(4*PI()*C2205^2)</x:f>
        <x:v>0.2973563393162913</x:v>
      </x:c>
      <x:c r="F2205" s="23" t="n">
        <x:f>D2205+E2205</x:f>
        <x:v>-6.408512660683709</x:v>
      </x:c>
      <x:c r="G2205" s="23" t="n">
        <x:f>AVERAGE($F$2344:$F$2368)</x:f>
        <x:v>-10.69722718587915</x:v>
      </x:c>
      <x:c r="H2205" s="24" t="n">
        <x:f>F2205-G2205</x:f>
        <x:v>4.2887145251954415</x:v>
      </x:c>
    </x:row>
    <x:row r="2206">
      <x:c r="A2206" s="2" t="str">
        <x:v>LiLC-1</x:v>
      </x:c>
      <x:c r="B2206" s="4" t="str">
        <x:v>NaCl</x:v>
      </x:c>
      <x:c r="C2206" s="23" t="n">
        <x:v>0.3119193</x:v>
      </x:c>
      <x:c r="D2206" s="23" t="n">
        <x:v>-7.720743</x:v>
      </x:c>
      <x:c r="E2206" s="23" t="n">
        <x:f>'Parameters'!$B$2*'Parameters'!$B$3*LN(4*PI()*C2206^2)</x:f>
        <x:v>0.49827703138991175</x:v>
      </x:c>
      <x:c r="F2206" s="23" t="n">
        <x:f>D2206+E2206</x:f>
        <x:v>-7.222465968610088</x:v>
      </x:c>
      <x:c r="G2206" s="23" t="n">
        <x:f>AVERAGE($F$2344:$F$2368)</x:f>
        <x:v>-10.69722718587915</x:v>
      </x:c>
      <x:c r="H2206" s="24" t="n">
        <x:f>F2206-G2206</x:f>
        <x:v>3.4747612172690623</x:v>
      </x:c>
    </x:row>
    <x:row r="2207">
      <x:c r="A2207" s="2" t="str">
        <x:v>LiLC-1</x:v>
      </x:c>
      <x:c r="B2207" s="4" t="str">
        <x:v>NaCl</x:v>
      </x:c>
      <x:c r="C2207" s="23" t="n">
        <x:v>0.3243071</x:v>
      </x:c>
      <x:c r="D2207" s="23" t="n">
        <x:v>-9.093796</x:v>
      </x:c>
      <x:c r="E2207" s="23" t="n">
        <x:f>'Parameters'!$B$2*'Parameters'!$B$3*LN(4*PI()*C2207^2)</x:f>
        <x:v>0.691369964636188</x:v>
      </x:c>
      <x:c r="F2207" s="23" t="n">
        <x:f>D2207+E2207</x:f>
        <x:v>-8.402426035363812</x:v>
      </x:c>
      <x:c r="G2207" s="23" t="n">
        <x:f>AVERAGE($F$2344:$F$2368)</x:f>
        <x:v>-10.69722718587915</x:v>
      </x:c>
      <x:c r="H2207" s="24" t="n">
        <x:f>F2207-G2207</x:f>
        <x:v>2.2948011505153385</x:v>
      </x:c>
    </x:row>
    <x:row r="2208">
      <x:c r="A2208" s="2" t="str">
        <x:v>LiLC-1</x:v>
      </x:c>
      <x:c r="B2208" s="4" t="str">
        <x:v>NaCl</x:v>
      </x:c>
      <x:c r="C2208" s="23" t="n">
        <x:v>0.336695</x:v>
      </x:c>
      <x:c r="D2208" s="23" t="n">
        <x:v>-9.77694</x:v>
      </x:c>
      <x:c r="E2208" s="23" t="n">
        <x:f>'Parameters'!$B$2*'Parameters'!$B$3*LN(4*PI()*C2208^2)</x:f>
        <x:v>0.8772251553830472</x:v>
      </x:c>
      <x:c r="F2208" s="23" t="n">
        <x:f>D2208+E2208</x:f>
        <x:v>-8.899714844616952</x:v>
      </x:c>
      <x:c r="G2208" s="23" t="n">
        <x:f>AVERAGE($F$2344:$F$2368)</x:f>
        <x:v>-10.69722718587915</x:v>
      </x:c>
      <x:c r="H2208" s="24" t="n">
        <x:f>F2208-G2208</x:f>
        <x:v>1.7975123412621983</x:v>
      </x:c>
    </x:row>
    <x:row r="2209">
      <x:c r="A2209" s="2" t="str">
        <x:v>LiLC-1</x:v>
      </x:c>
      <x:c r="B2209" s="4" t="str">
        <x:v>NaCl</x:v>
      </x:c>
      <x:c r="C2209" s="23" t="n">
        <x:v>0.3490828</x:v>
      </x:c>
      <x:c r="D2209" s="23" t="n">
        <x:v>-11.06058</x:v>
      </x:c>
      <x:c r="E2209" s="23" t="n">
        <x:f>'Parameters'!$B$2*'Parameters'!$B$3*LN(4*PI()*C2209^2)</x:f>
        <x:v>1.0563628566971048</x:v>
      </x:c>
      <x:c r="F2209" s="23" t="n">
        <x:f>D2209+E2209</x:f>
        <x:v>-10.004217143302895</x:v>
      </x:c>
      <x:c r="G2209" s="23" t="n">
        <x:f>AVERAGE($F$2344:$F$2368)</x:f>
        <x:v>-10.69722718587915</x:v>
      </x:c>
      <x:c r="H2209" s="24" t="n">
        <x:f>F2209-G2209</x:f>
        <x:v>0.6930100425762546</x:v>
      </x:c>
    </x:row>
    <x:row r="2210">
      <x:c r="A2210" s="2" t="str">
        <x:v>LiLC-1</x:v>
      </x:c>
      <x:c r="B2210" s="4" t="str">
        <x:v>NaCl</x:v>
      </x:c>
      <x:c r="C2210" s="23" t="n">
        <x:v>0.3614706</x:v>
      </x:c>
      <x:c r="D2210" s="23" t="n">
        <x:v>-11.74065</x:v>
      </x:c>
      <x:c r="E2210" s="23" t="n">
        <x:f>'Parameters'!$B$2*'Parameters'!$B$3*LN(4*PI()*C2210^2)</x:f>
        <x:v>1.2292530897057077</x:v>
      </x:c>
      <x:c r="F2210" s="23" t="n">
        <x:f>D2210+E2210</x:f>
        <x:v>-10.511396910294293</x:v>
      </x:c>
      <x:c r="G2210" s="23" t="n">
        <x:f>AVERAGE($F$2344:$F$2368)</x:f>
        <x:v>-10.69722718587915</x:v>
      </x:c>
      <x:c r="H2210" s="24" t="n">
        <x:f>F2210-G2210</x:f>
        <x:v>0.18583027558485732</x:v>
      </x:c>
    </x:row>
    <x:row r="2211">
      <x:c r="A2211" s="2" t="str">
        <x:v>LiLC-1</x:v>
      </x:c>
      <x:c r="B2211" s="4" t="str">
        <x:v>NaCl</x:v>
      </x:c>
      <x:c r="C2211" s="23" t="n">
        <x:v>0.3738585</x:v>
      </x:c>
      <x:c r="D2211" s="23" t="n">
        <x:v>-12.418</x:v>
      </x:c>
      <x:c r="E2211" s="23" t="n">
        <x:f>'Parameters'!$B$2*'Parameters'!$B$3*LN(4*PI()*C2211^2)</x:f>
        <x:v>1.39631829895888</x:v>
      </x:c>
      <x:c r="F2211" s="23" t="n">
        <x:f>D2211+E2211</x:f>
        <x:v>-11.02168170104112</x:v>
      </x:c>
      <x:c r="G2211" s="23" t="n">
        <x:f>AVERAGE($F$2344:$F$2368)</x:f>
        <x:v>-10.69722718587915</x:v>
      </x:c>
      <x:c r="H2211" s="24" t="n">
        <x:f>F2211-G2211</x:f>
        <x:v>-0.3244545151619693</x:v>
      </x:c>
    </x:row>
    <x:row r="2212">
      <x:c r="A2212" s="2" t="str">
        <x:v>LiLC-1</x:v>
      </x:c>
      <x:c r="B2212" s="4" t="str">
        <x:v>NaCl</x:v>
      </x:c>
      <x:c r="C2212" s="23" t="n">
        <x:v>0.3862463</x:v>
      </x:c>
      <x:c r="D2212" s="23" t="n">
        <x:v>-12.55079</x:v>
      </x:c>
      <x:c r="E2212" s="23" t="n">
        <x:f>'Parameters'!$B$2*'Parameters'!$B$3*LN(4*PI()*C2212^2)</x:f>
        <x:v>1.5579357136248067</x:v>
      </x:c>
      <x:c r="F2212" s="23" t="n">
        <x:f>D2212+E2212</x:f>
        <x:v>-10.992854286375193</x:v>
      </x:c>
      <x:c r="G2212" s="23" t="n">
        <x:f>AVERAGE($F$2344:$F$2368)</x:f>
        <x:v>-10.69722718587915</x:v>
      </x:c>
      <x:c r="H2212" s="24" t="n">
        <x:f>F2212-G2212</x:f>
        <x:v>-0.2956271004960431</x:v>
      </x:c>
    </x:row>
    <x:row r="2213">
      <x:c r="A2213" s="2" t="str">
        <x:v>LiLC-1</x:v>
      </x:c>
      <x:c r="B2213" s="4" t="str">
        <x:v>NaCl</x:v>
      </x:c>
      <x:c r="C2213" s="23" t="n">
        <x:v>0.3986342</x:v>
      </x:c>
      <x:c r="D2213" s="23" t="n">
        <x:v>-12.4721</x:v>
      </x:c>
      <x:c r="E2213" s="23" t="n">
        <x:f>'Parameters'!$B$2*'Parameters'!$B$3*LN(4*PI()*C2213^2)</x:f>
        <x:v>1.7144518820371055</x:v>
      </x:c>
      <x:c r="F2213" s="23" t="n">
        <x:f>D2213+E2213</x:f>
        <x:v>-10.757648117962894</x:v>
      </x:c>
      <x:c r="G2213" s="23" t="n">
        <x:f>AVERAGE($F$2344:$F$2368)</x:f>
        <x:v>-10.69722718587915</x:v>
      </x:c>
      <x:c r="H2213" s="24" t="n">
        <x:f>F2213-G2213</x:f>
        <x:v>-0.060420932083744106</x:v>
      </x:c>
    </x:row>
    <x:row r="2214">
      <x:c r="A2214" s="2" t="str">
        <x:v>LiLC-1</x:v>
      </x:c>
      <x:c r="B2214" s="4" t="str">
        <x:v>NaCl</x:v>
      </x:c>
      <x:c r="C2214" s="23" t="n">
        <x:v>0.411022</x:v>
      </x:c>
      <x:c r="D2214" s="23" t="n">
        <x:v>-12.2993</x:v>
      </x:c>
      <x:c r="E2214" s="23" t="n">
        <x:f>'Parameters'!$B$2*'Parameters'!$B$3*LN(4*PI()*C2214^2)</x:f>
        <x:v>1.8661766287171062</x:v>
      </x:c>
      <x:c r="F2214" s="23" t="n">
        <x:f>D2214+E2214</x:f>
        <x:v>-10.433123371282894</x:v>
      </x:c>
      <x:c r="G2214" s="23" t="n">
        <x:f>AVERAGE($F$2344:$F$2368)</x:f>
        <x:v>-10.69722718587915</x:v>
      </x:c>
      <x:c r="H2214" s="24" t="n">
        <x:f>F2214-G2214</x:f>
        <x:v>0.26410381459625576</x:v>
      </x:c>
    </x:row>
    <x:row r="2215">
      <x:c r="A2215" s="2" t="str">
        <x:v>LiLC-1</x:v>
      </x:c>
      <x:c r="B2215" s="4" t="str">
        <x:v>NaCl</x:v>
      </x:c>
      <x:c r="C2215" s="23" t="n">
        <x:v>0.4234098</x:v>
      </x:c>
      <x:c r="D2215" s="23" t="n">
        <x:v>-11.89303</x:v>
      </x:c>
      <x:c r="E2215" s="23" t="n">
        <x:f>'Parameters'!$B$2*'Parameters'!$B$3*LN(4*PI()*C2215^2)</x:f>
        <x:v>2.0133957555006146</x:v>
      </x:c>
      <x:c r="F2215" s="23" t="n">
        <x:f>D2215+E2215</x:f>
        <x:v>-9.879634244499385</x:v>
      </x:c>
      <x:c r="G2215" s="23" t="n">
        <x:f>AVERAGE($F$2344:$F$2368)</x:f>
        <x:v>-10.69722718587915</x:v>
      </x:c>
      <x:c r="H2215" s="24" t="n">
        <x:f>F2215-G2215</x:f>
        <x:v>0.8175929413797647</x:v>
      </x:c>
    </x:row>
    <x:row r="2216">
      <x:c r="A2216" s="2" t="str">
        <x:v>LiLC-1</x:v>
      </x:c>
      <x:c r="B2216" s="4" t="str">
        <x:v>NaCl</x:v>
      </x:c>
      <x:c r="C2216" s="23" t="n">
        <x:v>0.4357977</x:v>
      </x:c>
      <x:c r="D2216" s="23" t="n">
        <x:v>-11.52803</x:v>
      </x:c>
      <x:c r="E2216" s="23" t="n">
        <x:f>'Parameters'!$B$2*'Parameters'!$B$3*LN(4*PI()*C2216^2)</x:f>
        <x:v>2.156370298532509</x:v>
      </x:c>
      <x:c r="F2216" s="23" t="n">
        <x:f>D2216+E2216</x:f>
        <x:v>-9.37165970146749</x:v>
      </x:c>
      <x:c r="G2216" s="23" t="n">
        <x:f>AVERAGE($F$2344:$F$2368)</x:f>
        <x:v>-10.69722718587915</x:v>
      </x:c>
      <x:c r="H2216" s="24" t="n">
        <x:f>F2216-G2216</x:f>
        <x:v>1.3255674844116605</x:v>
      </x:c>
    </x:row>
    <x:row r="2217">
      <x:c r="A2217" s="2" t="str">
        <x:v>LiLC-1</x:v>
      </x:c>
      <x:c r="B2217" s="4" t="str">
        <x:v>NaCl</x:v>
      </x:c>
      <x:c r="C2217" s="23" t="n">
        <x:v>0.4481855</x:v>
      </x:c>
      <x:c r="D2217" s="23" t="n">
        <x:v>-11.6926</x:v>
      </x:c>
      <x:c r="E2217" s="23" t="n">
        <x:f>'Parameters'!$B$2*'Parameters'!$B$3*LN(4*PI()*C2217^2)</x:f>
        <x:v>2.295335990831301</x:v>
      </x:c>
      <x:c r="F2217" s="23" t="n">
        <x:f>D2217+E2217</x:f>
        <x:v>-9.3972640091687</x:v>
      </x:c>
      <x:c r="G2217" s="23" t="n">
        <x:f>AVERAGE($F$2344:$F$2368)</x:f>
        <x:v>-10.69722718587915</x:v>
      </x:c>
      <x:c r="H2217" s="24" t="n">
        <x:f>F2217-G2217</x:f>
        <x:v>1.2999631767104507</x:v>
      </x:c>
    </x:row>
    <x:row r="2218">
      <x:c r="A2218" s="2" t="str">
        <x:v>LiLC-1</x:v>
      </x:c>
      <x:c r="B2218" s="4" t="str">
        <x:v>NaCl</x:v>
      </x:c>
      <x:c r="C2218" s="23" t="n">
        <x:v>0.4605734</x:v>
      </x:c>
      <x:c r="D2218" s="23" t="n">
        <x:v>-11.91723</x:v>
      </x:c>
      <x:c r="E2218" s="23" t="n">
        <x:f>'Parameters'!$B$2*'Parameters'!$B$3*LN(4*PI()*C2218^2)</x:f>
        <x:v>2.4305136452935607</x:v>
      </x:c>
      <x:c r="F2218" s="23" t="n">
        <x:f>D2218+E2218</x:f>
        <x:v>-9.48671635470644</x:v>
      </x:c>
      <x:c r="G2218" s="23" t="n">
        <x:f>AVERAGE($F$2344:$F$2368)</x:f>
        <x:v>-10.69722718587915</x:v>
      </x:c>
      <x:c r="H2218" s="24" t="n">
        <x:f>F2218-G2218</x:f>
        <x:v>1.2105108311727104</x:v>
      </x:c>
    </x:row>
    <x:row r="2219">
      <x:c r="A2219" s="2" t="str">
        <x:v>LiLC-1</x:v>
      </x:c>
      <x:c r="B2219" s="4" t="str">
        <x:v>NaCl</x:v>
      </x:c>
      <x:c r="C2219" s="23" t="n">
        <x:v>0.4729612</x:v>
      </x:c>
      <x:c r="D2219" s="23" t="n">
        <x:v>-12.14553</x:v>
      </x:c>
      <x:c r="E2219" s="23" t="n">
        <x:f>'Parameters'!$B$2*'Parameters'!$B$3*LN(4*PI()*C2219^2)</x:f>
        <x:v>2.562102240114343</x:v>
      </x:c>
      <x:c r="F2219" s="23" t="n">
        <x:f>D2219+E2219</x:f>
        <x:v>-9.583427759885659</x:v>
      </x:c>
      <x:c r="G2219" s="23" t="n">
        <x:f>AVERAGE($F$2344:$F$2368)</x:f>
        <x:v>-10.69722718587915</x:v>
      </x:c>
      <x:c r="H2219" s="24" t="n">
        <x:f>F2219-G2219</x:f>
        <x:v>1.1137994259934914</x:v>
      </x:c>
    </x:row>
    <x:row r="2220">
      <x:c r="A2220" s="2" t="str">
        <x:v>LiLC-1</x:v>
      </x:c>
      <x:c r="B2220" s="4" t="str">
        <x:v>NaCl</x:v>
      </x:c>
      <x:c r="C2220" s="23" t="n">
        <x:v>0.485349</x:v>
      </x:c>
      <x:c r="D2220" s="23" t="n">
        <x:v>-12.29362</x:v>
      </x:c>
      <x:c r="E2220" s="23" t="n">
        <x:f>'Parameters'!$B$2*'Parameters'!$B$3*LN(4*PI()*C2220^2)</x:f>
        <x:v>2.690288435119369</x:v>
      </x:c>
      <x:c r="F2220" s="23" t="n">
        <x:f>D2220+E2220</x:f>
        <x:v>-9.603331564880632</x:v>
      </x:c>
      <x:c r="G2220" s="23" t="n">
        <x:f>AVERAGE($F$2344:$F$2368)</x:f>
        <x:v>-10.69722718587915</x:v>
      </x:c>
      <x:c r="H2220" s="24" t="n">
        <x:f>F2220-G2220</x:f>
        <x:v>1.0938956209985182</x:v>
      </x:c>
    </x:row>
    <x:row r="2221">
      <x:c r="A2221" s="2" t="str">
        <x:v>LiLC-1</x:v>
      </x:c>
      <x:c r="B2221" s="4" t="str">
        <x:v>NaCl</x:v>
      </x:c>
      <x:c r="C2221" s="23" t="n">
        <x:v>0.4977369</x:v>
      </x:c>
      <x:c r="D2221" s="23" t="n">
        <x:v>-12.55073</x:v>
      </x:c>
      <x:c r="E2221" s="23" t="n">
        <x:f>'Parameters'!$B$2*'Parameters'!$B$3*LN(4*PI()*C2221^2)</x:f>
        <x:v>2.8152447480234644</x:v>
      </x:c>
      <x:c r="F2221" s="23" t="n">
        <x:f>D2221+E2221</x:f>
        <x:v>-9.735485251976534</x:v>
      </x:c>
      <x:c r="G2221" s="23" t="n">
        <x:f>AVERAGE($F$2344:$F$2368)</x:f>
        <x:v>-10.69722718587915</x:v>
      </x:c>
      <x:c r="H2221" s="24" t="n">
        <x:f>F2221-G2221</x:f>
        <x:v>0.9617419339026156</x:v>
      </x:c>
    </x:row>
    <x:row r="2222">
      <x:c r="A2222" s="2" t="str">
        <x:v>LiLC-1</x:v>
      </x:c>
      <x:c r="B2222" s="4" t="str">
        <x:v>NaCl</x:v>
      </x:c>
      <x:c r="C2222" s="23" t="n">
        <x:v>0.5101247</x:v>
      </x:c>
      <x:c r="D2222" s="23" t="n">
        <x:v>-12.96367</x:v>
      </x:c>
      <x:c r="E2222" s="23" t="n">
        <x:f>'Parameters'!$B$2*'Parameters'!$B$3*LN(4*PI()*C2222^2)</x:f>
        <x:v>2.937128032217306</x:v>
      </x:c>
      <x:c r="F2222" s="23" t="n">
        <x:f>D2222+E2222</x:f>
        <x:v>-10.026541967782695</x:v>
      </x:c>
      <x:c r="G2222" s="23" t="n">
        <x:f>AVERAGE($F$2344:$F$2368)</x:f>
        <x:v>-10.69722718587915</x:v>
      </x:c>
      <x:c r="H2222" s="24" t="n">
        <x:f>F2222-G2222</x:f>
        <x:v>0.6706852180964553</x:v>
      </x:c>
    </x:row>
    <x:row r="2223">
      <x:c r="A2223" s="2" t="str">
        <x:v>LiLC-1</x:v>
      </x:c>
      <x:c r="B2223" s="4" t="str">
        <x:v>NaCl</x:v>
      </x:c>
      <x:c r="C2223" s="23" t="n">
        <x:v>0.5225125</x:v>
      </x:c>
      <x:c r="D2223" s="23" t="n">
        <x:v>-13.43233</x:v>
      </x:c>
      <x:c r="E2223" s="23" t="n">
        <x:f>'Parameters'!$B$2*'Parameters'!$B$3*LN(4*PI()*C2223^2)</x:f>
        <x:v>3.0560867415379716</x:v>
      </x:c>
      <x:c r="F2223" s="23" t="n">
        <x:f>D2223+E2223</x:f>
        <x:v>-10.37624325846203</x:v>
      </x:c>
      <x:c r="G2223" s="23" t="n">
        <x:f>AVERAGE($F$2344:$F$2368)</x:f>
        <x:v>-10.69722718587915</x:v>
      </x:c>
      <x:c r="H2223" s="24" t="n">
        <x:f>F2223-G2223</x:f>
        <x:v>0.3209839274171209</x:v>
      </x:c>
    </x:row>
    <x:row r="2224">
      <x:c r="A2224" s="2" t="str">
        <x:v>LiLC-1</x:v>
      </x:c>
      <x:c r="B2224" s="4" t="str">
        <x:v>NaCl</x:v>
      </x:c>
      <x:c r="C2224" s="23" t="n">
        <x:v>0.5349004</x:v>
      </x:c>
      <x:c r="D2224" s="23" t="n">
        <x:v>-13.93247</x:v>
      </x:c>
      <x:c r="E2224" s="23" t="n">
        <x:f>'Parameters'!$B$2*'Parameters'!$B$3*LN(4*PI()*C2224^2)</x:f>
        <x:v>3.172258870032937</x:v>
      </x:c>
      <x:c r="F2224" s="23" t="n">
        <x:f>D2224+E2224</x:f>
        <x:v>-10.760211129967063</x:v>
      </x:c>
      <x:c r="G2224" s="23" t="n">
        <x:f>AVERAGE($F$2344:$F$2368)</x:f>
        <x:v>-10.69722718587915</x:v>
      </x:c>
      <x:c r="H2224" s="24" t="n">
        <x:f>F2224-G2224</x:f>
        <x:v>-0.06298394408791275</x:v>
      </x:c>
    </x:row>
    <x:row r="2225">
      <x:c r="A2225" s="2" t="str">
        <x:v>LiLC-1</x:v>
      </x:c>
      <x:c r="B2225" s="4" t="str">
        <x:v>NaCl</x:v>
      </x:c>
      <x:c r="C2225" s="23" t="n">
        <x:v>0.5472882</x:v>
      </x:c>
      <x:c r="D2225" s="23" t="n">
        <x:v>-14.33397</x:v>
      </x:c>
      <x:c r="E2225" s="23" t="n">
        <x:f>'Parameters'!$B$2*'Parameters'!$B$3*LN(4*PI()*C2225^2)</x:f>
        <x:v>3.2857701943696798</x:v>
      </x:c>
      <x:c r="F2225" s="23" t="n">
        <x:f>D2225+E2225</x:f>
        <x:v>-11.048199805630322</x:v>
      </x:c>
      <x:c r="G2225" s="23" t="n">
        <x:f>AVERAGE($F$2344:$F$2368)</x:f>
        <x:v>-10.69722718587915</x:v>
      </x:c>
      <x:c r="H2225" s="24" t="n">
        <x:f>F2225-G2225</x:f>
        <x:v>-0.3509726197511718</x:v>
      </x:c>
    </x:row>
    <x:row r="2226">
      <x:c r="A2226" s="2" t="str">
        <x:v>LiLC-1</x:v>
      </x:c>
      <x:c r="B2226" s="4" t="str">
        <x:v>NaCl</x:v>
      </x:c>
      <x:c r="C2226" s="23" t="n">
        <x:v>0.5596761</x:v>
      </x:c>
      <x:c r="D2226" s="23" t="n">
        <x:v>-14.36225</x:v>
      </x:c>
      <x:c r="E2226" s="23" t="n">
        <x:f>'Parameters'!$B$2*'Parameters'!$B$3*LN(4*PI()*C2226^2)</x:f>
        <x:v>3.396741628012944</x:v>
      </x:c>
      <x:c r="F2226" s="23" t="n">
        <x:f>D2226+E2226</x:f>
        <x:v>-10.965508371987056</x:v>
      </x:c>
      <x:c r="G2226" s="23" t="n">
        <x:f>AVERAGE($F$2344:$F$2368)</x:f>
        <x:v>-10.69722718587915</x:v>
      </x:c>
      <x:c r="H2226" s="24" t="n">
        <x:f>F2226-G2226</x:f>
        <x:v>-0.26828118610790597</x:v>
      </x:c>
    </x:row>
    <x:row r="2227">
      <x:c r="A2227" s="2" t="str">
        <x:v>LiLC-1</x:v>
      </x:c>
      <x:c r="B2227" s="4" t="str">
        <x:v>NaCl</x:v>
      </x:c>
      <x:c r="C2227" s="23" t="n">
        <x:v>0.5720639</x:v>
      </x:c>
      <x:c r="D2227" s="23" t="n">
        <x:v>-14.29518</x:v>
      </x:c>
      <x:c r="E2227" s="23" t="n">
        <x:f>'Parameters'!$B$2*'Parameters'!$B$3*LN(4*PI()*C2227^2)</x:f>
        <x:v>3.5052826370542647</x:v>
      </x:c>
      <x:c r="F2227" s="23" t="n">
        <x:f>D2227+E2227</x:f>
        <x:v>-10.789897362945736</x:v>
      </x:c>
      <x:c r="G2227" s="23" t="n">
        <x:f>AVERAGE($F$2344:$F$2368)</x:f>
        <x:v>-10.69722718587915</x:v>
      </x:c>
      <x:c r="H2227" s="24" t="n">
        <x:f>F2227-G2227</x:f>
        <x:v>-0.09267017706658542</x:v>
      </x:c>
    </x:row>
    <x:row r="2228">
      <x:c r="A2228" s="2" t="str">
        <x:v>LiLC-1</x:v>
      </x:c>
      <x:c r="B2228" s="4" t="str">
        <x:v>NaCl</x:v>
      </x:c>
      <x:c r="C2228" s="23" t="n">
        <x:v>0.5844517</x:v>
      </x:c>
      <x:c r="D2228" s="23" t="n">
        <x:v>-14.14419</x:v>
      </x:c>
      <x:c r="E2228" s="23" t="n">
        <x:f>'Parameters'!$B$2*'Parameters'!$B$3*LN(4*PI()*C2228^2)</x:f>
        <x:v>3.6114982329446383</x:v>
      </x:c>
      <x:c r="F2228" s="23" t="n">
        <x:f>D2228+E2228</x:f>
        <x:v>-10.532691767055361</x:v>
      </x:c>
      <x:c r="G2228" s="23" t="n">
        <x:f>AVERAGE($F$2344:$F$2368)</x:f>
        <x:v>-10.69722718587915</x:v>
      </x:c>
      <x:c r="H2228" s="24" t="n">
        <x:f>F2228-G2228</x:f>
        <x:v>0.16453541882378886</x:v>
      </x:c>
    </x:row>
    <x:row r="2229">
      <x:c r="A2229" s="2" t="str">
        <x:v>LiLC-1</x:v>
      </x:c>
      <x:c r="B2229" s="4" t="str">
        <x:v>NaCl</x:v>
      </x:c>
      <x:c r="C2229" s="23" t="n">
        <x:v>0.5968396</x:v>
      </x:c>
      <x:c r="D2229" s="23" t="n">
        <x:v>-13.88321</x:v>
      </x:c>
      <x:c r="E2229" s="23" t="n">
        <x:f>'Parameters'!$B$2*'Parameters'!$B$3*LN(4*PI()*C2229^2)</x:f>
        <x:v>3.7154868006146975</x:v>
      </x:c>
      <x:c r="F2229" s="23" t="n">
        <x:f>D2229+E2229</x:f>
        <x:v>-10.167723199385303</x:v>
      </x:c>
      <x:c r="G2229" s="23" t="n">
        <x:f>AVERAGE($F$2344:$F$2368)</x:f>
        <x:v>-10.69722718587915</x:v>
      </x:c>
      <x:c r="H2229" s="24" t="n">
        <x:f>F2229-G2229</x:f>
        <x:v>0.5295039864938467</x:v>
      </x:c>
    </x:row>
    <x:row r="2230">
      <x:c r="A2230" s="2" t="str">
        <x:v>LiLC-1</x:v>
      </x:c>
      <x:c r="B2230" s="4" t="str">
        <x:v>NaCl</x:v>
      </x:c>
      <x:c r="C2230" s="23" t="n">
        <x:v>0.6092274</x:v>
      </x:c>
      <x:c r="D2230" s="23" t="n">
        <x:v>-13.98016</x:v>
      </x:c>
      <x:c r="E2230" s="23" t="n">
        <x:f>'Parameters'!$B$2*'Parameters'!$B$3*LN(4*PI()*C2230^2)</x:f>
        <x:v>3.8173382031299496</x:v>
      </x:c>
      <x:c r="F2230" s="23" t="n">
        <x:f>D2230+E2230</x:f>
        <x:v>-10.16282179687005</x:v>
      </x:c>
      <x:c r="G2230" s="23" t="n">
        <x:f>AVERAGE($F$2344:$F$2368)</x:f>
        <x:v>-10.69722718587915</x:v>
      </x:c>
      <x:c r="H2230" s="24" t="n">
        <x:f>F2230-G2230</x:f>
        <x:v>0.5344053890091001</x:v>
      </x:c>
    </x:row>
    <x:row r="2231">
      <x:c r="A2231" s="2" t="str">
        <x:v>LiLC-1</x:v>
      </x:c>
      <x:c r="B2231" s="4" t="str">
        <x:v>NaCl</x:v>
      </x:c>
      <x:c r="C2231" s="23" t="n">
        <x:v>0.6216153</x:v>
      </x:c>
      <x:c r="D2231" s="23" t="n">
        <x:v>-13.99718</x:v>
      </x:c>
      <x:c r="E2231" s="23" t="n">
        <x:f>'Parameters'!$B$2*'Parameters'!$B$3*LN(4*PI()*C2231^2)</x:f>
        <x:v>3.9171400990090945</x:v>
      </x:c>
      <x:c r="F2231" s="23" t="n">
        <x:f>D2231+E2231</x:f>
        <x:v>-10.080039900990906</x:v>
      </x:c>
      <x:c r="G2231" s="23" t="n">
        <x:f>AVERAGE($F$2344:$F$2368)</x:f>
        <x:v>-10.69722718587915</x:v>
      </x:c>
      <x:c r="H2231" s="24" t="n">
        <x:f>F2231-G2231</x:f>
        <x:v>0.617187284888244</x:v>
      </x:c>
    </x:row>
    <x:row r="2232">
      <x:c r="A2232" s="2" t="str">
        <x:v>LiLC-1</x:v>
      </x:c>
      <x:c r="B2232" s="4" t="str">
        <x:v>NaCl</x:v>
      </x:c>
      <x:c r="C2232" s="23" t="n">
        <x:v>0.6340031</x:v>
      </x:c>
      <x:c r="D2232" s="23" t="n">
        <x:v>-14.33193</x:v>
      </x:c>
      <x:c r="E2232" s="23" t="n">
        <x:f>'Parameters'!$B$2*'Parameters'!$B$3*LN(4*PI()*C2232^2)</x:f>
        <x:v>4.014971797896134</x:v>
      </x:c>
      <x:c r="F2232" s="23" t="n">
        <x:f>D2232+E2232</x:f>
        <x:v>-10.316958202103866</x:v>
      </x:c>
      <x:c r="G2232" s="23" t="n">
        <x:f>AVERAGE($F$2344:$F$2368)</x:f>
        <x:v>-10.69722718587915</x:v>
      </x:c>
      <x:c r="H2232" s="24" t="n">
        <x:f>F2232-G2232</x:f>
        <x:v>0.3802689837752844</x:v>
      </x:c>
    </x:row>
    <x:row r="2233">
      <x:c r="A2233" s="2" t="str">
        <x:v>LiLC-1</x:v>
      </x:c>
      <x:c r="B2233" s="4" t="str">
        <x:v>NaCl</x:v>
      </x:c>
      <x:c r="C2233" s="23" t="n">
        <x:v>0.6463909</x:v>
      </x:c>
      <x:c r="D2233" s="23" t="n">
        <x:v>-14.6057</x:v>
      </x:c>
      <x:c r="E2233" s="23" t="n">
        <x:f>'Parameters'!$B$2*'Parameters'!$B$3*LN(4*PI()*C2233^2)</x:f>
        <x:v>4.110910335927902</x:v>
      </x:c>
      <x:c r="F2233" s="23" t="n">
        <x:f>D2233+E2233</x:f>
        <x:v>-10.494789664072098</x:v>
      </x:c>
      <x:c r="G2233" s="23" t="n">
        <x:f>AVERAGE($F$2344:$F$2368)</x:f>
        <x:v>-10.69722718587915</x:v>
      </x:c>
      <x:c r="H2233" s="24" t="n">
        <x:f>F2233-G2233</x:f>
        <x:v>0.20243752180705243</x:v>
      </x:c>
    </x:row>
    <x:row r="2234">
      <x:c r="A2234" s="2" t="str">
        <x:v>LiLC-1</x:v>
      </x:c>
      <x:c r="B2234" s="4" t="str">
        <x:v>NaCl</x:v>
      </x:c>
      <x:c r="C2234" s="23" t="n">
        <x:v>0.6587788</x:v>
      </x:c>
      <x:c r="D2234" s="23" t="n">
        <x:v>-15.10537</x:v>
      </x:c>
      <x:c r="E2234" s="23" t="n">
        <x:f>'Parameters'!$B$2*'Parameters'!$B$3*LN(4*PI()*C2234^2)</x:f>
        <x:v>4.205028346782954</x:v>
      </x:c>
      <x:c r="F2234" s="23" t="n">
        <x:f>D2234+E2234</x:f>
        <x:v>-10.900341653217048</x:v>
      </x:c>
      <x:c r="G2234" s="23" t="n">
        <x:f>AVERAGE($F$2344:$F$2368)</x:f>
        <x:v>-10.69722718587915</x:v>
      </x:c>
      <x:c r="H2234" s="24" t="n">
        <x:f>F2234-G2234</x:f>
        <x:v>-0.2031144673378975</x:v>
      </x:c>
    </x:row>
    <x:row r="2235">
      <x:c r="A2235" s="2" t="str">
        <x:v>LiLC-1</x:v>
      </x:c>
      <x:c r="B2235" s="4" t="str">
        <x:v>NaCl</x:v>
      </x:c>
      <x:c r="C2235" s="23" t="n">
        <x:v>0.6711666</x:v>
      </x:c>
      <x:c r="D2235" s="23" t="n">
        <x:v>-15.3545</x:v>
      </x:c>
      <x:c r="E2235" s="23" t="n">
        <x:f>'Parameters'!$B$2*'Parameters'!$B$3*LN(4*PI()*C2235^2)</x:f>
        <x:v>4.2973921747692465</x:v>
      </x:c>
      <x:c r="F2235" s="23" t="n">
        <x:f>D2235+E2235</x:f>
        <x:v>-11.057107825230753</x:v>
      </x:c>
      <x:c r="G2235" s="23" t="n">
        <x:f>AVERAGE($F$2344:$F$2368)</x:f>
        <x:v>-10.69722718587915</x:v>
      </x:c>
      <x:c r="H2235" s="24" t="n">
        <x:f>F2235-G2235</x:f>
        <x:v>-0.3598806393516032</x:v>
      </x:c>
    </x:row>
    <x:row r="2236">
      <x:c r="A2236" s="2" t="str">
        <x:v>LiLC-1</x:v>
      </x:c>
      <x:c r="B2236" s="4" t="str">
        <x:v>NaCl</x:v>
      </x:c>
      <x:c r="C2236" s="23" t="n">
        <x:v>0.6835545</x:v>
      </x:c>
      <x:c r="D2236" s="23" t="n">
        <x:v>-15.64958</x:v>
      </x:c>
      <x:c r="E2236" s="23" t="n">
        <x:f>'Parameters'!$B$2*'Parameters'!$B$3*LN(4*PI()*C2236^2)</x:f>
        <x:v>4.388067451814631</x:v>
      </x:c>
      <x:c r="F2236" s="23" t="n">
        <x:f>D2236+E2236</x:f>
        <x:v>-11.261512548185369</x:v>
      </x:c>
      <x:c r="G2236" s="23" t="n">
        <x:f>AVERAGE($F$2344:$F$2368)</x:f>
        <x:v>-10.69722718587915</x:v>
      </x:c>
      <x:c r="H2236" s="24" t="n">
        <x:f>F2236-G2236</x:f>
        <x:v>-0.5642853623062187</x:v>
      </x:c>
    </x:row>
    <x:row r="2237">
      <x:c r="A2237" s="2" t="str">
        <x:v>LiLC-1</x:v>
      </x:c>
      <x:c r="B2237" s="4" t="str">
        <x:v>NaCl</x:v>
      </x:c>
      <x:c r="C2237" s="23" t="n">
        <x:v>0.6959423</x:v>
      </x:c>
      <x:c r="D2237" s="23" t="n">
        <x:v>-15.94563</x:v>
      </x:c>
      <x:c r="E2237" s="23" t="n">
        <x:f>'Parameters'!$B$2*'Parameters'!$B$3*LN(4*PI()*C2237^2)</x:f>
        <x:v>4.477113397778985</x:v>
      </x:c>
      <x:c r="F2237" s="23" t="n">
        <x:f>D2237+E2237</x:f>
        <x:v>-11.468516602221015</x:v>
      </x:c>
      <x:c r="G2237" s="23" t="n">
        <x:f>AVERAGE($F$2344:$F$2368)</x:f>
        <x:v>-10.69722718587915</x:v>
      </x:c>
      <x:c r="H2237" s="24" t="n">
        <x:f>F2237-G2237</x:f>
        <x:v>-0.7712894163418653</x:v>
      </x:c>
    </x:row>
    <x:row r="2238">
      <x:c r="A2238" s="2" t="str">
        <x:v>LiLC-1</x:v>
      </x:c>
      <x:c r="B2238" s="4" t="str">
        <x:v>NaCl</x:v>
      </x:c>
      <x:c r="C2238" s="23" t="n">
        <x:v>0.7083301</x:v>
      </x:c>
      <x:c r="D2238" s="23" t="n">
        <x:v>-16.23048</x:v>
      </x:c>
      <x:c r="E2238" s="23" t="n">
        <x:f>'Parameters'!$B$2*'Parameters'!$B$3*LN(4*PI()*C2238^2)</x:f>
        <x:v>4.564588222478713</x:v>
      </x:c>
      <x:c r="F2238" s="23" t="n">
        <x:f>D2238+E2238</x:f>
        <x:v>-11.665891777521287</x:v>
      </x:c>
      <x:c r="G2238" s="23" t="n">
        <x:f>AVERAGE($F$2344:$F$2368)</x:f>
        <x:v>-10.69722718587915</x:v>
      </x:c>
      <x:c r="H2238" s="24" t="n">
        <x:f>F2238-G2238</x:f>
        <x:v>-0.9686645916421366</x:v>
      </x:c>
    </x:row>
    <x:row r="2239">
      <x:c r="A2239" s="2" t="str">
        <x:v>LiLC-1</x:v>
      </x:c>
      <x:c r="B2239" s="4" t="str">
        <x:v>NaCl</x:v>
      </x:c>
      <x:c r="C2239" s="23" t="n">
        <x:v>0.720718</x:v>
      </x:c>
      <x:c r="D2239" s="23" t="n">
        <x:v>-16.37798</x:v>
      </x:c>
      <x:c r="E2239" s="23" t="n">
        <x:f>'Parameters'!$B$2*'Parameters'!$B$3*LN(4*PI()*C2239^2)</x:f>
        <x:v>4.650547095481222</x:v>
      </x:c>
      <x:c r="F2239" s="23" t="n">
        <x:f>D2239+E2239</x:f>
        <x:v>-11.727432904518778</x:v>
      </x:c>
      <x:c r="G2239" s="23" t="n">
        <x:f>AVERAGE($F$2344:$F$2368)</x:f>
        <x:v>-10.69722718587915</x:v>
      </x:c>
      <x:c r="H2239" s="24" t="n">
        <x:f>F2239-G2239</x:f>
        <x:v>-1.0302057186396283</x:v>
      </x:c>
    </x:row>
    <x:row r="2240">
      <x:c r="A2240" s="2" t="str">
        <x:v>LiLC-1</x:v>
      </x:c>
      <x:c r="B2240" s="4" t="str">
        <x:v>NaCl</x:v>
      </x:c>
      <x:c r="C2240" s="23" t="n">
        <x:v>0.7331058</x:v>
      </x:c>
      <x:c r="D2240" s="23" t="n">
        <x:v>-16.51519</x:v>
      </x:c>
      <x:c r="E2240" s="23" t="n">
        <x:f>'Parameters'!$B$2*'Parameters'!$B$3*LN(4*PI()*C2240^2)</x:f>
        <x:v>4.735040325336127</x:v>
      </x:c>
      <x:c r="F2240" s="23" t="n">
        <x:f>D2240+E2240</x:f>
        <x:v>-11.780149674663875</x:v>
      </x:c>
      <x:c r="G2240" s="23" t="n">
        <x:f>AVERAGE($F$2344:$F$2368)</x:f>
        <x:v>-10.69722718587915</x:v>
      </x:c>
      <x:c r="H2240" s="24" t="n">
        <x:f>F2240-G2240</x:f>
        <x:v>-1.0829224887847246</x:v>
      </x:c>
    </x:row>
    <x:row r="2241">
      <x:c r="A2241" s="2" t="str">
        <x:v>LiLC-1</x:v>
      </x:c>
      <x:c r="B2241" s="4" t="str">
        <x:v>NaCl</x:v>
      </x:c>
      <x:c r="C2241" s="23" t="n">
        <x:v>0.7454937</x:v>
      </x:c>
      <x:c r="D2241" s="23" t="n">
        <x:v>-16.88378</x:v>
      </x:c>
      <x:c r="E2241" s="23" t="n">
        <x:f>'Parameters'!$B$2*'Parameters'!$B$3*LN(4*PI()*C2241^2)</x:f>
        <x:v>4.81811837409422</x:v>
      </x:c>
      <x:c r="F2241" s="23" t="n">
        <x:f>D2241+E2241</x:f>
        <x:v>-12.065661625905783</x:v>
      </x:c>
      <x:c r="G2241" s="23" t="n">
        <x:f>AVERAGE($F$2344:$F$2368)</x:f>
        <x:v>-10.69722718587915</x:v>
      </x:c>
      <x:c r="H2241" s="24" t="n">
        <x:f>F2241-G2241</x:f>
        <x:v>-1.3684344400266326</x:v>
      </x:c>
    </x:row>
    <x:row r="2242">
      <x:c r="A2242" s="2" t="str">
        <x:v>LiLC-1</x:v>
      </x:c>
      <x:c r="B2242" s="4" t="str">
        <x:v>NaCl</x:v>
      </x:c>
      <x:c r="C2242" s="23" t="n">
        <x:v>0.7578815</x:v>
      </x:c>
      <x:c r="D2242" s="23" t="n">
        <x:v>-16.8691</x:v>
      </x:c>
      <x:c r="E2242" s="23" t="n">
        <x:f>'Parameters'!$B$2*'Parameters'!$B$3*LN(4*PI()*C2242^2)</x:f>
        <x:v>4.899826570256554</x:v>
      </x:c>
      <x:c r="F2242" s="23" t="n">
        <x:f>D2242+E2242</x:f>
        <x:v>-11.969273429743446</x:v>
      </x:c>
      <x:c r="G2242" s="23" t="n">
        <x:f>AVERAGE($F$2344:$F$2368)</x:f>
        <x:v>-10.69722718587915</x:v>
      </x:c>
      <x:c r="H2242" s="24" t="n">
        <x:f>F2242-G2242</x:f>
        <x:v>-1.2720462438642954</x:v>
      </x:c>
    </x:row>
    <x:row r="2243">
      <x:c r="A2243" s="2" t="str">
        <x:v>LiLC-1</x:v>
      </x:c>
      <x:c r="B2243" s="4" t="str">
        <x:v>NaCl</x:v>
      </x:c>
      <x:c r="C2243" s="23" t="n">
        <x:v>0.7702693</x:v>
      </x:c>
      <x:c r="D2243" s="23" t="n">
        <x:v>-16.62403</x:v>
      </x:c>
      <x:c r="E2243" s="23" t="n">
        <x:f>'Parameters'!$B$2*'Parameters'!$B$3*LN(4*PI()*C2243^2)</x:f>
        <x:v>4.980209989435728</x:v>
      </x:c>
      <x:c r="F2243" s="23" t="n">
        <x:f>D2243+E2243</x:f>
        <x:v>-11.643820010564273</x:v>
      </x:c>
      <x:c r="G2243" s="23" t="n">
        <x:f>AVERAGE($F$2344:$F$2368)</x:f>
        <x:v>-10.69722718587915</x:v>
      </x:c>
      <x:c r="H2243" s="24" t="n">
        <x:f>F2243-G2243</x:f>
        <x:v>-0.9465928246851227</x:v>
      </x:c>
    </x:row>
    <x:row r="2244">
      <x:c r="A2244" s="2" t="str">
        <x:v>LiLC-1</x:v>
      </x:c>
      <x:c r="B2244" s="4" t="str">
        <x:v>NaCl</x:v>
      </x:c>
      <x:c r="C2244" s="23" t="n">
        <x:v>0.7826572</x:v>
      </x:c>
      <x:c r="D2244" s="23" t="n">
        <x:v>-16.43548</x:v>
      </x:c>
      <x:c r="E2244" s="23" t="n">
        <x:f>'Parameters'!$B$2*'Parameters'!$B$3*LN(4*PI()*C2244^2)</x:f>
        <x:v>5.059311539183961</x:v>
      </x:c>
      <x:c r="F2244" s="23" t="n">
        <x:f>D2244+E2244</x:f>
        <x:v>-11.376168460816038</x:v>
      </x:c>
      <x:c r="G2244" s="23" t="n">
        <x:f>AVERAGE($F$2344:$F$2368)</x:f>
        <x:v>-10.69722718587915</x:v>
      </x:c>
      <x:c r="H2244" s="24" t="n">
        <x:f>F2244-G2244</x:f>
        <x:v>-0.6789412749368875</x:v>
      </x:c>
    </x:row>
    <x:row r="2245">
      <x:c r="A2245" s="2" t="str">
        <x:v>LiLC-1</x:v>
      </x:c>
      <x:c r="B2245" s="4" t="str">
        <x:v>NaCl</x:v>
      </x:c>
      <x:c r="C2245" s="23" t="n">
        <x:v>0.795045</x:v>
      </x:c>
      <x:c r="D2245" s="23" t="n">
        <x:v>-16.36117</x:v>
      </x:c>
      <x:c r="E2245" s="23" t="n">
        <x:f>'Parameters'!$B$2*'Parameters'!$B$3*LN(4*PI()*C2245^2)</x:f>
        <x:v>5.137170225033748</x:v>
      </x:c>
      <x:c r="F2245" s="23" t="n">
        <x:f>D2245+E2245</x:f>
        <x:v>-11.223999774966252</x:v>
      </x:c>
      <x:c r="G2245" s="23" t="n">
        <x:f>AVERAGE($F$2344:$F$2368)</x:f>
        <x:v>-10.69722718587915</x:v>
      </x:c>
      <x:c r="H2245" s="24" t="n">
        <x:f>F2245-G2245</x:f>
        <x:v>-0.526772589087102</x:v>
      </x:c>
    </x:row>
    <x:row r="2246">
      <x:c r="A2246" s="2" t="str">
        <x:v>LiLC-1</x:v>
      </x:c>
      <x:c r="B2246" s="4" t="str">
        <x:v>NaCl</x:v>
      </x:c>
      <x:c r="C2246" s="23" t="n">
        <x:v>0.8074329</x:v>
      </x:c>
      <x:c r="D2246" s="23" t="n">
        <x:v>-16.20989</x:v>
      </x:c>
      <x:c r="E2246" s="23" t="n">
        <x:f>'Parameters'!$B$2*'Parameters'!$B$3*LN(4*PI()*C2246^2)</x:f>
        <x:v>5.213825718465853</x:v>
      </x:c>
      <x:c r="F2246" s="23" t="n">
        <x:f>D2246+E2246</x:f>
        <x:v>-10.99606428153415</x:v>
      </x:c>
      <x:c r="G2246" s="23" t="n">
        <x:f>AVERAGE($F$2344:$F$2368)</x:f>
        <x:v>-10.69722718587915</x:v>
      </x:c>
      <x:c r="H2246" s="24" t="n">
        <x:f>F2246-G2246</x:f>
        <x:v>-0.2988370956549993</x:v>
      </x:c>
    </x:row>
    <x:row r="2247">
      <x:c r="A2247" s="2" t="str">
        <x:v>LiLC-1</x:v>
      </x:c>
      <x:c r="B2247" s="4" t="str">
        <x:v>NaCl</x:v>
      </x:c>
      <x:c r="C2247" s="23" t="n">
        <x:v>0.8198207</x:v>
      </x:c>
      <x:c r="D2247" s="23" t="n">
        <x:v>-16.23488</x:v>
      </x:c>
      <x:c r="E2247" s="23" t="n">
        <x:f>'Parameters'!$B$2*'Parameters'!$B$3*LN(4*PI()*C2247^2)</x:f>
        <x:v>5.289313441184537</x:v>
      </x:c>
      <x:c r="F2247" s="23" t="n">
        <x:f>D2247+E2247</x:f>
        <x:v>-10.945566558815464</x:v>
      </x:c>
      <x:c r="G2247" s="23" t="n">
        <x:f>AVERAGE($F$2344:$F$2368)</x:f>
        <x:v>-10.69722718587915</x:v>
      </x:c>
      <x:c r="H2247" s="24" t="n">
        <x:f>F2247-G2247</x:f>
        <x:v>-0.24833937293631436</x:v>
      </x:c>
    </x:row>
    <x:row r="2248">
      <x:c r="A2248" s="2" t="str">
        <x:v>LiLC-1</x:v>
      </x:c>
      <x:c r="B2248" s="4" t="str">
        <x:v>NaCl</x:v>
      </x:c>
      <x:c r="C2248" s="23" t="n">
        <x:v>0.8322085</x:v>
      </x:c>
      <x:c r="D2248" s="23" t="n">
        <x:v>-16.37903</x:v>
      </x:c>
      <x:c r="E2248" s="23" t="n">
        <x:f>'Parameters'!$B$2*'Parameters'!$B$3*LN(4*PI()*C2248^2)</x:f>
        <x:v>5.36366902636758</x:v>
      </x:c>
      <x:c r="F2248" s="23" t="n">
        <x:f>D2248+E2248</x:f>
        <x:v>-11.01536097363242</x:v>
      </x:c>
      <x:c r="G2248" s="23" t="n">
        <x:f>AVERAGE($F$2344:$F$2368)</x:f>
        <x:v>-10.69722718587915</x:v>
      </x:c>
      <x:c r="H2248" s="24" t="n">
        <x:f>F2248-G2248</x:f>
        <x:v>-0.31813378775327017</x:v>
      </x:c>
    </x:row>
    <x:row r="2249">
      <x:c r="A2249" s="2" t="str">
        <x:v>LiLC-1</x:v>
      </x:c>
      <x:c r="B2249" s="4" t="str">
        <x:v>NaCl</x:v>
      </x:c>
      <x:c r="C2249" s="23" t="n">
        <x:v>0.8445964</x:v>
      </x:c>
      <x:c r="D2249" s="23" t="n">
        <x:v>-16.35933</x:v>
      </x:c>
      <x:c r="E2249" s="23" t="n">
        <x:f>'Parameters'!$B$2*'Parameters'!$B$3*LN(4*PI()*C2249^2)</x:f>
        <x:v>5.4369265186412425</x:v>
      </x:c>
      <x:c r="F2249" s="23" t="n">
        <x:f>D2249+E2249</x:f>
        <x:v>-10.922403481358756</x:v>
      </x:c>
      <x:c r="G2249" s="23" t="n">
        <x:f>AVERAGE($F$2344:$F$2368)</x:f>
        <x:v>-10.69722718587915</x:v>
      </x:c>
      <x:c r="H2249" s="24" t="n">
        <x:f>F2249-G2249</x:f>
        <x:v>-0.22517629547960638</x:v>
      </x:c>
    </x:row>
    <x:row r="2250">
      <x:c r="A2250" s="2" t="str">
        <x:v>LiLC-1</x:v>
      </x:c>
      <x:c r="B2250" s="4" t="str">
        <x:v>NaCl</x:v>
      </x:c>
      <x:c r="C2250" s="23" t="n">
        <x:v>0.8569842</x:v>
      </x:c>
      <x:c r="D2250" s="23" t="n">
        <x:v>-16.45928</x:v>
      </x:c>
      <x:c r="E2250" s="23" t="n">
        <x:f>'Parameters'!$B$2*'Parameters'!$B$3*LN(4*PI()*C2250^2)</x:f>
        <x:v>5.5091167315301846</x:v>
      </x:c>
      <x:c r="F2250" s="23" t="n">
        <x:f>D2250+E2250</x:f>
        <x:v>-10.950163268469815</x:v>
      </x:c>
      <x:c r="G2250" s="23" t="n">
        <x:f>AVERAGE($F$2344:$F$2368)</x:f>
        <x:v>-10.69722718587915</x:v>
      </x:c>
      <x:c r="H2250" s="24" t="n">
        <x:f>F2250-G2250</x:f>
        <x:v>-0.252936082590665</x:v>
      </x:c>
    </x:row>
    <x:row r="2251">
      <x:c r="A2251" s="2" t="str">
        <x:v>LiLC-1</x:v>
      </x:c>
      <x:c r="B2251" s="4" t="str">
        <x:v>NaCl</x:v>
      </x:c>
      <x:c r="C2251" s="23" t="n">
        <x:v>0.8693721</x:v>
      </x:c>
      <x:c r="D2251" s="23" t="n">
        <x:v>-16.45168</x:v>
      </x:c>
      <x:c r="E2251" s="23" t="n">
        <x:f>'Parameters'!$B$2*'Parameters'!$B$3*LN(4*PI()*C2251^2)</x:f>
        <x:v>5.580271449446611</x:v>
      </x:c>
      <x:c r="F2251" s="23" t="n">
        <x:f>D2251+E2251</x:f>
        <x:v>-10.871408550553388</x:v>
      </x:c>
      <x:c r="G2251" s="23" t="n">
        <x:f>AVERAGE($F$2344:$F$2368)</x:f>
        <x:v>-10.69722718587915</x:v>
      </x:c>
      <x:c r="H2251" s="24" t="n">
        <x:f>F2251-G2251</x:f>
        <x:v>-0.17418136467423828</x:v>
      </x:c>
    </x:row>
    <x:row r="2252">
      <x:c r="A2252" s="2" t="str">
        <x:v>LiLC-1</x:v>
      </x:c>
      <x:c r="B2252" s="4" t="str">
        <x:v>NaCl</x:v>
      </x:c>
      <x:c r="C2252" s="23" t="n">
        <x:v>0.8817599</x:v>
      </x:c>
      <x:c r="D2252" s="23" t="n">
        <x:v>-16.5793</x:v>
      </x:c>
      <x:c r="E2252" s="23" t="n">
        <x:f>'Parameters'!$B$2*'Parameters'!$B$3*LN(4*PI()*C2252^2)</x:f>
        <x:v>5.650418842490997</x:v>
      </x:c>
      <x:c r="F2252" s="23" t="n">
        <x:f>D2252+E2252</x:f>
        <x:v>-10.928881157509004</x:v>
      </x:c>
      <x:c r="G2252" s="23" t="n">
        <x:f>AVERAGE($F$2344:$F$2368)</x:f>
        <x:v>-10.69722718587915</x:v>
      </x:c>
      <x:c r="H2252" s="24" t="n">
        <x:f>F2252-G2252</x:f>
        <x:v>-0.23165397162985357</x:v>
      </x:c>
    </x:row>
    <x:row r="2253">
      <x:c r="A2253" s="2" t="str">
        <x:v>LiLC-1</x:v>
      </x:c>
      <x:c r="B2253" s="4" t="str">
        <x:v>NaCl</x:v>
      </x:c>
      <x:c r="C2253" s="23" t="n">
        <x:v>0.8941477</x:v>
      </x:c>
      <x:c r="D2253" s="23" t="n">
        <x:v>-16.51944</x:v>
      </x:c>
      <x:c r="E2253" s="23" t="n">
        <x:f>'Parameters'!$B$2*'Parameters'!$B$3*LN(4*PI()*C2253^2)</x:f>
        <x:v>5.719587580717949</x:v>
      </x:c>
      <x:c r="F2253" s="23" t="n">
        <x:f>D2253+E2253</x:f>
        <x:v>-10.79985241928205</x:v>
      </x:c>
      <x:c r="G2253" s="23" t="n">
        <x:f>AVERAGE($F$2344:$F$2368)</x:f>
        <x:v>-10.69722718587915</x:v>
      </x:c>
      <x:c r="H2253" s="24" t="n">
        <x:f>F2253-G2253</x:f>
        <x:v>-0.1026252334029003</x:v>
      </x:c>
    </x:row>
    <x:row r="2254">
      <x:c r="A2254" s="2" t="str">
        <x:v>LiLC-1</x:v>
      </x:c>
      <x:c r="B2254" s="4" t="str">
        <x:v>NaCl</x:v>
      </x:c>
      <x:c r="C2254" s="23" t="n">
        <x:v>0.9065356</x:v>
      </x:c>
      <x:c r="D2254" s="23" t="n">
        <x:v>-16.60359</x:v>
      </x:c>
      <x:c r="E2254" s="23" t="n">
        <x:f>'Parameters'!$B$2*'Parameters'!$B$3*LN(4*PI()*C2254^2)</x:f>
        <x:v>5.78780514295099</x:v>
      </x:c>
      <x:c r="F2254" s="23" t="n">
        <x:f>D2254+E2254</x:f>
        <x:v>-10.81578485704901</x:v>
      </x:c>
      <x:c r="G2254" s="23" t="n">
        <x:f>AVERAGE($F$2344:$F$2368)</x:f>
        <x:v>-10.69722718587915</x:v>
      </x:c>
      <x:c r="H2254" s="24" t="n">
        <x:f>F2254-G2254</x:f>
        <x:v>-0.11855767116986016</x:v>
      </x:c>
    </x:row>
    <x:row r="2255">
      <x:c r="A2255" s="2" t="str">
        <x:v>LiLC-1</x:v>
      </x:c>
      <x:c r="B2255" s="4" t="str">
        <x:v>NaCl</x:v>
      </x:c>
      <x:c r="C2255" s="23" t="n">
        <x:v>0.9189234</x:v>
      </x:c>
      <x:c r="D2255" s="23" t="n">
        <x:v>-16.67114</x:v>
      </x:c>
      <x:c r="E2255" s="23" t="n">
        <x:f>'Parameters'!$B$2*'Parameters'!$B$3*LN(4*PI()*C2255^2)</x:f>
        <x:v>5.855096263267787</x:v>
      </x:c>
      <x:c r="F2255" s="23" t="n">
        <x:f>D2255+E2255</x:f>
        <x:v>-10.816043736732215</x:v>
      </x:c>
      <x:c r="G2255" s="23" t="n">
        <x:f>AVERAGE($F$2344:$F$2368)</x:f>
        <x:v>-10.69722718587915</x:v>
      </x:c>
      <x:c r="H2255" s="24" t="n">
        <x:f>F2255-G2255</x:f>
        <x:v>-0.1188165508530652</x:v>
      </x:c>
    </x:row>
    <x:row r="2256">
      <x:c r="A2256" s="2" t="str">
        <x:v>LiLC-1</x:v>
      </x:c>
      <x:c r="B2256" s="4" t="str">
        <x:v>NaCl</x:v>
      </x:c>
      <x:c r="C2256" s="23" t="n">
        <x:v>0.9313113</x:v>
      </x:c>
      <x:c r="D2256" s="23" t="n">
        <x:v>-16.74622</x:v>
      </x:c>
      <x:c r="E2256" s="23" t="n">
        <x:f>'Parameters'!$B$2*'Parameters'!$B$3*LN(4*PI()*C2256^2)</x:f>
        <x:v>5.921486825863377</x:v>
      </x:c>
      <x:c r="F2256" s="23" t="n">
        <x:f>D2256+E2256</x:f>
        <x:v>-10.824733174136625</x:v>
      </x:c>
      <x:c r="G2256" s="23" t="n">
        <x:f>AVERAGE($F$2344:$F$2368)</x:f>
        <x:v>-10.69722718587915</x:v>
      </x:c>
      <x:c r="H2256" s="24" t="n">
        <x:f>F2256-G2256</x:f>
        <x:v>-0.12750598825747517</x:v>
      </x:c>
    </x:row>
    <x:row r="2257">
      <x:c r="A2257" s="2" t="str">
        <x:v>LiLC-1</x:v>
      </x:c>
      <x:c r="B2257" s="4" t="str">
        <x:v>NaCl</x:v>
      </x:c>
      <x:c r="C2257" s="23" t="n">
        <x:v>0.9436991</x:v>
      </x:c>
      <x:c r="D2257" s="23" t="n">
        <x:v>-17.01209</x:v>
      </x:c>
      <x:c r="E2257" s="23" t="n">
        <x:f>'Parameters'!$B$2*'Parameters'!$B$3*LN(4*PI()*C2257^2)</x:f>
        <x:v>5.986999573340544</x:v>
      </x:c>
      <x:c r="F2257" s="23" t="n">
        <x:f>D2257+E2257</x:f>
        <x:v>-11.025090426659457</x:v>
      </x:c>
      <x:c r="G2257" s="23" t="n">
        <x:f>AVERAGE($F$2344:$F$2368)</x:f>
        <x:v>-10.69722718587915</x:v>
      </x:c>
      <x:c r="H2257" s="24" t="n">
        <x:f>F2257-G2257</x:f>
        <x:v>-0.3278632407803066</x:v>
      </x:c>
    </x:row>
    <x:row r="2258">
      <x:c r="A2258" s="2" t="str">
        <x:v>LiLC-1</x:v>
      </x:c>
      <x:c r="B2258" s="4" t="str">
        <x:v>NaCl</x:v>
      </x:c>
      <x:c r="C2258" s="23" t="n">
        <x:v>0.9560869</x:v>
      </x:c>
      <x:c r="D2258" s="23" t="n">
        <x:v>-16.92675</x:v>
      </x:c>
      <x:c r="E2258" s="23" t="n">
        <x:f>'Parameters'!$B$2*'Parameters'!$B$3*LN(4*PI()*C2258^2)</x:f>
        <x:v>6.051657927775257</x:v>
      </x:c>
      <x:c r="F2258" s="23" t="n">
        <x:f>D2258+E2258</x:f>
        <x:v>-10.875092072224742</x:v>
      </x:c>
      <x:c r="G2258" s="23" t="n">
        <x:f>AVERAGE($F$2344:$F$2368)</x:f>
        <x:v>-10.69722718587915</x:v>
      </x:c>
      <x:c r="H2258" s="24" t="n">
        <x:f>F2258-G2258</x:f>
        <x:v>-0.17786488634559205</x:v>
      </x:c>
    </x:row>
    <x:row r="2259">
      <x:c r="A2259" s="2" t="str">
        <x:v>LiLC-1</x:v>
      </x:c>
      <x:c r="B2259" s="4" t="str">
        <x:v>NaCl</x:v>
      </x:c>
      <x:c r="C2259" s="23" t="n">
        <x:v>0.9684748</x:v>
      </x:c>
      <x:c r="D2259" s="23" t="n">
        <x:v>-17.04299</x:v>
      </x:c>
      <x:c r="E2259" s="23" t="n">
        <x:f>'Parameters'!$B$2*'Parameters'!$B$3*LN(4*PI()*C2259^2)</x:f>
        <x:v>6.115484399862306</x:v>
      </x:c>
      <x:c r="F2259" s="23" t="n">
        <x:f>D2259+E2259</x:f>
        <x:v>-10.927505600137692</x:v>
      </x:c>
      <x:c r="G2259" s="23" t="n">
        <x:f>AVERAGE($F$2344:$F$2368)</x:f>
        <x:v>-10.69722718587915</x:v>
      </x:c>
      <x:c r="H2259" s="24" t="n">
        <x:f>F2259-G2259</x:f>
        <x:v>-0.23027841425854234</x:v>
      </x:c>
    </x:row>
    <x:row r="2260">
      <x:c r="A2260" s="2" t="str">
        <x:v>LiLC-1</x:v>
      </x:c>
      <x:c r="B2260" s="4" t="str">
        <x:v>NaCl</x:v>
      </x:c>
      <x:c r="C2260" s="23" t="n">
        <x:v>0.9808626</x:v>
      </x:c>
      <x:c r="D2260" s="23" t="n">
        <x:v>-17.29735</x:v>
      </x:c>
      <x:c r="E2260" s="23" t="n">
        <x:f>'Parameters'!$B$2*'Parameters'!$B$3*LN(4*PI()*C2260^2)</x:f>
        <x:v>6.178499119197821</x:v>
      </x:c>
      <x:c r="F2260" s="23" t="n">
        <x:f>D2260+E2260</x:f>
        <x:v>-11.118850880802182</x:v>
      </x:c>
      <x:c r="G2260" s="23" t="n">
        <x:f>AVERAGE($F$2344:$F$2368)</x:f>
        <x:v>-10.69722718587915</x:v>
      </x:c>
      <x:c r="H2260" s="24" t="n">
        <x:f>F2260-G2260</x:f>
        <x:v>-0.4216236949230314</x:v>
      </x:c>
    </x:row>
    <x:row r="2261">
      <x:c r="A2261" s="2" t="str">
        <x:v>LiLC-1</x:v>
      </x:c>
      <x:c r="B2261" s="4" t="str">
        <x:v>NaCl</x:v>
      </x:c>
      <x:c r="C2261" s="23" t="n">
        <x:v>0.9932505</x:v>
      </x:c>
      <x:c r="D2261" s="23" t="n">
        <x:v>-17.37516</x:v>
      </x:c>
      <x:c r="E2261" s="23" t="n">
        <x:f>'Parameters'!$B$2*'Parameters'!$B$3*LN(4*PI()*C2261^2)</x:f>
        <x:v>6.240723466691681</x:v>
      </x:c>
      <x:c r="F2261" s="23" t="n">
        <x:f>D2261+E2261</x:f>
        <x:v>-11.134436533308321</x:v>
      </x:c>
      <x:c r="G2261" s="23" t="n">
        <x:f>AVERAGE($F$2344:$F$2368)</x:f>
        <x:v>-10.69722718587915</x:v>
      </x:c>
      <x:c r="H2261" s="24" t="n">
        <x:f>F2261-G2261</x:f>
        <x:v>-0.43720934742917095</x:v>
      </x:c>
    </x:row>
    <x:row r="2262">
      <x:c r="A2262" s="2" t="str">
        <x:v>LiLC-1</x:v>
      </x:c>
      <x:c r="B2262" s="4" t="str">
        <x:v>NaCl</x:v>
      </x:c>
      <x:c r="C2262" s="23" t="n">
        <x:v>1.005638</x:v>
      </x:c>
      <x:c r="D2262" s="23" t="n">
        <x:v>-17.43951</x:v>
      </x:c>
      <x:c r="E2262" s="23" t="n">
        <x:f>'Parameters'!$B$2*'Parameters'!$B$3*LN(4*PI()*C2262^2)</x:f>
        <x:v>6.302174564799579</x:v>
      </x:c>
      <x:c r="F2262" s="23" t="n">
        <x:f>D2262+E2262</x:f>
        <x:v>-11.13733543520042</x:v>
      </x:c>
      <x:c r="G2262" s="23" t="n">
        <x:f>AVERAGE($F$2344:$F$2368)</x:f>
        <x:v>-10.69722718587915</x:v>
      </x:c>
      <x:c r="H2262" s="24" t="n">
        <x:f>F2262-G2262</x:f>
        <x:v>-0.4401082493212698</x:v>
      </x:c>
    </x:row>
    <x:row r="2263">
      <x:c r="A2263" s="2" t="str">
        <x:v>LiLC-1</x:v>
      </x:c>
      <x:c r="B2263" s="4" t="str">
        <x:v>NaCl</x:v>
      </x:c>
      <x:c r="C2263" s="23" t="n">
        <x:v>1.018026</x:v>
      </x:c>
      <x:c r="D2263" s="23" t="n">
        <x:v>-17.38395</x:v>
      </x:c>
      <x:c r="E2263" s="23" t="n">
        <x:f>'Parameters'!$B$2*'Parameters'!$B$3*LN(4*PI()*C2263^2)</x:f>
        <x:v>6.362875754893862</x:v>
      </x:c>
      <x:c r="F2263" s="23" t="n">
        <x:f>D2263+E2263</x:f>
        <x:v>-11.021074245106137</x:v>
      </x:c>
      <x:c r="G2263" s="23" t="n">
        <x:f>AVERAGE($F$2344:$F$2368)</x:f>
        <x:v>-10.69722718587915</x:v>
      </x:c>
      <x:c r="H2263" s="24" t="n">
        <x:f>F2263-G2263</x:f>
        <x:v>-0.32384705922698664</x:v>
      </x:c>
    </x:row>
    <x:row r="2264">
      <x:c r="A2264" s="2" t="str">
        <x:v>LiLC-1</x:v>
      </x:c>
      <x:c r="B2264" s="4" t="str">
        <x:v>NaCl</x:v>
      </x:c>
      <x:c r="C2264" s="23" t="n">
        <x:v>1.030414</x:v>
      </x:c>
      <x:c r="D2264" s="23" t="n">
        <x:v>-17.4008</x:v>
      </x:c>
      <x:c r="E2264" s="23" t="n">
        <x:f>'Parameters'!$B$2*'Parameters'!$B$3*LN(4*PI()*C2264^2)</x:f>
        <x:v>6.4228427425805</x:v>
      </x:c>
      <x:c r="F2264" s="23" t="n">
        <x:f>D2264+E2264</x:f>
        <x:v>-10.9779572574195</x:v>
      </x:c>
      <x:c r="G2264" s="23" t="n">
        <x:f>AVERAGE($F$2344:$F$2368)</x:f>
        <x:v>-10.69722718587915</x:v>
      </x:c>
      <x:c r="H2264" s="24" t="n">
        <x:f>F2264-G2264</x:f>
        <x:v>-0.2807300715403507</x:v>
      </x:c>
    </x:row>
    <x:row r="2265">
      <x:c r="A2265" s="2" t="str">
        <x:v>LiLC-1</x:v>
      </x:c>
      <x:c r="B2265" s="4" t="str">
        <x:v>NaCl</x:v>
      </x:c>
      <x:c r="C2265" s="23" t="n">
        <x:v>1.042802</x:v>
      </x:c>
      <x:c r="D2265" s="23" t="n">
        <x:v>-17.46943</x:v>
      </x:c>
      <x:c r="E2265" s="23" t="n">
        <x:f>'Parameters'!$B$2*'Parameters'!$B$3*LN(4*PI()*C2265^2)</x:f>
        <x:v>6.48209307668824</x:v>
      </x:c>
      <x:c r="F2265" s="23" t="n">
        <x:f>D2265+E2265</x:f>
        <x:v>-10.987336923311759</x:v>
      </x:c>
      <x:c r="G2265" s="23" t="n">
        <x:f>AVERAGE($F$2344:$F$2368)</x:f>
        <x:v>-10.69722718587915</x:v>
      </x:c>
      <x:c r="H2265" s="24" t="n">
        <x:f>F2265-G2265</x:f>
        <x:v>-0.2901097374326085</x:v>
      </x:c>
    </x:row>
    <x:row r="2266">
      <x:c r="A2266" s="2" t="str">
        <x:v>LiLC-1</x:v>
      </x:c>
      <x:c r="B2266" s="4" t="str">
        <x:v>NaCl</x:v>
      </x:c>
      <x:c r="C2266" s="23" t="n">
        <x:v>1.05519</x:v>
      </x:c>
      <x:c r="D2266" s="23" t="n">
        <x:v>-17.37951</x:v>
      </x:c>
      <x:c r="E2266" s="23" t="n">
        <x:f>'Parameters'!$B$2*'Parameters'!$B$3*LN(4*PI()*C2266^2)</x:f>
        <x:v>6.54064368429365</x:v>
      </x:c>
      <x:c r="F2266" s="23" t="n">
        <x:f>D2266+E2266</x:f>
        <x:v>-10.83886631570635</x:v>
      </x:c>
      <x:c r="G2266" s="23" t="n">
        <x:f>AVERAGE($F$2344:$F$2368)</x:f>
        <x:v>-10.69722718587915</x:v>
      </x:c>
      <x:c r="H2266" s="24" t="n">
        <x:f>F2266-G2266</x:f>
        <x:v>-0.14163912982719928</x:v>
      </x:c>
    </x:row>
    <x:row r="2267">
      <x:c r="A2267" s="2" t="str">
        <x:v>LiLC-1</x:v>
      </x:c>
      <x:c r="B2267" s="4" t="str">
        <x:v>NaCl</x:v>
      </x:c>
      <x:c r="C2267" s="23" t="n">
        <x:v>1.067577</x:v>
      </x:c>
      <x:c r="D2267" s="23" t="n">
        <x:v>-17.33878</x:v>
      </x:c>
      <x:c r="E2267" s="23" t="n">
        <x:f>'Parameters'!$B$2*'Parameters'!$B$3*LN(4*PI()*C2267^2)</x:f>
        <x:v>6.598506255671248</x:v>
      </x:c>
      <x:c r="F2267" s="23" t="n">
        <x:f>D2267+E2267</x:f>
        <x:v>-10.740273744328752</x:v>
      </x:c>
      <x:c r="G2267" s="23" t="n">
        <x:f>AVERAGE($F$2344:$F$2368)</x:f>
        <x:v>-10.69722718587915</x:v>
      </x:c>
      <x:c r="H2267" s="24" t="n">
        <x:f>F2267-G2267</x:f>
        <x:v>-0.04304655844960159</x:v>
      </x:c>
    </x:row>
    <x:row r="2268">
      <x:c r="A2268" s="2" t="str">
        <x:v>LiLC-1</x:v>
      </x:c>
      <x:c r="B2268" s="4" t="str">
        <x:v>NaCl</x:v>
      </x:c>
      <x:c r="C2268" s="23" t="n">
        <x:v>1.079965</x:v>
      </x:c>
      <x:c r="D2268" s="23" t="n">
        <x:v>-17.26846</x:v>
      </x:c>
      <x:c r="E2268" s="23" t="n">
        <x:f>'Parameters'!$B$2*'Parameters'!$B$3*LN(4*PI()*C2268^2)</x:f>
        <x:v>6.655705901234099</x:v>
      </x:c>
      <x:c r="F2268" s="23" t="n">
        <x:f>D2268+E2268</x:f>
        <x:v>-10.612754098765901</x:v>
      </x:c>
      <x:c r="G2268" s="23" t="n">
        <x:f>AVERAGE($F$2344:$F$2368)</x:f>
        <x:v>-10.69722718587915</x:v>
      </x:c>
      <x:c r="H2268" s="24" t="n">
        <x:f>F2268-G2268</x:f>
        <x:v>0.08447308711324908</x:v>
      </x:c>
    </x:row>
    <x:row r="2269">
      <x:c r="A2269" s="2" t="str">
        <x:v>LiLC-1</x:v>
      </x:c>
      <x:c r="B2269" s="4" t="str">
        <x:v>NaCl</x:v>
      </x:c>
      <x:c r="C2269" s="23" t="n">
        <x:v>1.092353</x:v>
      </x:c>
      <x:c r="D2269" s="23" t="n">
        <x:v>-17.30704</x:v>
      </x:c>
      <x:c r="E2269" s="23" t="n">
        <x:f>'Parameters'!$B$2*'Parameters'!$B$3*LN(4*PI()*C2269^2)</x:f>
        <x:v>6.712253151833892</x:v>
      </x:c>
      <x:c r="F2269" s="23" t="n">
        <x:f>D2269+E2269</x:f>
        <x:v>-10.594786848166109</x:v>
      </x:c>
      <x:c r="G2269" s="23" t="n">
        <x:f>AVERAGE($F$2344:$F$2368)</x:f>
        <x:v>-10.69722718587915</x:v>
      </x:c>
      <x:c r="H2269" s="24" t="n">
        <x:f>F2269-G2269</x:f>
        <x:v>0.10244033771304117</x:v>
      </x:c>
    </x:row>
    <x:row r="2270">
      <x:c r="A2270" s="2" t="str">
        <x:v>LiLC-1</x:v>
      </x:c>
      <x:c r="B2270" s="4" t="str">
        <x:v>NaCl</x:v>
      </x:c>
      <x:c r="C2270" s="23" t="n">
        <x:v>1.104741</x:v>
      </x:c>
      <x:c r="D2270" s="23" t="n">
        <x:v>-17.47316</x:v>
      </x:c>
      <x:c r="E2270" s="23" t="n">
        <x:f>'Parameters'!$B$2*'Parameters'!$B$3*LN(4*PI()*C2270^2)</x:f>
        <x:v>6.768162721686211</x:v>
      </x:c>
      <x:c r="F2270" s="23" t="n">
        <x:f>D2270+E2270</x:f>
        <x:v>-10.70499727831379</x:v>
      </x:c>
      <x:c r="G2270" s="23" t="n">
        <x:f>AVERAGE($F$2344:$F$2368)</x:f>
        <x:v>-10.69722718587915</x:v>
      </x:c>
      <x:c r="H2270" s="24" t="n">
        <x:f>F2270-G2270</x:f>
        <x:v>-0.007770092434640219</x:v>
      </x:c>
    </x:row>
    <x:row r="2271">
      <x:c r="A2271" s="2" t="str">
        <x:v>LiLC-1</x:v>
      </x:c>
      <x:c r="B2271" s="4" t="str">
        <x:v>NaCl</x:v>
      </x:c>
      <x:c r="C2271" s="23" t="n">
        <x:v>1.117129</x:v>
      </x:c>
      <x:c r="D2271" s="23" t="n">
        <x:v>-17.438</x:v>
      </x:c>
      <x:c r="E2271" s="23" t="n">
        <x:f>'Parameters'!$B$2*'Parameters'!$B$3*LN(4*PI()*C2271^2)</x:f>
        <x:v>6.823448832752675</x:v>
      </x:c>
      <x:c r="F2271" s="23" t="n">
        <x:f>D2271+E2271</x:f>
        <x:v>-10.614551167247324</x:v>
      </x:c>
      <x:c r="G2271" s="23" t="n">
        <x:f>AVERAGE($F$2344:$F$2368)</x:f>
        <x:v>-10.69722718587915</x:v>
      </x:c>
      <x:c r="H2271" s="24" t="n">
        <x:f>F2271-G2271</x:f>
        <x:v>0.08267601863182605</x:v>
      </x:c>
    </x:row>
    <x:row r="2272">
      <x:c r="A2272" s="2" t="str">
        <x:v>LiLC-1</x:v>
      </x:c>
      <x:c r="B2272" s="4" t="str">
        <x:v>NaCl</x:v>
      </x:c>
      <x:c r="C2272" s="23" t="n">
        <x:v>1.129517</x:v>
      </x:c>
      <x:c r="D2272" s="23" t="n">
        <x:v>-17.60821</x:v>
      </x:c>
      <x:c r="E2272" s="23" t="n">
        <x:f>'Parameters'!$B$2*'Parameters'!$B$3*LN(4*PI()*C2272^2)</x:f>
        <x:v>6.878125236456353</x:v>
      </x:c>
      <x:c r="F2272" s="23" t="n">
        <x:f>D2272+E2272</x:f>
        <x:v>-10.730084763543648</x:v>
      </x:c>
      <x:c r="G2272" s="23" t="n">
        <x:f>AVERAGE($F$2344:$F$2368)</x:f>
        <x:v>-10.69722718587915</x:v>
      </x:c>
      <x:c r="H2272" s="24" t="n">
        <x:f>F2272-G2272</x:f>
        <x:v>-0.032857577664497484</x:v>
      </x:c>
    </x:row>
    <x:row r="2273">
      <x:c r="A2273" s="2" t="str">
        <x:v>LiLC-1</x:v>
      </x:c>
      <x:c r="B2273" s="4" t="str">
        <x:v>NaCl</x:v>
      </x:c>
      <x:c r="C2273" s="23" t="n">
        <x:v>1.141905</x:v>
      </x:c>
      <x:c r="D2273" s="23" t="n">
        <x:v>-17.66824</x:v>
      </x:c>
      <x:c r="E2273" s="23" t="n">
        <x:f>'Parameters'!$B$2*'Parameters'!$B$3*LN(4*PI()*C2273^2)</x:f>
        <x:v>6.93220523421279</x:v>
      </x:c>
      <x:c r="F2273" s="23" t="n">
        <x:f>D2273+E2273</x:f>
        <x:v>-10.73603476578721</x:v>
      </x:c>
      <x:c r="G2273" s="23" t="n">
        <x:f>AVERAGE($F$2344:$F$2368)</x:f>
        <x:v>-10.69722718587915</x:v>
      </x:c>
      <x:c r="H2273" s="24" t="n">
        <x:f>F2273-G2273</x:f>
        <x:v>-0.03880757990805961</x:v>
      </x:c>
    </x:row>
    <x:row r="2274">
      <x:c r="A2274" s="2" t="str">
        <x:v>LiLC-1</x:v>
      </x:c>
      <x:c r="B2274" s="4" t="str">
        <x:v>NaCl</x:v>
      </x:c>
      <x:c r="C2274" s="23" t="n">
        <x:v>1.154292</x:v>
      </x:c>
      <x:c r="D2274" s="23" t="n">
        <x:v>-17.59012</x:v>
      </x:c>
      <x:c r="E2274" s="23" t="n">
        <x:f>'Parameters'!$B$2*'Parameters'!$B$3*LN(4*PI()*C2274^2)</x:f>
        <x:v>6.985697401655986</x:v>
      </x:c>
      <x:c r="F2274" s="23" t="n">
        <x:f>D2274+E2274</x:f>
        <x:v>-10.604422598344012</x:v>
      </x:c>
      <x:c r="G2274" s="23" t="n">
        <x:f>AVERAGE($F$2344:$F$2368)</x:f>
        <x:v>-10.69722718587915</x:v>
      </x:c>
      <x:c r="H2274" s="24" t="n">
        <x:f>F2274-G2274</x:f>
        <x:v>0.09280458753513798</x:v>
      </x:c>
    </x:row>
    <x:row r="2275">
      <x:c r="A2275" s="2" t="str">
        <x:v>LiLC-1</x:v>
      </x:c>
      <x:c r="B2275" s="4" t="str">
        <x:v>NaCl</x:v>
      </x:c>
      <x:c r="C2275" s="23" t="n">
        <x:v>1.16668</x:v>
      </x:c>
      <x:c r="D2275" s="23" t="n">
        <x:v>-17.58953</x:v>
      </x:c>
      <x:c r="E2275" s="23" t="n">
        <x:f>'Parameters'!$B$2*'Parameters'!$B$3*LN(4*PI()*C2275^2)</x:f>
        <x:v>7.038622833421336</x:v>
      </x:c>
      <x:c r="F2275" s="23" t="n">
        <x:f>D2275+E2275</x:f>
        <x:v>-10.550907166578664</x:v>
      </x:c>
      <x:c r="G2275" s="23" t="n">
        <x:f>AVERAGE($F$2344:$F$2368)</x:f>
        <x:v>-10.69722718587915</x:v>
      </x:c>
      <x:c r="H2275" s="24" t="n">
        <x:f>F2275-G2275</x:f>
        <x:v>0.14632001930048588</x:v>
      </x:c>
    </x:row>
    <x:row r="2276">
      <x:c r="A2276" s="2" t="str">
        <x:v>LiLC-1</x:v>
      </x:c>
      <x:c r="B2276" s="4" t="str">
        <x:v>NaCl</x:v>
      </x:c>
      <x:c r="C2276" s="23" t="n">
        <x:v>1.179068</x:v>
      </x:c>
      <x:c r="D2276" s="23" t="n">
        <x:v>-17.76537</x:v>
      </x:c>
      <x:c r="E2276" s="23" t="n">
        <x:f>'Parameters'!$B$2*'Parameters'!$B$3*LN(4*PI()*C2276^2)</x:f>
        <x:v>7.090989251597534</x:v>
      </x:c>
      <x:c r="F2276" s="23" t="n">
        <x:f>D2276+E2276</x:f>
        <x:v>-10.674380748402466</x:v>
      </x:c>
      <x:c r="G2276" s="23" t="n">
        <x:f>AVERAGE($F$2344:$F$2368)</x:f>
        <x:v>-10.69722718587915</x:v>
      </x:c>
      <x:c r="H2276" s="24" t="n">
        <x:f>F2276-G2276</x:f>
        <x:v>0.02284643747668369</x:v>
      </x:c>
    </x:row>
    <x:row r="2277">
      <x:c r="A2277" s="2" t="str">
        <x:v>LiLC-1</x:v>
      </x:c>
      <x:c r="B2277" s="4" t="str">
        <x:v>NaCl</x:v>
      </x:c>
      <x:c r="C2277" s="23" t="n">
        <x:v>1.191456</x:v>
      </x:c>
      <x:c r="D2277" s="23" t="n">
        <x:v>-17.81053</x:v>
      </x:c>
      <x:c r="E2277" s="23" t="n">
        <x:f>'Parameters'!$B$2*'Parameters'!$B$3*LN(4*PI()*C2277^2)</x:f>
        <x:v>7.142808341789081</x:v>
      </x:c>
      <x:c r="F2277" s="23" t="n">
        <x:f>D2277+E2277</x:f>
        <x:v>-10.667721658210919</x:v>
      </x:c>
      <x:c r="G2277" s="23" t="n">
        <x:f>AVERAGE($F$2344:$F$2368)</x:f>
        <x:v>-10.69722718587915</x:v>
      </x:c>
      <x:c r="H2277" s="24" t="n">
        <x:f>F2277-G2277</x:f>
        <x:v>0.029505527668231224</x:v>
      </x:c>
    </x:row>
    <x:row r="2278">
      <x:c r="A2278" s="2" t="str">
        <x:v>LiLC-1</x:v>
      </x:c>
      <x:c r="B2278" s="4" t="str">
        <x:v>NaCl</x:v>
      </x:c>
      <x:c r="C2278" s="23" t="n">
        <x:v>1.203844</x:v>
      </x:c>
      <x:c r="D2278" s="23" t="n">
        <x:v>-17.97516</x:v>
      </x:c>
      <x:c r="E2278" s="23" t="n">
        <x:f>'Parameters'!$B$2*'Parameters'!$B$3*LN(4*PI()*C2278^2)</x:f>
        <x:v>7.194091426974046</x:v>
      </x:c>
      <x:c r="F2278" s="23" t="n">
        <x:f>D2278+E2278</x:f>
        <x:v>-10.781068573025953</x:v>
      </x:c>
      <x:c r="G2278" s="23" t="n">
        <x:f>AVERAGE($F$2344:$F$2368)</x:f>
        <x:v>-10.69722718587915</x:v>
      </x:c>
      <x:c r="H2278" s="24" t="n">
        <x:f>F2278-G2278</x:f>
        <x:v>-0.08384138714680311</x:v>
      </x:c>
    </x:row>
    <x:row r="2279">
      <x:c r="A2279" s="2" t="str">
        <x:v>LiLC-1</x:v>
      </x:c>
      <x:c r="B2279" s="4" t="str">
        <x:v>NaCl</x:v>
      </x:c>
      <x:c r="C2279" s="23" t="n">
        <x:v>1.216232</x:v>
      </x:c>
      <x:c r="D2279" s="23" t="n">
        <x:v>-17.93266</x:v>
      </x:c>
      <x:c r="E2279" s="23" t="n">
        <x:f>'Parameters'!$B$2*'Parameters'!$B$3*LN(4*PI()*C2279^2)</x:f>
        <x:v>7.244849482354569</x:v>
      </x:c>
      <x:c r="F2279" s="23" t="n">
        <x:f>D2279+E2279</x:f>
        <x:v>-10.68781051764543</x:v>
      </x:c>
      <x:c r="G2279" s="23" t="n">
        <x:f>AVERAGE($F$2344:$F$2368)</x:f>
        <x:v>-10.69722718587915</x:v>
      </x:c>
      <x:c r="H2279" s="24" t="n">
        <x:f>F2279-G2279</x:f>
        <x:v>0.00941666823372067</x:v>
      </x:c>
    </x:row>
    <x:row r="2280">
      <x:c r="A2280" s="2" t="str">
        <x:v>LiLC-1</x:v>
      </x:c>
      <x:c r="B2280" s="4" t="str">
        <x:v>NaCl</x:v>
      </x:c>
      <x:c r="C2280" s="23" t="n">
        <x:v>1.228619</x:v>
      </x:c>
      <x:c r="D2280" s="23" t="n">
        <x:v>-17.84376</x:v>
      </x:c>
      <x:c r="E2280" s="23" t="n">
        <x:f>'Parameters'!$B$2*'Parameters'!$B$3*LN(4*PI()*C2280^2)</x:f>
        <x:v>7.295089114101303</x:v>
      </x:c>
      <x:c r="F2280" s="23" t="n">
        <x:f>D2280+E2280</x:f>
        <x:v>-10.548670885898698</x:v>
      </x:c>
      <x:c r="G2280" s="23" t="n">
        <x:f>AVERAGE($F$2344:$F$2368)</x:f>
        <x:v>-10.69722718587915</x:v>
      </x:c>
      <x:c r="H2280" s="24" t="n">
        <x:f>F2280-G2280</x:f>
        <x:v>0.14855629998045217</x:v>
      </x:c>
    </x:row>
    <x:row r="2281">
      <x:c r="A2281" s="2" t="str">
        <x:v>LiLC-1</x:v>
      </x:c>
      <x:c r="B2281" s="4" t="str">
        <x:v>NaCl</x:v>
      </x:c>
      <x:c r="C2281" s="23" t="n">
        <x:v>1.241007</x:v>
      </x:c>
      <x:c r="D2281" s="23" t="n">
        <x:v>-17.96932</x:v>
      </x:c>
      <x:c r="E2281" s="23" t="n">
        <x:f>'Parameters'!$B$2*'Parameters'!$B$3*LN(4*PI()*C2281^2)</x:f>
        <x:v>7.34482875444013</x:v>
      </x:c>
      <x:c r="F2281" s="23" t="n">
        <x:f>D2281+E2281</x:f>
        <x:v>-10.62449124555987</x:v>
      </x:c>
      <x:c r="G2281" s="23" t="n">
        <x:f>AVERAGE($F$2344:$F$2368)</x:f>
        <x:v>-10.69722718587915</x:v>
      </x:c>
      <x:c r="H2281" s="24" t="n">
        <x:f>F2281-G2281</x:f>
        <x:v>0.07273594031927999</x:v>
      </x:c>
    </x:row>
    <x:row r="2282">
      <x:c r="A2282" s="2" t="str">
        <x:v>LiLC-1</x:v>
      </x:c>
      <x:c r="B2282" s="4" t="str">
        <x:v>NaCl</x:v>
      </x:c>
      <x:c r="C2282" s="23" t="n">
        <x:v>1.253395</x:v>
      </x:c>
      <x:c r="D2282" s="23" t="n">
        <x:v>-17.84328</x:v>
      </x:c>
      <x:c r="E2282" s="23" t="n">
        <x:f>'Parameters'!$B$2*'Parameters'!$B$3*LN(4*PI()*C2282^2)</x:f>
        <x:v>7.394074340615071</x:v>
      </x:c>
      <x:c r="F2282" s="23" t="n">
        <x:f>D2282+E2282</x:f>
        <x:v>-10.44920565938493</x:v>
      </x:c>
      <x:c r="G2282" s="23" t="n">
        <x:f>AVERAGE($F$2344:$F$2368)</x:f>
        <x:v>-10.69722718587915</x:v>
      </x:c>
      <x:c r="H2282" s="24" t="n">
        <x:f>F2282-G2282</x:f>
        <x:v>0.24802152649422027</x:v>
      </x:c>
    </x:row>
    <x:row r="2283">
      <x:c r="A2283" s="2" t="str">
        <x:v>LiLC-1</x:v>
      </x:c>
      <x:c r="B2283" s="4" t="str">
        <x:v>NaCl</x:v>
      </x:c>
      <x:c r="C2283" s="23" t="n">
        <x:v>1.265783</x:v>
      </x:c>
      <x:c r="D2283" s="23" t="n">
        <x:v>-18.08974</x:v>
      </x:c>
      <x:c r="E2283" s="23" t="n">
        <x:f>'Parameters'!$B$2*'Parameters'!$B$3*LN(4*PI()*C2283^2)</x:f>
        <x:v>7.442835590863528</x:v>
      </x:c>
      <x:c r="F2283" s="23" t="n">
        <x:f>D2283+E2283</x:f>
        <x:v>-10.646904409136472</x:v>
      </x:c>
      <x:c r="G2283" s="23" t="n">
        <x:f>AVERAGE($F$2344:$F$2368)</x:f>
        <x:v>-10.69722718587915</x:v>
      </x:c>
      <x:c r="H2283" s="24" t="n">
        <x:f>F2283-G2283</x:f>
        <x:v>0.0503227767426786</x:v>
      </x:c>
    </x:row>
    <x:row r="2284">
      <x:c r="A2284" s="2" t="str">
        <x:v>LiLC-1</x:v>
      </x:c>
      <x:c r="B2284" s="4" t="str">
        <x:v>NaCl</x:v>
      </x:c>
      <x:c r="C2284" s="23" t="n">
        <x:v>1.278171</x:v>
      </x:c>
      <x:c r="D2284" s="23" t="n">
        <x:v>-17.93104</x:v>
      </x:c>
      <x:c r="E2284" s="23" t="n">
        <x:f>'Parameters'!$B$2*'Parameters'!$B$3*LN(4*PI()*C2284^2)</x:f>
        <x:v>7.491121939471096</x:v>
      </x:c>
      <x:c r="F2284" s="23" t="n">
        <x:f>D2284+E2284</x:f>
        <x:v>-10.439918060528903</x:v>
      </x:c>
      <x:c r="G2284" s="23" t="n">
        <x:f>AVERAGE($F$2344:$F$2368)</x:f>
        <x:v>-10.69722718587915</x:v>
      </x:c>
      <x:c r="H2284" s="24" t="n">
        <x:f>F2284-G2284</x:f>
        <x:v>0.25730912535024686</x:v>
      </x:c>
    </x:row>
    <x:row r="2285">
      <x:c r="A2285" s="2" t="str">
        <x:v>LiLC-1</x:v>
      </x:c>
      <x:c r="B2285" s="4" t="str">
        <x:v>NaCl</x:v>
      </x:c>
      <x:c r="C2285" s="23" t="n">
        <x:v>1.290559</x:v>
      </x:c>
      <x:c r="D2285" s="23" t="n">
        <x:v>-18.14169</x:v>
      </x:c>
      <x:c r="E2285" s="23" t="n">
        <x:f>'Parameters'!$B$2*'Parameters'!$B$3*LN(4*PI()*C2285^2)</x:f>
        <x:v>7.538942547727128</x:v>
      </x:c>
      <x:c r="F2285" s="23" t="n">
        <x:f>D2285+E2285</x:f>
        <x:v>-10.602747452272872</x:v>
      </x:c>
      <x:c r="G2285" s="23" t="n">
        <x:f>AVERAGE($F$2344:$F$2368)</x:f>
        <x:v>-10.69722718587915</x:v>
      </x:c>
      <x:c r="H2285" s="24" t="n">
        <x:f>F2285-G2285</x:f>
        <x:v>0.0944797336062777</x:v>
      </x:c>
    </x:row>
    <x:row r="2286">
      <x:c r="A2286" s="2" t="str">
        <x:v>LiLC-1</x:v>
      </x:c>
      <x:c r="B2286" s="4" t="str">
        <x:v>NaCl</x:v>
      </x:c>
      <x:c r="C2286" s="23" t="n">
        <x:v>1.302946</x:v>
      </x:c>
      <x:c r="D2286" s="23" t="n">
        <x:v>-18.08319</x:v>
      </x:c>
      <x:c r="E2286" s="23" t="n">
        <x:f>'Parameters'!$B$2*'Parameters'!$B$3*LN(4*PI()*C2286^2)</x:f>
        <x:v>7.5863025092014515</x:v>
      </x:c>
      <x:c r="F2286" s="23" t="n">
        <x:f>D2286+E2286</x:f>
        <x:v>-10.496887490798546</x:v>
      </x:c>
      <x:c r="G2286" s="23" t="n">
        <x:f>AVERAGE($F$2344:$F$2368)</x:f>
        <x:v>-10.69722718587915</x:v>
      </x:c>
      <x:c r="H2286" s="24" t="n">
        <x:f>F2286-G2286</x:f>
        <x:v>0.20033969508060423</x:v>
      </x:c>
    </x:row>
    <x:row r="2287">
      <x:c r="A2287" s="2" t="str">
        <x:v>LiLC-1</x:v>
      </x:c>
      <x:c r="B2287" s="4" t="str">
        <x:v>NaCl</x:v>
      </x:c>
      <x:c r="C2287" s="23" t="n">
        <x:v>1.315334</x:v>
      </x:c>
      <x:c r="D2287" s="23" t="n">
        <x:v>-18.21804</x:v>
      </x:c>
      <x:c r="E2287" s="23" t="n">
        <x:f>'Parameters'!$B$2*'Parameters'!$B$3*LN(4*PI()*C2287^2)</x:f>
        <x:v>7.63321811614253</x:v>
      </x:c>
      <x:c r="F2287" s="23" t="n">
        <x:f>D2287+E2287</x:f>
        <x:v>-10.584821883857469</x:v>
      </x:c>
      <x:c r="G2287" s="23" t="n">
        <x:f>AVERAGE($F$2344:$F$2368)</x:f>
        <x:v>-10.69722718587915</x:v>
      </x:c>
      <x:c r="H2287" s="24" t="n">
        <x:f>F2287-G2287</x:f>
        <x:v>0.11240530202168131</x:v>
      </x:c>
    </x:row>
    <x:row r="2288">
      <x:c r="A2288" s="2" t="str">
        <x:v>LiLC-1</x:v>
      </x:c>
      <x:c r="B2288" s="4" t="str">
        <x:v>NaCl</x:v>
      </x:c>
      <x:c r="C2288" s="23" t="n">
        <x:v>1.327722</x:v>
      </x:c>
      <x:c r="D2288" s="23" t="n">
        <x:v>-18.22161</x:v>
      </x:c>
      <x:c r="E2288" s="23" t="n">
        <x:f>'Parameters'!$B$2*'Parameters'!$B$3*LN(4*PI()*C2288^2)</x:f>
        <x:v>7.679693929835991</x:v>
      </x:c>
      <x:c r="F2288" s="23" t="n">
        <x:f>D2288+E2288</x:f>
        <x:v>-10.541916070164007</x:v>
      </x:c>
      <x:c r="G2288" s="23" t="n">
        <x:f>AVERAGE($F$2344:$F$2368)</x:f>
        <x:v>-10.69722718587915</x:v>
      </x:c>
      <x:c r="H2288" s="24" t="n">
        <x:f>F2288-G2288</x:f>
        <x:v>0.15531111571514344</x:v>
      </x:c>
    </x:row>
    <x:row r="2289">
      <x:c r="A2289" s="2" t="str">
        <x:v>LiLC-1</x:v>
      </x:c>
      <x:c r="B2289" s="4" t="str">
        <x:v>NaCl</x:v>
      </x:c>
      <x:c r="C2289" s="23" t="n">
        <x:v>1.34011</x:v>
      </x:c>
      <x:c r="D2289" s="23" t="n">
        <x:v>-18.29503</x:v>
      </x:c>
      <x:c r="E2289" s="23" t="n">
        <x:f>'Parameters'!$B$2*'Parameters'!$B$3*LN(4*PI()*C2289^2)</x:f>
        <x:v>7.725738119128053</x:v>
      </x:c>
      <x:c r="F2289" s="23" t="n">
        <x:f>D2289+E2289</x:f>
        <x:v>-10.569291880871948</x:v>
      </x:c>
      <x:c r="G2289" s="23" t="n">
        <x:f>AVERAGE($F$2344:$F$2368)</x:f>
        <x:v>-10.69722718587915</x:v>
      </x:c>
      <x:c r="H2289" s="24" t="n">
        <x:f>F2289-G2289</x:f>
        <x:v>0.12793530500720252</x:v>
      </x:c>
    </x:row>
    <x:row r="2290">
      <x:c r="A2290" s="2" t="str">
        <x:v>LiLC-1</x:v>
      </x:c>
      <x:c r="B2290" s="4" t="str">
        <x:v>NaCl</x:v>
      </x:c>
      <x:c r="C2290" s="23" t="n">
        <x:v>1.352498</x:v>
      </x:c>
      <x:c r="D2290" s="23" t="n">
        <x:v>-18.32388</x:v>
      </x:c>
      <x:c r="E2290" s="23" t="n">
        <x:f>'Parameters'!$B$2*'Parameters'!$B$3*LN(4*PI()*C2290^2)</x:f>
        <x:v>7.77135862736186</x:v>
      </x:c>
      <x:c r="F2290" s="23" t="n">
        <x:f>D2290+E2290</x:f>
        <x:v>-10.55252137263814</x:v>
      </x:c>
      <x:c r="G2290" s="23" t="n">
        <x:f>AVERAGE($F$2344:$F$2368)</x:f>
        <x:v>-10.69722718587915</x:v>
      </x:c>
      <x:c r="H2290" s="24" t="n">
        <x:f>F2290-G2290</x:f>
        <x:v>0.14470581324101062</x:v>
      </x:c>
    </x:row>
    <x:row r="2291">
      <x:c r="A2291" s="2" t="str">
        <x:v>LiLC-1</x:v>
      </x:c>
      <x:c r="B2291" s="4" t="str">
        <x:v>NaCl</x:v>
      </x:c>
      <x:c r="C2291" s="23" t="n">
        <x:v>1.364886</x:v>
      </x:c>
      <x:c r="D2291" s="23" t="n">
        <x:v>-18.37092</x:v>
      </x:c>
      <x:c r="E2291" s="23" t="n">
        <x:f>'Parameters'!$B$2*'Parameters'!$B$3*LN(4*PI()*C2291^2)</x:f>
        <x:v>7.816563180601948</x:v>
      </x:c>
      <x:c r="F2291" s="23" t="n">
        <x:f>D2291+E2291</x:f>
        <x:v>-10.554356819398054</x:v>
      </x:c>
      <x:c r="G2291" s="23" t="n">
        <x:f>AVERAGE($F$2344:$F$2368)</x:f>
        <x:v>-10.69722718587915</x:v>
      </x:c>
      <x:c r="H2291" s="24" t="n">
        <x:f>F2291-G2291</x:f>
        <x:v>0.1428703664810964</x:v>
      </x:c>
    </x:row>
    <x:row r="2292">
      <x:c r="A2292" s="2" t="str">
        <x:v>LiLC-1</x:v>
      </x:c>
      <x:c r="B2292" s="4" t="str">
        <x:v>NaCl</x:v>
      </x:c>
      <x:c r="C2292" s="23" t="n">
        <x:v>1.377273</x:v>
      </x:c>
      <x:c r="D2292" s="23" t="n">
        <x:v>-18.35305</x:v>
      </x:c>
      <x:c r="E2292" s="23" t="n">
        <x:f>'Parameters'!$B$2*'Parameters'!$B$3*LN(4*PI()*C2292^2)</x:f>
        <x:v>7.861355695683595</x:v>
      </x:c>
      <x:c r="F2292" s="23" t="n">
        <x:f>D2292+E2292</x:f>
        <x:v>-10.491694304316404</x:v>
      </x:c>
      <x:c r="G2292" s="23" t="n">
        <x:f>AVERAGE($F$2344:$F$2368)</x:f>
        <x:v>-10.69722718587915</x:v>
      </x:c>
      <x:c r="H2292" s="24" t="n">
        <x:f>F2292-G2292</x:f>
        <x:v>0.20553288156274618</x:v>
      </x:c>
    </x:row>
    <x:row r="2293">
      <x:c r="A2293" s="2" t="str">
        <x:v>LiLC-1</x:v>
      </x:c>
      <x:c r="B2293" s="4" t="str">
        <x:v>NaCl</x:v>
      </x:c>
      <x:c r="C2293" s="23" t="n">
        <x:v>1.389661</x:v>
      </x:c>
      <x:c r="D2293" s="23" t="n">
        <x:v>-18.41909</x:v>
      </x:c>
      <x:c r="E2293" s="23" t="n">
        <x:f>'Parameters'!$B$2*'Parameters'!$B$3*LN(4*PI()*C2293^2)</x:f>
        <x:v>7.905750719018479</x:v>
      </x:c>
      <x:c r="F2293" s="23" t="n">
        <x:f>D2293+E2293</x:f>
        <x:v>-10.513339280981523</x:v>
      </x:c>
      <x:c r="G2293" s="23" t="n">
        <x:f>AVERAGE($F$2344:$F$2368)</x:f>
        <x:v>-10.69722718587915</x:v>
      </x:c>
      <x:c r="H2293" s="24" t="n">
        <x:f>F2293-G2293</x:f>
        <x:v>0.1838879048976274</x:v>
      </x:c>
    </x:row>
    <x:row r="2294">
      <x:c r="A2294" s="2" t="str">
        <x:v>LiLC-1</x:v>
      </x:c>
      <x:c r="B2294" s="4" t="str">
        <x:v>NaCl</x:v>
      </x:c>
      <x:c r="C2294" s="23" t="n">
        <x:v>1.402049</x:v>
      </x:c>
      <x:c r="D2294" s="23" t="n">
        <x:v>-18.34266</x:v>
      </x:c>
      <x:c r="E2294" s="23" t="n">
        <x:f>'Parameters'!$B$2*'Parameters'!$B$3*LN(4*PI()*C2294^2)</x:f>
        <x:v>7.949751738104354</x:v>
      </x:c>
      <x:c r="F2294" s="23" t="n">
        <x:f>D2294+E2294</x:f>
        <x:v>-10.392908261895645</x:v>
      </x:c>
      <x:c r="G2294" s="23" t="n">
        <x:f>AVERAGE($F$2344:$F$2368)</x:f>
        <x:v>-10.69722718587915</x:v>
      </x:c>
      <x:c r="H2294" s="24" t="n">
        <x:f>F2294-G2294</x:f>
        <x:v>0.30431892398350513</x:v>
      </x:c>
    </x:row>
    <x:row r="2295">
      <x:c r="A2295" s="2" t="str">
        <x:v>LiLC-1</x:v>
      </x:c>
      <x:c r="B2295" s="4" t="str">
        <x:v>NaCl</x:v>
      </x:c>
      <x:c r="C2295" s="23" t="n">
        <x:v>1.414437</x:v>
      </x:c>
      <x:c r="D2295" s="23" t="n">
        <x:v>-18.35194</x:v>
      </x:c>
      <x:c r="E2295" s="23" t="n">
        <x:f>'Parameters'!$B$2*'Parameters'!$B$3*LN(4*PI()*C2295^2)</x:f>
        <x:v>7.993365685011759</x:v>
      </x:c>
      <x:c r="F2295" s="23" t="n">
        <x:f>D2295+E2295</x:f>
        <x:v>-10.358574314988239</x:v>
      </x:c>
      <x:c r="G2295" s="23" t="n">
        <x:f>AVERAGE($F$2344:$F$2368)</x:f>
        <x:v>-10.69722718587915</x:v>
      </x:c>
      <x:c r="H2295" s="24" t="n">
        <x:f>F2295-G2295</x:f>
        <x:v>0.3386528708909111</x:v>
      </x:c>
    </x:row>
    <x:row r="2296">
      <x:c r="A2296" s="2" t="str">
        <x:v>LiLC-1</x:v>
      </x:c>
      <x:c r="B2296" s="4" t="str">
        <x:v>NaCl</x:v>
      </x:c>
      <x:c r="C2296" s="23" t="n">
        <x:v>1.426825</x:v>
      </x:c>
      <x:c r="D2296" s="23" t="n">
        <x:v>-18.37818</x:v>
      </x:c>
      <x:c r="E2296" s="23" t="n">
        <x:f>'Parameters'!$B$2*'Parameters'!$B$3*LN(4*PI()*C2296^2)</x:f>
        <x:v>8.036599310462183</x:v>
      </x:c>
      <x:c r="F2296" s="23" t="n">
        <x:f>D2296+E2296</x:f>
        <x:v>-10.341580689537818</x:v>
      </x:c>
      <x:c r="G2296" s="23" t="n">
        <x:f>AVERAGE($F$2344:$F$2368)</x:f>
        <x:v>-10.69722718587915</x:v>
      </x:c>
      <x:c r="H2296" s="24" t="n">
        <x:f>F2296-G2296</x:f>
        <x:v>0.3556464963413326</x:v>
      </x:c>
    </x:row>
    <x:row r="2297">
      <x:c r="A2297" s="2" t="str">
        <x:v>LiLC-1</x:v>
      </x:c>
      <x:c r="B2297" s="4" t="str">
        <x:v>NaCl</x:v>
      </x:c>
      <x:c r="C2297" s="23" t="n">
        <x:v>1.439213</x:v>
      </x:c>
      <x:c r="D2297" s="23" t="n">
        <x:v>-18.48875</x:v>
      </x:c>
      <x:c r="E2297" s="23" t="n">
        <x:f>'Parameters'!$B$2*'Parameters'!$B$3*LN(4*PI()*C2297^2)</x:f>
        <x:v>8.079459190099081</x:v>
      </x:c>
      <x:c r="F2297" s="23" t="n">
        <x:f>D2297+E2297</x:f>
        <x:v>-10.409290809900918</x:v>
      </x:c>
      <x:c r="G2297" s="23" t="n">
        <x:f>AVERAGE($F$2344:$F$2368)</x:f>
        <x:v>-10.69722718587915</x:v>
      </x:c>
      <x:c r="H2297" s="24" t="n">
        <x:f>F2297-G2297</x:f>
        <x:v>0.28793637597823185</x:v>
      </x:c>
    </x:row>
    <x:row r="2298">
      <x:c r="A2298" s="2" t="str">
        <x:v>LiLC-1</x:v>
      </x:c>
      <x:c r="B2298" s="4" t="str">
        <x:v>NaCl</x:v>
      </x:c>
      <x:c r="C2298" s="23" t="n">
        <x:v>1.451601</x:v>
      </x:c>
      <x:c r="D2298" s="23" t="n">
        <x:v>-18.50879</x:v>
      </x:c>
      <x:c r="E2298" s="23" t="n">
        <x:f>'Parameters'!$B$2*'Parameters'!$B$3*LN(4*PI()*C2298^2)</x:f>
        <x:v>8.121951730490157</x:v>
      </x:c>
      <x:c r="F2298" s="23" t="n">
        <x:f>D2298+E2298</x:f>
        <x:v>-10.386838269509845</x:v>
      </x:c>
      <x:c r="G2298" s="23" t="n">
        <x:f>AVERAGE($F$2344:$F$2368)</x:f>
        <x:v>-10.69722718587915</x:v>
      </x:c>
      <x:c r="H2298" s="24" t="n">
        <x:f>F2298-G2298</x:f>
        <x:v>0.31038891636930543</x:v>
      </x:c>
    </x:row>
    <x:row r="2299">
      <x:c r="A2299" s="2" t="str">
        <x:v>LiLC-1</x:v>
      </x:c>
      <x:c r="B2299" s="4" t="str">
        <x:v>NaCl</x:v>
      </x:c>
      <x:c r="C2299" s="23" t="n">
        <x:v>1.463988</x:v>
      </x:c>
      <x:c r="D2299" s="23" t="n">
        <x:v>-18.54545</x:v>
      </x:c>
      <x:c r="E2299" s="23" t="n">
        <x:f>'Parameters'!$B$2*'Parameters'!$B$3*LN(4*PI()*C2299^2)</x:f>
        <x:v>8.16407978829468</x:v>
      </x:c>
      <x:c r="F2299" s="23" t="n">
        <x:f>D2299+E2299</x:f>
        <x:v>-10.381370211705319</x:v>
      </x:c>
      <x:c r="G2299" s="23" t="n">
        <x:f>AVERAGE($F$2344:$F$2368)</x:f>
        <x:v>-10.69722718587915</x:v>
      </x:c>
      <x:c r="H2299" s="24" t="n">
        <x:f>F2299-G2299</x:f>
        <x:v>0.3158569741738315</x:v>
      </x:c>
    </x:row>
    <x:row r="2300">
      <x:c r="A2300" s="2" t="str">
        <x:v>LiLC-1</x:v>
      </x:c>
      <x:c r="B2300" s="4" t="str">
        <x:v>NaCl</x:v>
      </x:c>
      <x:c r="C2300" s="23" t="n">
        <x:v>1.476376</x:v>
      </x:c>
      <x:c r="D2300" s="23" t="n">
        <x:v>-18.57</x:v>
      </x:c>
      <x:c r="E2300" s="23" t="n">
        <x:f>'Parameters'!$B$2*'Parameters'!$B$3*LN(4*PI()*C2300^2)</x:f>
        <x:v>8.20585625050443</x:v>
      </x:c>
      <x:c r="F2300" s="23" t="n">
        <x:f>D2300+E2300</x:f>
        <x:v>-10.36414374949557</x:v>
      </x:c>
      <x:c r="G2300" s="23" t="n">
        <x:f>AVERAGE($F$2344:$F$2368)</x:f>
        <x:v>-10.69722718587915</x:v>
      </x:c>
      <x:c r="H2300" s="24" t="n">
        <x:f>F2300-G2300</x:f>
        <x:v>0.3330834363835802</x:v>
      </x:c>
    </x:row>
    <x:row r="2301">
      <x:c r="A2301" s="2" t="str">
        <x:v>LiLC-1</x:v>
      </x:c>
      <x:c r="B2301" s="4" t="str">
        <x:v>NaCl</x:v>
      </x:c>
      <x:c r="C2301" s="23" t="n">
        <x:v>1.488764</x:v>
      </x:c>
      <x:c r="D2301" s="23" t="n">
        <x:v>-18.5687</x:v>
      </x:c>
      <x:c r="E2301" s="23" t="n">
        <x:f>'Parameters'!$B$2*'Parameters'!$B$3*LN(4*PI()*C2301^2)</x:f>
        <x:v>8.247283634517878</x:v>
      </x:c>
      <x:c r="F2301" s="23" t="n">
        <x:f>D2301+E2301</x:f>
        <x:v>-10.321416365482122</x:v>
      </x:c>
      <x:c r="G2301" s="23" t="n">
        <x:f>AVERAGE($F$2344:$F$2368)</x:f>
        <x:v>-10.69722718587915</x:v>
      </x:c>
      <x:c r="H2301" s="24" t="n">
        <x:f>F2301-G2301</x:f>
        <x:v>0.37581082039702807</x:v>
      </x:c>
    </x:row>
    <x:row r="2302">
      <x:c r="A2302" s="2" t="str">
        <x:v>LiLC-1</x:v>
      </x:c>
      <x:c r="B2302" s="4" t="str">
        <x:v>NaCl</x:v>
      </x:c>
      <x:c r="C2302" s="23" t="n">
        <x:v>1.501152</x:v>
      </x:c>
      <x:c r="D2302" s="23" t="n">
        <x:v>-18.57292</x:v>
      </x:c>
      <x:c r="E2302" s="23" t="n">
        <x:f>'Parameters'!$B$2*'Parameters'!$B$3*LN(4*PI()*C2302^2)</x:f>
        <x:v>8.288367725722376</x:v>
      </x:c>
      <x:c r="F2302" s="23" t="n">
        <x:f>D2302+E2302</x:f>
        <x:v>-10.284552274277624</x:v>
      </x:c>
      <x:c r="G2302" s="23" t="n">
        <x:f>AVERAGE($F$2344:$F$2368)</x:f>
        <x:v>-10.69722718587915</x:v>
      </x:c>
      <x:c r="H2302" s="24" t="n">
        <x:f>F2302-G2302</x:f>
        <x:v>0.4126749116015258</x:v>
      </x:c>
    </x:row>
    <x:row r="2303">
      <x:c r="A2303" s="2" t="str">
        <x:v>LiLC-1</x:v>
      </x:c>
      <x:c r="B2303" s="4" t="str">
        <x:v>NaCl</x:v>
      </x:c>
      <x:c r="C2303" s="23" t="n">
        <x:v>1.51354</x:v>
      </x:c>
      <x:c r="D2303" s="23" t="n">
        <x:v>-18.65592</x:v>
      </x:c>
      <x:c r="E2303" s="23" t="n">
        <x:f>'Parameters'!$B$2*'Parameters'!$B$3*LN(4*PI()*C2303^2)</x:f>
        <x:v>8.329114166861828</x:v>
      </x:c>
      <x:c r="F2303" s="23" t="n">
        <x:f>D2303+E2303</x:f>
        <x:v>-10.32680583313817</x:v>
      </x:c>
      <x:c r="G2303" s="23" t="n">
        <x:f>AVERAGE($F$2344:$F$2368)</x:f>
        <x:v>-10.69722718587915</x:v>
      </x:c>
      <x:c r="H2303" s="24" t="n">
        <x:f>F2303-G2303</x:f>
        <x:v>0.37042135274097987</x:v>
      </x:c>
    </x:row>
    <x:row r="2304">
      <x:c r="A2304" s="2" t="str">
        <x:v>LiLC-1</x:v>
      </x:c>
      <x:c r="B2304" s="4" t="str">
        <x:v>NaCl</x:v>
      </x:c>
      <x:c r="C2304" s="23" t="n">
        <x:v>1.525928</x:v>
      </x:c>
      <x:c r="D2304" s="23" t="n">
        <x:v>-18.60974</x:v>
      </x:c>
      <x:c r="E2304" s="23" t="n">
        <x:f>'Parameters'!$B$2*'Parameters'!$B$3*LN(4*PI()*C2304^2)</x:f>
        <x:v>8.369528462687809</x:v>
      </x:c>
      <x:c r="F2304" s="23" t="n">
        <x:f>D2304+E2304</x:f>
        <x:v>-10.24021153731219</x:v>
      </x:c>
      <x:c r="G2304" s="23" t="n">
        <x:f>AVERAGE($F$2344:$F$2368)</x:f>
        <x:v>-10.69722718587915</x:v>
      </x:c>
      <x:c r="H2304" s="24" t="n">
        <x:f>F2304-G2304</x:f>
        <x:v>0.4570156485669603</x:v>
      </x:c>
    </x:row>
    <x:row r="2305">
      <x:c r="A2305" s="2" t="str">
        <x:v>LiLC-1</x:v>
      </x:c>
      <x:c r="B2305" s="4" t="str">
        <x:v>NaCl</x:v>
      </x:c>
      <x:c r="C2305" s="23" t="n">
        <x:v>1.538315</x:v>
      </x:c>
      <x:c r="D2305" s="23" t="n">
        <x:v>-18.5995</x:v>
      </x:c>
      <x:c r="E2305" s="23" t="n">
        <x:f>'Parameters'!$B$2*'Parameters'!$B$3*LN(4*PI()*C2305^2)</x:f>
        <x:v>8.409612761472566</x:v>
      </x:c>
      <x:c r="F2305" s="23" t="n">
        <x:f>D2305+E2305</x:f>
        <x:v>-10.189887238527433</x:v>
      </x:c>
      <x:c r="G2305" s="23" t="n">
        <x:f>AVERAGE($F$2344:$F$2368)</x:f>
        <x:v>-10.69722718587915</x:v>
      </x:c>
      <x:c r="H2305" s="24" t="n">
        <x:f>F2305-G2305</x:f>
        <x:v>0.5073399473517171</x:v>
      </x:c>
    </x:row>
    <x:row r="2306">
      <x:c r="A2306" s="2" t="str">
        <x:v>LiLC-1</x:v>
      </x:c>
      <x:c r="B2306" s="4" t="str">
        <x:v>NaCl</x:v>
      </x:c>
      <x:c r="C2306" s="23" t="n">
        <x:v>1.550703</x:v>
      </x:c>
      <x:c r="D2306" s="23" t="n">
        <x:v>-18.7554</x:v>
      </x:c>
      <x:c r="E2306" s="23" t="n">
        <x:f>'Parameters'!$B$2*'Parameters'!$B$3*LN(4*PI()*C2306^2)</x:f>
        <x:v>8.449378776840378</x:v>
      </x:c>
      <x:c r="F2306" s="23" t="n">
        <x:f>D2306+E2306</x:f>
        <x:v>-10.306021223159624</x:v>
      </x:c>
      <x:c r="G2306" s="23" t="n">
        <x:f>AVERAGE($F$2344:$F$2368)</x:f>
        <x:v>-10.69722718587915</x:v>
      </x:c>
      <x:c r="H2306" s="24" t="n">
        <x:f>F2306-G2306</x:f>
        <x:v>0.39120596271952657</x:v>
      </x:c>
    </x:row>
    <x:row r="2307">
      <x:c r="A2307" s="2" t="str">
        <x:v>LiLC-1</x:v>
      </x:c>
      <x:c r="B2307" s="4" t="str">
        <x:v>NaCl</x:v>
      </x:c>
      <x:c r="C2307" s="23" t="n">
        <x:v>1.563091</x:v>
      </x:c>
      <x:c r="D2307" s="23" t="n">
        <x:v>-18.66018</x:v>
      </x:c>
      <x:c r="E2307" s="23" t="n">
        <x:f>'Parameters'!$B$2*'Parameters'!$B$3*LN(4*PI()*C2307^2)</x:f>
        <x:v>8.488828376531758</x:v>
      </x:c>
      <x:c r="F2307" s="23" t="n">
        <x:f>D2307+E2307</x:f>
        <x:v>-10.171351623468242</x:v>
      </x:c>
      <x:c r="G2307" s="23" t="n">
        <x:f>AVERAGE($F$2344:$F$2368)</x:f>
        <x:v>-10.69722718587915</x:v>
      </x:c>
      <x:c r="H2307" s="24" t="n">
        <x:f>F2307-G2307</x:f>
        <x:v>0.5258755624109082</x:v>
      </x:c>
    </x:row>
    <x:row r="2308">
      <x:c r="A2308" s="2" t="str">
        <x:v>LiLC-1</x:v>
      </x:c>
      <x:c r="B2308" s="4" t="str">
        <x:v>NaCl</x:v>
      </x:c>
      <x:c r="C2308" s="23" t="n">
        <x:v>1.575479</x:v>
      </x:c>
      <x:c r="D2308" s="23" t="n">
        <x:v>-18.86013</x:v>
      </x:c>
      <x:c r="E2308" s="23" t="n">
        <x:f>'Parameters'!$B$2*'Parameters'!$B$3*LN(4*PI()*C2308^2)</x:f>
        <x:v>8.527966556221745</x:v>
      </x:c>
      <x:c r="F2308" s="23" t="n">
        <x:f>D2308+E2308</x:f>
        <x:v>-10.332163443778256</x:v>
      </x:c>
      <x:c r="G2308" s="23" t="n">
        <x:f>AVERAGE($F$2344:$F$2368)</x:f>
        <x:v>-10.69722718587915</x:v>
      </x:c>
      <x:c r="H2308" s="24" t="n">
        <x:f>F2308-G2308</x:f>
        <x:v>0.36506374210089376</x:v>
      </x:c>
    </x:row>
    <x:row r="2309">
      <x:c r="A2309" s="2" t="str">
        <x:v>LiLC-1</x:v>
      </x:c>
      <x:c r="B2309" s="4" t="str">
        <x:v>NaCl</x:v>
      </x:c>
      <x:c r="C2309" s="23" t="n">
        <x:v>1.587867</x:v>
      </x:c>
      <x:c r="D2309" s="23" t="n">
        <x:v>-18.82388</x:v>
      </x:c>
      <x:c r="E2309" s="23" t="n">
        <x:f>'Parameters'!$B$2*'Parameters'!$B$3*LN(4*PI()*C2309^2)</x:f>
        <x:v>8.566798194201377</x:v>
      </x:c>
      <x:c r="F2309" s="23" t="n">
        <x:f>D2309+E2309</x:f>
        <x:v>-10.257081805798622</x:v>
      </x:c>
      <x:c r="G2309" s="23" t="n">
        <x:f>AVERAGE($F$2344:$F$2368)</x:f>
        <x:v>-10.69722718587915</x:v>
      </x:c>
      <x:c r="H2309" s="24" t="n">
        <x:f>F2309-G2309</x:f>
        <x:v>0.44014538008052817</x:v>
      </x:c>
    </x:row>
    <x:row r="2310">
      <x:c r="A2310" s="2" t="str">
        <x:v>LiLC-1</x:v>
      </x:c>
      <x:c r="B2310" s="4" t="str">
        <x:v>NaCl</x:v>
      </x:c>
      <x:c r="C2310" s="23" t="n">
        <x:v>1.600255</x:v>
      </x:c>
      <x:c r="D2310" s="23" t="n">
        <x:v>-18.83828</x:v>
      </x:c>
      <x:c r="E2310" s="23" t="n">
        <x:f>'Parameters'!$B$2*'Parameters'!$B$3*LN(4*PI()*C2310^2)</x:f>
        <x:v>8.605328055026714</x:v>
      </x:c>
      <x:c r="F2310" s="23" t="n">
        <x:f>D2310+E2310</x:f>
        <x:v>-10.232951944973287</x:v>
      </x:c>
      <x:c r="G2310" s="23" t="n">
        <x:f>AVERAGE($F$2344:$F$2368)</x:f>
        <x:v>-10.69722718587915</x:v>
      </x:c>
      <x:c r="H2310" s="24" t="n">
        <x:f>F2310-G2310</x:f>
        <x:v>0.46427524090586303</x:v>
      </x:c>
    </x:row>
    <x:row r="2311">
      <x:c r="A2311" s="2" t="str">
        <x:v>LiLC-1</x:v>
      </x:c>
      <x:c r="B2311" s="4" t="str">
        <x:v>NaCl</x:v>
      </x:c>
      <x:c r="C2311" s="23" t="n">
        <x:v>1.612642</x:v>
      </x:c>
      <x:c r="D2311" s="23" t="n">
        <x:v>-18.76643</x:v>
      </x:c>
      <x:c r="E2311" s="23" t="n">
        <x:f>'Parameters'!$B$2*'Parameters'!$B$3*LN(4*PI()*C2311^2)</x:f>
        <x:v>8.643557718623454</x:v>
      </x:c>
      <x:c r="F2311" s="23" t="n">
        <x:f>D2311+E2311</x:f>
        <x:v>-10.122872281376546</x:v>
      </x:c>
      <x:c r="G2311" s="23" t="n">
        <x:f>AVERAGE($F$2344:$F$2368)</x:f>
        <x:v>-10.69722718587915</x:v>
      </x:c>
      <x:c r="H2311" s="24" t="n">
        <x:f>F2311-G2311</x:f>
        <x:v>0.574354904502604</x:v>
      </x:c>
    </x:row>
    <x:row r="2312">
      <x:c r="A2312" s="2" t="str">
        <x:v>LiLC-1</x:v>
      </x:c>
      <x:c r="B2312" s="4" t="str">
        <x:v>NaCl</x:v>
      </x:c>
      <x:c r="C2312" s="23" t="n">
        <x:v>1.62503</x:v>
      </x:c>
      <x:c r="D2312" s="23" t="n">
        <x:v>-18.88782</x:v>
      </x:c>
      <x:c r="E2312" s="23" t="n">
        <x:f>'Parameters'!$B$2*'Parameters'!$B$3*LN(4*PI()*C2312^2)</x:f>
        <x:v>8.681497904712716</x:v>
      </x:c>
      <x:c r="F2312" s="23" t="n">
        <x:f>D2312+E2312</x:f>
        <x:v>-10.206322095287286</x:v>
      </x:c>
      <x:c r="G2312" s="23" t="n">
        <x:f>AVERAGE($F$2344:$F$2368)</x:f>
        <x:v>-10.69722718587915</x:v>
      </x:c>
      <x:c r="H2312" s="24" t="n">
        <x:f>F2312-G2312</x:f>
        <x:v>0.4909050905918644</x:v>
      </x:c>
    </x:row>
    <x:row r="2313">
      <x:c r="A2313" s="2" t="str">
        <x:v>LiLC-1</x:v>
      </x:c>
      <x:c r="B2313" s="4" t="str">
        <x:v>NaCl</x:v>
      </x:c>
      <x:c r="C2313" s="23" t="n">
        <x:v>1.637418</x:v>
      </x:c>
      <x:c r="D2313" s="23" t="n">
        <x:v>-18.86253</x:v>
      </x:c>
      <x:c r="E2313" s="23" t="n">
        <x:f>'Parameters'!$B$2*'Parameters'!$B$3*LN(4*PI()*C2313^2)</x:f>
        <x:v>8.719149958969446</x:v>
      </x:c>
      <x:c r="F2313" s="23" t="n">
        <x:f>D2313+E2313</x:f>
        <x:v>-10.143380041030554</x:v>
      </x:c>
      <x:c r="G2313" s="23" t="n">
        <x:f>AVERAGE($F$2344:$F$2368)</x:f>
        <x:v>-10.69722718587915</x:v>
      </x:c>
      <x:c r="H2313" s="24" t="n">
        <x:f>F2313-G2313</x:f>
        <x:v>0.5538471448485964</x:v>
      </x:c>
    </x:row>
    <x:row r="2314">
      <x:c r="A2314" s="2" t="str">
        <x:v>LiLC-1</x:v>
      </x:c>
      <x:c r="B2314" s="4" t="str">
        <x:v>NaCl</x:v>
      </x:c>
      <x:c r="C2314" s="23" t="n">
        <x:v>1.649806</x:v>
      </x:c>
      <x:c r="D2314" s="23" t="n">
        <x:v>-19.04136</x:v>
      </x:c>
      <x:c r="E2314" s="23" t="n">
        <x:f>'Parameters'!$B$2*'Parameters'!$B$3*LN(4*PI()*C2314^2)</x:f>
        <x:v>8.756518224788824</x:v>
      </x:c>
      <x:c r="F2314" s="23" t="n">
        <x:f>D2314+E2314</x:f>
        <x:v>-10.284841775211177</x:v>
      </x:c>
      <x:c r="G2314" s="23" t="n">
        <x:f>AVERAGE($F$2344:$F$2368)</x:f>
        <x:v>-10.69722718587915</x:v>
      </x:c>
      <x:c r="H2314" s="24" t="n">
        <x:f>F2314-G2314</x:f>
        <x:v>0.41238541066797296</x:v>
      </x:c>
    </x:row>
    <x:row r="2315">
      <x:c r="A2315" s="2" t="str">
        <x:v>LiLC-1</x:v>
      </x:c>
      <x:c r="B2315" s="4" t="str">
        <x:v>NaCl</x:v>
      </x:c>
      <x:c r="C2315" s="23" t="n">
        <x:v>1.662194</x:v>
      </x:c>
      <x:c r="D2315" s="23" t="n">
        <x:v>-19.00139</x:v>
      </x:c>
      <x:c r="E2315" s="23" t="n">
        <x:f>'Parameters'!$B$2*'Parameters'!$B$3*LN(4*PI()*C2315^2)</x:f>
        <x:v>8.793606948089593</x:v>
      </x:c>
      <x:c r="F2315" s="23" t="n">
        <x:f>D2315+E2315</x:f>
        <x:v>-10.207783051910408</x:v>
      </x:c>
      <x:c r="G2315" s="23" t="n">
        <x:f>AVERAGE($F$2344:$F$2368)</x:f>
        <x:v>-10.69722718587915</x:v>
      </x:c>
      <x:c r="H2315" s="24" t="n">
        <x:f>F2315-G2315</x:f>
        <x:v>0.48944413396874253</x:v>
      </x:c>
    </x:row>
    <x:row r="2316">
      <x:c r="A2316" s="2" t="str">
        <x:v>LiLC-1</x:v>
      </x:c>
      <x:c r="B2316" s="4" t="str">
        <x:v>NaCl</x:v>
      </x:c>
      <x:c r="C2316" s="23" t="n">
        <x:v>1.674582</x:v>
      </x:c>
      <x:c r="D2316" s="23" t="n">
        <x:v>-19.12983</x:v>
      </x:c>
      <x:c r="E2316" s="23" t="n">
        <x:f>'Parameters'!$B$2*'Parameters'!$B$3*LN(4*PI()*C2316^2)</x:f>
        <x:v>8.830420280209227</x:v>
      </x:c>
      <x:c r="F2316" s="23" t="n">
        <x:f>D2316+E2316</x:f>
        <x:v>-10.299409719790772</x:v>
      </x:c>
      <x:c r="G2316" s="23" t="n">
        <x:f>AVERAGE($F$2344:$F$2368)</x:f>
        <x:v>-10.69722718587915</x:v>
      </x:c>
      <x:c r="H2316" s="24" t="n">
        <x:f>F2316-G2316</x:f>
        <x:v>0.3978174660883784</x:v>
      </x:c>
    </x:row>
    <x:row r="2317">
      <x:c r="A2317" s="2" t="str">
        <x:v>LiLC-1</x:v>
      </x:c>
      <x:c r="B2317" s="4" t="str">
        <x:v>NaCl</x:v>
      </x:c>
      <x:c r="C2317" s="23" t="n">
        <x:v>1.686969</x:v>
      </x:c>
      <x:c r="D2317" s="23" t="n">
        <x:v>-19.02138</x:v>
      </x:c>
      <x:c r="E2317" s="23" t="n">
        <x:f>'Parameters'!$B$2*'Parameters'!$B$3*LN(4*PI()*C2317^2)</x:f>
        <x:v>8.86695934174533</x:v>
      </x:c>
      <x:c r="F2317" s="23" t="n">
        <x:f>D2317+E2317</x:f>
        <x:v>-10.15442065825467</x:v>
      </x:c>
      <x:c r="G2317" s="23" t="n">
        <x:f>AVERAGE($F$2344:$F$2368)</x:f>
        <x:v>-10.69722718587915</x:v>
      </x:c>
      <x:c r="H2317" s="24" t="n">
        <x:f>F2317-G2317</x:f>
        <x:v>0.5428065276244798</x:v>
      </x:c>
    </x:row>
    <x:row r="2318">
      <x:c r="A2318" s="2" t="str">
        <x:v>LiLC-1</x:v>
      </x:c>
      <x:c r="B2318" s="4" t="str">
        <x:v>NaCl</x:v>
      </x:c>
      <x:c r="C2318" s="23" t="n">
        <x:v>1.699357</x:v>
      </x:c>
      <x:c r="D2318" s="23" t="n">
        <x:v>-19.06255</x:v>
      </x:c>
      <x:c r="E2318" s="23" t="n">
        <x:f>'Parameters'!$B$2*'Parameters'!$B$3*LN(4*PI()*C2318^2)</x:f>
        <x:v>8.90323400245475</x:v>
      </x:c>
      <x:c r="F2318" s="23" t="n">
        <x:f>D2318+E2318</x:f>
        <x:v>-10.159315997545251</x:v>
      </x:c>
      <x:c r="G2318" s="23" t="n">
        <x:f>AVERAGE($F$2344:$F$2368)</x:f>
        <x:v>-10.69722718587915</x:v>
      </x:c>
      <x:c r="H2318" s="24" t="n">
        <x:f>F2318-G2318</x:f>
        <x:v>0.537911188333899</x:v>
      </x:c>
    </x:row>
    <x:row r="2319">
      <x:c r="A2319" s="2" t="str">
        <x:v>LiLC-1</x:v>
      </x:c>
      <x:c r="B2319" s="4" t="str">
        <x:v>NaCl</x:v>
      </x:c>
      <x:c r="C2319" s="23" t="n">
        <x:v>1.711745</x:v>
      </x:c>
      <x:c r="D2319" s="23" t="n">
        <x:v>-19.11611</x:v>
      </x:c>
      <x:c r="E2319" s="23" t="n">
        <x:f>'Parameters'!$B$2*'Parameters'!$B$3*LN(4*PI()*C2319^2)</x:f>
        <x:v>8.939245185576844</x:v>
      </x:c>
      <x:c r="F2319" s="23" t="n">
        <x:f>D2319+E2319</x:f>
        <x:v>-10.176864814423155</x:v>
      </x:c>
      <x:c r="G2319" s="23" t="n">
        <x:f>AVERAGE($F$2344:$F$2368)</x:f>
        <x:v>-10.69722718587915</x:v>
      </x:c>
      <x:c r="H2319" s="24" t="n">
        <x:f>F2319-G2319</x:f>
        <x:v>0.5203623714559953</x:v>
      </x:c>
    </x:row>
    <x:row r="2320">
      <x:c r="A2320" s="2" t="str">
        <x:v>LiLC-1</x:v>
      </x:c>
      <x:c r="B2320" s="4" t="str">
        <x:v>NaCl</x:v>
      </x:c>
      <x:c r="C2320" s="23" t="n">
        <x:v>1.724133</x:v>
      </x:c>
      <x:c r="D2320" s="23" t="n">
        <x:v>-19.09164</x:v>
      </x:c>
      <x:c r="E2320" s="23" t="n">
        <x:f>'Parameters'!$B$2*'Parameters'!$B$3*LN(4*PI()*C2320^2)</x:f>
        <x:v>8.974996691017301</x:v>
      </x:c>
      <x:c r="F2320" s="23" t="n">
        <x:f>D2320+E2320</x:f>
        <x:v>-10.1166433089827</x:v>
      </x:c>
      <x:c r="G2320" s="23" t="n">
        <x:f>AVERAGE($F$2344:$F$2368)</x:f>
        <x:v>-10.69722718587915</x:v>
      </x:c>
      <x:c r="H2320" s="24" t="n">
        <x:f>F2320-G2320</x:f>
        <x:v>0.5805838768964495</x:v>
      </x:c>
    </x:row>
    <x:row r="2321">
      <x:c r="A2321" s="2" t="str">
        <x:v>LiLC-1</x:v>
      </x:c>
      <x:c r="B2321" s="4" t="str">
        <x:v>NaCl</x:v>
      </x:c>
      <x:c r="C2321" s="23" t="n">
        <x:v>1.736521</x:v>
      </x:c>
      <x:c r="D2321" s="23" t="n">
        <x:v>-19.22952</x:v>
      </x:c>
      <x:c r="E2321" s="23" t="n">
        <x:f>'Parameters'!$B$2*'Parameters'!$B$3*LN(4*PI()*C2321^2)</x:f>
        <x:v>9.01049223706595</x:v>
      </x:c>
      <x:c r="F2321" s="23" t="n">
        <x:f>D2321+E2321</x:f>
        <x:v>-10.21902776293405</x:v>
      </x:c>
      <x:c r="G2321" s="23" t="n">
        <x:f>AVERAGE($F$2344:$F$2368)</x:f>
        <x:v>-10.69722718587915</x:v>
      </x:c>
      <x:c r="H2321" s="24" t="n">
        <x:f>F2321-G2321</x:f>
        <x:v>0.47819942294509943</x:v>
      </x:c>
    </x:row>
    <x:row r="2322">
      <x:c r="A2322" s="2" t="str">
        <x:v>LiLC-1</x:v>
      </x:c>
      <x:c r="B2322" s="4" t="str">
        <x:v>NaCl</x:v>
      </x:c>
      <x:c r="C2322" s="23" t="n">
        <x:v>1.748909</x:v>
      </x:c>
      <x:c r="D2322" s="23" t="n">
        <x:v>-19.25344</x:v>
      </x:c>
      <x:c r="E2322" s="23" t="n">
        <x:f>'Parameters'!$B$2*'Parameters'!$B$3*LN(4*PI()*C2322^2)</x:f>
        <x:v>9.04573546271745</x:v>
      </x:c>
      <x:c r="F2322" s="23" t="n">
        <x:f>D2322+E2322</x:f>
        <x:v>-10.20770453728255</x:v>
      </x:c>
      <x:c r="G2322" s="23" t="n">
        <x:f>AVERAGE($F$2344:$F$2368)</x:f>
        <x:v>-10.69722718587915</x:v>
      </x:c>
      <x:c r="H2322" s="24" t="n">
        <x:f>F2322-G2322</x:f>
        <x:v>0.48952264859659955</x:v>
      </x:c>
    </x:row>
    <x:row r="2323">
      <x:c r="A2323" s="2" t="str">
        <x:v>LiLC-1</x:v>
      </x:c>
      <x:c r="B2323" s="4" t="str">
        <x:v>NaCl</x:v>
      </x:c>
      <x:c r="C2323" s="23" t="n">
        <x:v>1.761297</x:v>
      </x:c>
      <x:c r="D2323" s="23" t="n">
        <x:v>-19.51957</x:v>
      </x:c>
      <x:c r="E2323" s="23" t="n">
        <x:f>'Parameters'!$B$2*'Parameters'!$B$3*LN(4*PI()*C2323^2)</x:f>
        <x:v>9.080729929910094</x:v>
      </x:c>
      <x:c r="F2323" s="23" t="n">
        <x:f>D2323+E2323</x:f>
        <x:v>-10.438840070089908</x:v>
      </x:c>
      <x:c r="G2323" s="23" t="n">
        <x:f>AVERAGE($F$2344:$F$2368)</x:f>
        <x:v>-10.69722718587915</x:v>
      </x:c>
      <x:c r="H2323" s="24" t="n">
        <x:f>F2323-G2323</x:f>
        <x:v>0.2583871157892421</x:v>
      </x:c>
    </x:row>
    <x:row r="2324">
      <x:c r="A2324" s="2" t="str">
        <x:v>LiLC-1</x:v>
      </x:c>
      <x:c r="B2324" s="4" t="str">
        <x:v>NaCl</x:v>
      </x:c>
      <x:c r="C2324" s="23" t="n">
        <x:v>1.773684</x:v>
      </x:c>
      <x:c r="D2324" s="23" t="n">
        <x:v>-19.47406</x:v>
      </x:c>
      <x:c r="E2324" s="23" t="n">
        <x:f>'Parameters'!$B$2*'Parameters'!$B$3*LN(4*PI()*C2324^2)</x:f>
        <x:v>9.115476330423471</x:v>
      </x:c>
      <x:c r="F2324" s="23" t="n">
        <x:f>D2324+E2324</x:f>
        <x:v>-10.35858366957653</x:v>
      </x:c>
      <x:c r="G2324" s="23" t="n">
        <x:f>AVERAGE($F$2344:$F$2368)</x:f>
        <x:v>-10.69722718587915</x:v>
      </x:c>
      <x:c r="H2324" s="24" t="n">
        <x:f>F2324-G2324</x:f>
        <x:v>0.3386435163026196</x:v>
      </x:c>
    </x:row>
    <x:row r="2325">
      <x:c r="A2325" s="2" t="str">
        <x:v>LiLC-1</x:v>
      </x:c>
      <x:c r="B2325" s="4" t="str">
        <x:v>NaCl</x:v>
      </x:c>
      <x:c r="C2325" s="23" t="n">
        <x:v>1.786072</x:v>
      </x:c>
      <x:c r="D2325" s="23" t="n">
        <x:v>-19.55793</x:v>
      </x:c>
      <x:c r="E2325" s="23" t="n">
        <x:f>'Parameters'!$B$2*'Parameters'!$B$3*LN(4*PI()*C2325^2)</x:f>
        <x:v>9.149983688401916</x:v>
      </x:c>
      <x:c r="F2325" s="23" t="n">
        <x:f>D2325+E2325</x:f>
        <x:v>-10.407946311598083</x:v>
      </x:c>
      <x:c r="G2325" s="23" t="n">
        <x:f>AVERAGE($F$2344:$F$2368)</x:f>
        <x:v>-10.69722718587915</x:v>
      </x:c>
      <x:c r="H2325" s="24" t="n">
        <x:f>F2325-G2325</x:f>
        <x:v>0.28928087428106686</x:v>
      </x:c>
    </x:row>
    <x:row r="2326">
      <x:c r="A2326" s="2" t="str">
        <x:v>LiLC-1</x:v>
      </x:c>
      <x:c r="B2326" s="4" t="str">
        <x:v>NaCl</x:v>
      </x:c>
      <x:c r="C2326" s="23" t="n">
        <x:v>1.79846</x:v>
      </x:c>
      <x:c r="D2326" s="23" t="n">
        <x:v>-19.63537</x:v>
      </x:c>
      <x:c r="E2326" s="23" t="n">
        <x:f>'Parameters'!$B$2*'Parameters'!$B$3*LN(4*PI()*C2326^2)</x:f>
        <x:v>9.18425253236164</x:v>
      </x:c>
      <x:c r="F2326" s="23" t="n">
        <x:f>D2326+E2326</x:f>
        <x:v>-10.451117467638362</x:v>
      </x:c>
      <x:c r="G2326" s="23" t="n">
        <x:f>AVERAGE($F$2344:$F$2368)</x:f>
        <x:v>-10.69722718587915</x:v>
      </x:c>
      <x:c r="H2326" s="24" t="n">
        <x:f>F2326-G2326</x:f>
        <x:v>0.2461097182407883</x:v>
      </x:c>
    </x:row>
    <x:row r="2327">
      <x:c r="A2327" s="2" t="str">
        <x:v>LiLC-1</x:v>
      </x:c>
      <x:c r="B2327" s="4" t="str">
        <x:v>NaCl</x:v>
      </x:c>
      <x:c r="C2327" s="23" t="n">
        <x:v>1.810848</x:v>
      </x:c>
      <x:c r="D2327" s="23" t="n">
        <x:v>-19.78702</x:v>
      </x:c>
      <x:c r="E2327" s="23" t="n">
        <x:f>'Parameters'!$B$2*'Parameters'!$B$3*LN(4*PI()*C2327^2)</x:f>
        <x:v>9.218286136887922</x:v>
      </x:c>
      <x:c r="F2327" s="23" t="n">
        <x:f>D2327+E2327</x:f>
        <x:v>-10.568733863112076</x:v>
      </x:c>
      <x:c r="G2327" s="23" t="n">
        <x:f>AVERAGE($F$2344:$F$2368)</x:f>
        <x:v>-10.69722718587915</x:v>
      </x:c>
      <x:c r="H2327" s="24" t="n">
        <x:f>F2327-G2327</x:f>
        <x:v>0.12849332276707415</x:v>
      </x:c>
    </x:row>
    <x:row r="2328">
      <x:c r="A2328" s="2" t="str">
        <x:v>LiLC-1</x:v>
      </x:c>
      <x:c r="B2328" s="4" t="str">
        <x:v>NaCl</x:v>
      </x:c>
      <x:c r="C2328" s="23" t="n">
        <x:v>1.823236</x:v>
      </x:c>
      <x:c r="D2328" s="23" t="n">
        <x:v>-19.79636</x:v>
      </x:c>
      <x:c r="E2328" s="23" t="n">
        <x:f>'Parameters'!$B$2*'Parameters'!$B$3*LN(4*PI()*C2328^2)</x:f>
        <x:v>9.252087709589832</x:v>
      </x:c>
      <x:c r="F2328" s="23" t="n">
        <x:f>D2328+E2328</x:f>
        <x:v>-10.544272290410168</x:v>
      </x:c>
      <x:c r="G2328" s="23" t="n">
        <x:f>AVERAGE($F$2344:$F$2368)</x:f>
        <x:v>-10.69722718587915</x:v>
      </x:c>
      <x:c r="H2328" s="24" t="n">
        <x:f>F2328-G2328</x:f>
        <x:v>0.1529548954689819</x:v>
      </x:c>
    </x:row>
    <x:row r="2329">
      <x:c r="A2329" s="2" t="str">
        <x:v>LiLC-1</x:v>
      </x:c>
      <x:c r="B2329" s="4" t="str">
        <x:v>NaCl</x:v>
      </x:c>
      <x:c r="C2329" s="23" t="n">
        <x:v>1.835624</x:v>
      </x:c>
      <x:c r="D2329" s="23" t="n">
        <x:v>-19.65517</x:v>
      </x:c>
      <x:c r="E2329" s="23" t="n">
        <x:f>'Parameters'!$B$2*'Parameters'!$B$3*LN(4*PI()*C2329^2)</x:f>
        <x:v>9.28566039291438</x:v>
      </x:c>
      <x:c r="F2329" s="23" t="n">
        <x:f>D2329+E2329</x:f>
        <x:v>-10.369509607085618</x:v>
      </x:c>
      <x:c r="G2329" s="23" t="n">
        <x:f>AVERAGE($F$2344:$F$2368)</x:f>
        <x:v>-10.69722718587915</x:v>
      </x:c>
      <x:c r="H2329" s="24" t="n">
        <x:f>F2329-G2329</x:f>
        <x:v>0.327717578793532</x:v>
      </x:c>
    </x:row>
    <x:row r="2330">
      <x:c r="A2330" s="2" t="str">
        <x:v>LiLC-1</x:v>
      </x:c>
      <x:c r="B2330" s="4" t="str">
        <x:v>NaCl</x:v>
      </x:c>
      <x:c r="C2330" s="23" t="n">
        <x:v>1.848011</x:v>
      </x:c>
      <x:c r="D2330" s="23" t="n">
        <x:v>-19.84256</x:v>
      </x:c>
      <x:c r="E2330" s="23" t="n">
        <x:f>'Parameters'!$B$2*'Parameters'!$B$3*LN(4*PI()*C2330^2)</x:f>
        <x:v>9.31900458306243</x:v>
      </x:c>
      <x:c r="F2330" s="23" t="n">
        <x:f>D2330+E2330</x:f>
        <x:v>-10.523555416937569</x:v>
      </x:c>
      <x:c r="G2330" s="23" t="n">
        <x:f>AVERAGE($F$2344:$F$2368)</x:f>
        <x:v>-10.69722718587915</x:v>
      </x:c>
      <x:c r="H2330" s="24" t="n">
        <x:f>F2330-G2330</x:f>
        <x:v>0.1736717689415812</x:v>
      </x:c>
    </x:row>
    <x:row r="2331">
      <x:c r="A2331" s="2" t="str">
        <x:v>LiLC-1</x:v>
      </x:c>
      <x:c r="B2331" s="4" t="str">
        <x:v>NaCl</x:v>
      </x:c>
      <x:c r="C2331" s="23" t="n">
        <x:v>1.860399</x:v>
      </x:c>
      <x:c r="D2331" s="23" t="n">
        <x:v>-19.93301</x:v>
      </x:c>
      <x:c r="E2331" s="23" t="n">
        <x:f>'Parameters'!$B$2*'Parameters'!$B$3*LN(4*PI()*C2331^2)</x:f>
        <x:v>9.352128680896637</x:v>
      </x:c>
      <x:c r="F2331" s="23" t="n">
        <x:f>D2331+E2331</x:f>
        <x:v>-10.580881319103362</x:v>
      </x:c>
      <x:c r="G2331" s="23" t="n">
        <x:f>AVERAGE($F$2344:$F$2368)</x:f>
        <x:v>-10.69722718587915</x:v>
      </x:c>
      <x:c r="H2331" s="24" t="n">
        <x:f>F2331-G2331</x:f>
        <x:v>0.11634586677578795</x:v>
      </x:c>
    </x:row>
    <x:row r="2332">
      <x:c r="A2332" s="2" t="str">
        <x:v>LiLC-1</x:v>
      </x:c>
      <x:c r="B2332" s="4" t="str">
        <x:v>NaCl</x:v>
      </x:c>
      <x:c r="C2332" s="23" t="n">
        <x:v>1.872787</x:v>
      </x:c>
      <x:c r="D2332" s="23" t="n">
        <x:v>-19.94536</x:v>
      </x:c>
      <x:c r="E2332" s="23" t="n">
        <x:f>'Parameters'!$B$2*'Parameters'!$B$3*LN(4*PI()*C2332^2)</x:f>
        <x:v>9.385032942726772</x:v>
      </x:c>
      <x:c r="F2332" s="23" t="n">
        <x:f>D2332+E2332</x:f>
        <x:v>-10.560327057273229</x:v>
      </x:c>
      <x:c r="G2332" s="23" t="n">
        <x:f>AVERAGE($F$2344:$F$2368)</x:f>
        <x:v>-10.69722718587915</x:v>
      </x:c>
      <x:c r="H2332" s="24" t="n">
        <x:f>F2332-G2332</x:f>
        <x:v>0.13690012860592127</x:v>
      </x:c>
    </x:row>
    <x:row r="2333">
      <x:c r="A2333" s="2" t="str">
        <x:v>LiLC-1</x:v>
      </x:c>
      <x:c r="B2333" s="4" t="str">
        <x:v>NaCl</x:v>
      </x:c>
      <x:c r="C2333" s="23" t="n">
        <x:v>1.885175</x:v>
      </x:c>
      <x:c r="D2333" s="23" t="n">
        <x:v>-20.08312</x:v>
      </x:c>
      <x:c r="E2333" s="23" t="n">
        <x:f>'Parameters'!$B$2*'Parameters'!$B$3*LN(4*PI()*C2333^2)</x:f>
        <x:v>9.417720267313607</x:v>
      </x:c>
      <x:c r="F2333" s="23" t="n">
        <x:f>D2333+E2333</x:f>
        <x:v>-10.665399732686394</x:v>
      </x:c>
      <x:c r="G2333" s="23" t="n">
        <x:f>AVERAGE($F$2344:$F$2368)</x:f>
        <x:v>-10.69722718587915</x:v>
      </x:c>
      <x:c r="H2333" s="24" t="n">
        <x:f>F2333-G2333</x:f>
        <x:v>0.03182745319275604</x:v>
      </x:c>
    </x:row>
    <x:row r="2334">
      <x:c r="A2334" s="2" t="str">
        <x:v>LiLC-1</x:v>
      </x:c>
      <x:c r="B2334" s="4" t="str">
        <x:v>NaCl</x:v>
      </x:c>
      <x:c r="C2334" s="23" t="n">
        <x:v>1.897563</x:v>
      </x:c>
      <x:c r="D2334" s="23" t="n">
        <x:v>-20.05562</x:v>
      </x:c>
      <x:c r="E2334" s="23" t="n">
        <x:f>'Parameters'!$B$2*'Parameters'!$B$3*LN(4*PI()*C2334^2)</x:f>
        <x:v>9.450193496458592</x:v>
      </x:c>
      <x:c r="F2334" s="23" t="n">
        <x:f>D2334+E2334</x:f>
        <x:v>-10.605426503541409</x:v>
      </x:c>
      <x:c r="G2334" s="23" t="n">
        <x:f>AVERAGE($F$2344:$F$2368)</x:f>
        <x:v>-10.69722718587915</x:v>
      </x:c>
      <x:c r="H2334" s="24" t="n">
        <x:f>F2334-G2334</x:f>
        <x:v>0.09180068233774108</x:v>
      </x:c>
    </x:row>
    <x:row r="2335">
      <x:c r="A2335" s="2" t="str">
        <x:v>LiLC-1</x:v>
      </x:c>
      <x:c r="B2335" s="4" t="str">
        <x:v>NaCl</x:v>
      </x:c>
      <x:c r="C2335" s="23" t="n">
        <x:v>1.909951</x:v>
      </x:c>
      <x:c r="D2335" s="23" t="n">
        <x:v>-20.17713</x:v>
      </x:c>
      <x:c r="E2335" s="23" t="n">
        <x:f>'Parameters'!$B$2*'Parameters'!$B$3*LN(4*PI()*C2335^2)</x:f>
        <x:v>9.482455416486445</x:v>
      </x:c>
      <x:c r="F2335" s="23" t="n">
        <x:f>D2335+E2335</x:f>
        <x:v>-10.694674583513553</x:v>
      </x:c>
      <x:c r="G2335" s="23" t="n">
        <x:f>AVERAGE($F$2344:$F$2368)</x:f>
        <x:v>-10.69722718587915</x:v>
      </x:c>
      <x:c r="H2335" s="24" t="n">
        <x:f>F2335-G2335</x:f>
        <x:v>0.0025526023655970675</x:v>
      </x:c>
    </x:row>
    <x:row r="2336">
      <x:c r="A2336" s="2" t="str">
        <x:v>LiLC-1</x:v>
      </x:c>
      <x:c r="B2336" s="4" t="str">
        <x:v>NaCl</x:v>
      </x:c>
      <x:c r="C2336" s="23" t="n">
        <x:v>1.922338</x:v>
      </x:c>
      <x:c r="D2336" s="23" t="n">
        <x:v>-20.20871</x:v>
      </x:c>
      <x:c r="E2336" s="23" t="n">
        <x:f>'Parameters'!$B$2*'Parameters'!$B$3*LN(4*PI()*C2336^2)</x:f>
        <x:v>9.514506180574188</x:v>
      </x:c>
      <x:c r="F2336" s="23" t="n">
        <x:f>D2336+E2336</x:f>
        <x:v>-10.694203819425812</x:v>
      </x:c>
      <x:c r="G2336" s="23" t="n">
        <x:f>AVERAGE($F$2344:$F$2368)</x:f>
        <x:v>-10.69722718587915</x:v>
      </x:c>
      <x:c r="H2336" s="24" t="n">
        <x:f>F2336-G2336</x:f>
        <x:v>0.0030233664533376725</x:v>
      </x:c>
    </x:row>
    <x:row r="2337">
      <x:c r="A2337" s="2" t="str">
        <x:v>LiLC-1</x:v>
      </x:c>
      <x:c r="B2337" s="4" t="str">
        <x:v>NaCl</x:v>
      </x:c>
      <x:c r="C2337" s="23" t="n">
        <x:v>1.934726</x:v>
      </x:c>
      <x:c r="D2337" s="23" t="n">
        <x:v>-20.29892</x:v>
      </x:c>
      <x:c r="E2337" s="23" t="n">
        <x:f>'Parameters'!$B$2*'Parameters'!$B$3*LN(4*PI()*C2337^2)</x:f>
        <x:v>9.546353643076214</x:v>
      </x:c>
      <x:c r="F2337" s="23" t="n">
        <x:f>D2337+E2337</x:f>
        <x:v>-10.752566356923785</x:v>
      </x:c>
      <x:c r="G2337" s="23" t="n">
        <x:f>AVERAGE($F$2344:$F$2368)</x:f>
        <x:v>-10.69722718587915</x:v>
      </x:c>
      <x:c r="H2337" s="24" t="n">
        <x:f>F2337-G2337</x:f>
        <x:v>-0.05533917104463448</x:v>
      </x:c>
    </x:row>
    <x:row r="2338">
      <x:c r="A2338" s="2" t="str">
        <x:v>LiLC-1</x:v>
      </x:c>
      <x:c r="B2338" s="4" t="str">
        <x:v>NaCl</x:v>
      </x:c>
      <x:c r="C2338" s="23" t="n">
        <x:v>1.947114</x:v>
      </x:c>
      <x:c r="D2338" s="23" t="n">
        <x:v>-20.15459</x:v>
      </x:c>
      <x:c r="E2338" s="23" t="n">
        <x:f>'Parameters'!$B$2*'Parameters'!$B$3*LN(4*PI()*C2338^2)</x:f>
        <x:v>9.5779978364828</x:v>
      </x:c>
      <x:c r="F2338" s="23" t="n">
        <x:f>D2338+E2338</x:f>
        <x:v>-10.5765921635172</x:v>
      </x:c>
      <x:c r="G2338" s="23" t="n">
        <x:f>AVERAGE($F$2344:$F$2368)</x:f>
        <x:v>-10.69722718587915</x:v>
      </x:c>
      <x:c r="H2338" s="24" t="n">
        <x:f>F2338-G2338</x:f>
        <x:v>0.12063502236195056</x:v>
      </x:c>
    </x:row>
    <x:row r="2339">
      <x:c r="A2339" s="2" t="str">
        <x:v>LiLC-1</x:v>
      </x:c>
      <x:c r="B2339" s="4" t="str">
        <x:v>NaCl</x:v>
      </x:c>
      <x:c r="C2339" s="23" t="n">
        <x:v>1.959502</x:v>
      </x:c>
      <x:c r="D2339" s="23" t="n">
        <x:v>-20.37271</x:v>
      </x:c>
      <x:c r="E2339" s="23" t="n">
        <x:f>'Parameters'!$B$2*'Parameters'!$B$3*LN(4*PI()*C2339^2)</x:f>
        <x:v>9.609441339110353</x:v>
      </x:c>
      <x:c r="F2339" s="23" t="n">
        <x:f>D2339+E2339</x:f>
        <x:v>-10.763268660889649</x:v>
      </x:c>
      <x:c r="G2339" s="23" t="n">
        <x:f>AVERAGE($F$2344:$F$2368)</x:f>
        <x:v>-10.69722718587915</x:v>
      </x:c>
      <x:c r="H2339" s="24" t="n">
        <x:f>F2339-G2339</x:f>
        <x:v>-0.06604147501049873</x:v>
      </x:c>
    </x:row>
    <x:row r="2340">
      <x:c r="A2340" s="2" t="str">
        <x:v>LiLC-1</x:v>
      </x:c>
      <x:c r="B2340" s="4" t="str">
        <x:v>NaCl</x:v>
      </x:c>
      <x:c r="C2340" s="23" t="n">
        <x:v>1.97189</x:v>
      </x:c>
      <x:c r="D2340" s="23" t="n">
        <x:v>-20.31913</x:v>
      </x:c>
      <x:c r="E2340" s="23" t="n">
        <x:f>'Parameters'!$B$2*'Parameters'!$B$3*LN(4*PI()*C2340^2)</x:f>
        <x:v>9.640686680528264</x:v>
      </x:c>
      <x:c r="F2340" s="23" t="n">
        <x:f>D2340+E2340</x:f>
        <x:v>-10.678443319471738</x:v>
      </x:c>
      <x:c r="G2340" s="23" t="n">
        <x:f>AVERAGE($F$2344:$F$2368)</x:f>
        <x:v>-10.69722718587915</x:v>
      </x:c>
      <x:c r="H2340" s="24" t="n">
        <x:f>F2340-G2340</x:f>
        <x:v>0.018783866407412475</x:v>
      </x:c>
    </x:row>
    <x:row r="2341">
      <x:c r="A2341" s="2" t="str">
        <x:v>LiLC-1</x:v>
      </x:c>
      <x:c r="B2341" s="4" t="str">
        <x:v>NaCl</x:v>
      </x:c>
      <x:c r="C2341" s="23" t="n">
        <x:v>1.984278</x:v>
      </x:c>
      <x:c r="D2341" s="23" t="n">
        <x:v>-20.27958</x:v>
      </x:c>
      <x:c r="E2341" s="23" t="n">
        <x:f>'Parameters'!$B$2*'Parameters'!$B$3*LN(4*PI()*C2341^2)</x:f>
        <x:v>9.671736342780052</x:v>
      </x:c>
      <x:c r="F2341" s="23" t="n">
        <x:f>D2341+E2341</x:f>
        <x:v>-10.607843657219947</x:v>
      </x:c>
      <x:c r="G2341" s="23" t="n">
        <x:f>AVERAGE($F$2344:$F$2368)</x:f>
        <x:v>-10.69722718587915</x:v>
      </x:c>
      <x:c r="H2341" s="24" t="n">
        <x:f>F2341-G2341</x:f>
        <x:v>0.08938352865920329</x:v>
      </x:c>
    </x:row>
    <x:row r="2342">
      <x:c r="A2342" s="2" t="str">
        <x:v>LiLC-1</x:v>
      </x:c>
      <x:c r="B2342" s="4" t="str">
        <x:v>NaCl</x:v>
      </x:c>
      <x:c r="C2342" s="23" t="n">
        <x:v>1.996665</x:v>
      </x:c>
      <x:c r="D2342" s="23" t="n">
        <x:v>-20.30356</x:v>
      </x:c>
      <x:c r="E2342" s="23" t="n">
        <x:f>'Parameters'!$B$2*'Parameters'!$B$3*LN(4*PI()*C2342^2)</x:f>
        <x:v>9.702590278469552</x:v>
      </x:c>
      <x:c r="F2342" s="23" t="n">
        <x:f>D2342+E2342</x:f>
        <x:v>-10.600969721530449</x:v>
      </x:c>
      <x:c r="G2342" s="23" t="n">
        <x:f>AVERAGE($F$2344:$F$2368)</x:f>
        <x:v>-10.69722718587915</x:v>
      </x:c>
      <x:c r="H2342" s="24" t="n">
        <x:f>F2342-G2342</x:f>
        <x:v>0.0962574643487013</x:v>
      </x:c>
    </x:row>
    <x:row r="2343">
      <x:c r="A2343" s="2" t="str">
        <x:v>LiLC-1</x:v>
      </x:c>
      <x:c r="B2343" s="4" t="str">
        <x:v>NaCl</x:v>
      </x:c>
      <x:c r="C2343" s="23" t="n">
        <x:v>2.009053</x:v>
      </x:c>
      <x:c r="D2343" s="23" t="n">
        <x:v>-20.26772</x:v>
      </x:c>
      <x:c r="E2343" s="23" t="n">
        <x:f>'Parameters'!$B$2*'Parameters'!$B$3*LN(4*PI()*C2343^2)</x:f>
        <x:v>9.733255859606375</x:v>
      </x:c>
      <x:c r="F2343" s="23" t="n">
        <x:f>D2343+E2343</x:f>
        <x:v>-10.534464140393625</x:v>
      </x:c>
      <x:c r="G2343" s="23" t="n">
        <x:f>AVERAGE($F$2344:$F$2368)</x:f>
        <x:v>-10.69722718587915</x:v>
      </x:c>
      <x:c r="H2343" s="24" t="n">
        <x:f>F2343-G2343</x:f>
        <x:v>0.16276304548552467</x:v>
      </x:c>
    </x:row>
    <x:row r="2344">
      <x:c r="A2344" s="2" t="str">
        <x:v>LiLC-1</x:v>
      </x:c>
      <x:c r="B2344" s="4" t="str">
        <x:v>NaCl</x:v>
      </x:c>
      <x:c r="C2344" s="23" t="n">
        <x:v>2.021441</x:v>
      </x:c>
      <x:c r="D2344" s="23" t="n">
        <x:v>-20.37272</x:v>
      </x:c>
      <x:c r="E2344" s="23" t="n">
        <x:f>'Parameters'!$B$2*'Parameters'!$B$3*LN(4*PI()*C2344^2)</x:f>
        <x:v>9.763732934014733</x:v>
      </x:c>
      <x:c r="F2344" s="23" t="n">
        <x:f>D2344+E2344</x:f>
        <x:v>-10.608987065985268</x:v>
      </x:c>
      <x:c r="G2344" s="23" t="n">
        <x:f>AVERAGE($F$2344:$F$2368)</x:f>
        <x:v>-10.69722718587915</x:v>
      </x:c>
      <x:c r="H2344" s="24" t="n">
        <x:f>F2344-G2344</x:f>
        <x:v>0.08824011989388225</x:v>
      </x:c>
    </x:row>
    <x:row r="2345">
      <x:c r="A2345" s="2" t="str">
        <x:v>LiLC-1</x:v>
      </x:c>
      <x:c r="B2345" s="4" t="str">
        <x:v>NaCl</x:v>
      </x:c>
      <x:c r="C2345" s="23" t="n">
        <x:v>2.033829</x:v>
      </x:c>
      <x:c r="D2345" s="23" t="n">
        <x:v>-20.50909</x:v>
      </x:c>
      <x:c r="E2345" s="23" t="n">
        <x:f>'Parameters'!$B$2*'Parameters'!$B$3*LN(4*PI()*C2345^2)</x:f>
        <x:v>9.79402380511046</x:v>
      </x:c>
      <x:c r="F2345" s="23" t="n">
        <x:f>D2345+E2345</x:f>
        <x:v>-10.715066194889541</x:v>
      </x:c>
      <x:c r="G2345" s="23" t="n">
        <x:f>AVERAGE($F$2344:$F$2368)</x:f>
        <x:v>-10.69722718587915</x:v>
      </x:c>
      <x:c r="H2345" s="24" t="n">
        <x:f>F2345-G2345</x:f>
        <x:v>-0.017839009010391038</x:v>
      </x:c>
    </x:row>
    <x:row r="2346">
      <x:c r="A2346" s="2" t="str">
        <x:v>LiLC-1</x:v>
      </x:c>
      <x:c r="B2346" s="4" t="str">
        <x:v>NaCl</x:v>
      </x:c>
      <x:c r="C2346" s="23" t="n">
        <x:v>2.046217</x:v>
      </x:c>
      <x:c r="D2346" s="23" t="n">
        <x:v>-20.58345</x:v>
      </x:c>
      <x:c r="E2346" s="23" t="n">
        <x:f>'Parameters'!$B$2*'Parameters'!$B$3*LN(4*PI()*C2346^2)</x:f>
        <x:v>9.824130734346522</x:v>
      </x:c>
      <x:c r="F2346" s="23" t="n">
        <x:f>D2346+E2346</x:f>
        <x:v>-10.759319265653478</x:v>
      </x:c>
      <x:c r="G2346" s="23" t="n">
        <x:f>AVERAGE($F$2344:$F$2368)</x:f>
        <x:v>-10.69722718587915</x:v>
      </x:c>
      <x:c r="H2346" s="24" t="n">
        <x:f>F2346-G2346</x:f>
        <x:v>-0.0620920797743274</x:v>
      </x:c>
    </x:row>
    <x:row r="2347">
      <x:c r="A2347" s="2" t="str">
        <x:v>LiLC-1</x:v>
      </x:c>
      <x:c r="B2347" s="4" t="str">
        <x:v>NaCl</x:v>
      </x:c>
      <x:c r="C2347" s="23" t="n">
        <x:v>2.058605</x:v>
      </x:c>
      <x:c r="D2347" s="23" t="n">
        <x:v>-20.63888</x:v>
      </x:c>
      <x:c r="E2347" s="23" t="n">
        <x:f>'Parameters'!$B$2*'Parameters'!$B$3*LN(4*PI()*C2347^2)</x:f>
        <x:v>9.854055942226156</x:v>
      </x:c>
      <x:c r="F2347" s="23" t="n">
        <x:f>D2347+E2347</x:f>
        <x:v>-10.784824057773845</x:v>
      </x:c>
      <x:c r="G2347" s="23" t="n">
        <x:f>AVERAGE($F$2344:$F$2368)</x:f>
        <x:v>-10.69722718587915</x:v>
      </x:c>
      <x:c r="H2347" s="24" t="n">
        <x:f>F2347-G2347</x:f>
        <x:v>-0.08759687189469467</x:v>
      </x:c>
    </x:row>
    <x:row r="2348">
      <x:c r="A2348" s="2" t="str">
        <x:v>LiLC-1</x:v>
      </x:c>
      <x:c r="B2348" s="4" t="str">
        <x:v>NaCl</x:v>
      </x:c>
      <x:c r="C2348" s="23" t="n">
        <x:v>2.070992</x:v>
      </x:c>
      <x:c r="D2348" s="23" t="n">
        <x:v>-20.51026</x:v>
      </x:c>
      <x:c r="E2348" s="23" t="n">
        <x:f>'Parameters'!$B$2*'Parameters'!$B$3*LN(4*PI()*C2348^2)</x:f>
        <x:v>9.883799215305899</x:v>
      </x:c>
      <x:c r="F2348" s="23" t="n">
        <x:f>D2348+E2348</x:f>
        <x:v>-10.6264607846941</x:v>
      </x:c>
      <x:c r="G2348" s="23" t="n">
        <x:f>AVERAGE($F$2344:$F$2368)</x:f>
        <x:v>-10.69722718587915</x:v>
      </x:c>
      <x:c r="H2348" s="24" t="n">
        <x:f>F2348-G2348</x:f>
        <x:v>0.0707664011850504</x:v>
      </x:c>
    </x:row>
    <x:row r="2349">
      <x:c r="A2349" s="2" t="str">
        <x:v>LiLC-1</x:v>
      </x:c>
      <x:c r="B2349" s="4" t="str">
        <x:v>NaCl</x:v>
      </x:c>
      <x:c r="C2349" s="23" t="n">
        <x:v>2.08338</x:v>
      </x:c>
      <x:c r="D2349" s="23" t="n">
        <x:v>-20.64903</x:v>
      </x:c>
      <x:c r="E2349" s="23" t="n">
        <x:f>'Parameters'!$B$2*'Parameters'!$B$3*LN(4*PI()*C2349^2)</x:f>
        <x:v>9.913367497302776</x:v>
      </x:c>
      <x:c r="F2349" s="23" t="n">
        <x:f>D2349+E2349</x:f>
        <x:v>-10.735662502697224</x:v>
      </x:c>
      <x:c r="G2349" s="23" t="n">
        <x:f>AVERAGE($F$2344:$F$2368)</x:f>
        <x:v>-10.69722718587915</x:v>
      </x:c>
      <x:c r="H2349" s="24" t="n">
        <x:f>F2349-G2349</x:f>
        <x:v>-0.03843531681807377</x:v>
      </x:c>
    </x:row>
    <x:row r="2350">
      <x:c r="A2350" s="2" t="str">
        <x:v>LiLC-1</x:v>
      </x:c>
      <x:c r="B2350" s="4" t="str">
        <x:v>NaCl</x:v>
      </x:c>
      <x:c r="C2350" s="23" t="n">
        <x:v>2.095768</x:v>
      </x:c>
      <x:c r="D2350" s="23" t="n">
        <x:v>-20.78839</x:v>
      </x:c>
      <x:c r="E2350" s="23" t="n">
        <x:f>'Parameters'!$B$2*'Parameters'!$B$3*LN(4*PI()*C2350^2)</x:f>
        <x:v>9.94276048326828</x:v>
      </x:c>
      <x:c r="F2350" s="23" t="n">
        <x:f>D2350+E2350</x:f>
        <x:v>-10.84562951673172</x:v>
      </x:c>
      <x:c r="G2350" s="23" t="n">
        <x:f>AVERAGE($F$2344:$F$2368)</x:f>
        <x:v>-10.69722718587915</x:v>
      </x:c>
      <x:c r="H2350" s="24" t="n">
        <x:f>F2350-G2350</x:f>
        <x:v>-0.14840233085256926</x:v>
      </x:c>
    </x:row>
    <x:row r="2351">
      <x:c r="A2351" s="2" t="str">
        <x:v>LiLC-1</x:v>
      </x:c>
      <x:c r="B2351" s="4" t="str">
        <x:v>NaCl</x:v>
      </x:c>
      <x:c r="C2351" s="23" t="n">
        <x:v>2.108156</x:v>
      </x:c>
      <x:c r="D2351" s="23" t="n">
        <x:v>-20.82499</x:v>
      </x:c>
      <x:c r="E2351" s="23" t="n">
        <x:f>'Parameters'!$B$2*'Parameters'!$B$3*LN(4*PI()*C2351^2)</x:f>
        <x:v>9.971980239449284</x:v>
      </x:c>
      <x:c r="F2351" s="23" t="n">
        <x:f>D2351+E2351</x:f>
        <x:v>-10.853009760550716</x:v>
      </x:c>
      <x:c r="G2351" s="23" t="n">
        <x:f>AVERAGE($F$2344:$F$2368)</x:f>
        <x:v>-10.69722718587915</x:v>
      </x:c>
      <x:c r="H2351" s="24" t="n">
        <x:f>F2351-G2351</x:f>
        <x:v>-0.15578257467156575</x:v>
      </x:c>
    </x:row>
    <x:row r="2352">
      <x:c r="A2352" s="2" t="str">
        <x:v>LiLC-1</x:v>
      </x:c>
      <x:c r="B2352" s="4" t="str">
        <x:v>NaCl</x:v>
      </x:c>
      <x:c r="C2352" s="23" t="n">
        <x:v>2.120544</x:v>
      </x:c>
      <x:c r="D2352" s="23" t="n">
        <x:v>-20.95927</x:v>
      </x:c>
      <x:c r="E2352" s="23" t="n">
        <x:f>'Parameters'!$B$2*'Parameters'!$B$3*LN(4*PI()*C2352^2)</x:f>
        <x:v>10.001028795773752</x:v>
      </x:c>
      <x:c r="F2352" s="23" t="n">
        <x:f>D2352+E2352</x:f>
        <x:v>-10.958241204226248</x:v>
      </x:c>
      <x:c r="G2352" s="23" t="n">
        <x:f>AVERAGE($F$2344:$F$2368)</x:f>
        <x:v>-10.69722718587915</x:v>
      </x:c>
      <x:c r="H2352" s="24" t="n">
        <x:f>F2352-G2352</x:f>
        <x:v>-0.2610140183470975</x:v>
      </x:c>
    </x:row>
    <x:row r="2353">
      <x:c r="A2353" s="2" t="str">
        <x:v>LiLC-1</x:v>
      </x:c>
      <x:c r="B2353" s="4" t="str">
        <x:v>NaCl</x:v>
      </x:c>
      <x:c r="C2353" s="23" t="n">
        <x:v>2.132932</x:v>
      </x:c>
      <x:c r="D2353" s="23" t="n">
        <x:v>-20.79873</x:v>
      </x:c>
      <x:c r="E2353" s="23" t="n">
        <x:f>'Parameters'!$B$2*'Parameters'!$B$3*LN(4*PI()*C2353^2)</x:f>
        <x:v>10.029908146696968</x:v>
      </x:c>
      <x:c r="F2353" s="23" t="n">
        <x:f>D2353+E2353</x:f>
        <x:v>-10.76882185330303</x:v>
      </x:c>
      <x:c r="G2353" s="23" t="n">
        <x:f>AVERAGE($F$2344:$F$2368)</x:f>
        <x:v>-10.69722718587915</x:v>
      </x:c>
      <x:c r="H2353" s="24" t="n">
        <x:f>F2353-G2353</x:f>
        <x:v>-0.07159466742388076</x:v>
      </x:c>
    </x:row>
    <x:row r="2354">
      <x:c r="A2354" s="2" t="str">
        <x:v>LiLC-1</x:v>
      </x:c>
      <x:c r="B2354" s="4" t="str">
        <x:v>NaCl</x:v>
      </x:c>
      <x:c r="C2354" s="23" t="n">
        <x:v>2.14532</x:v>
      </x:c>
      <x:c r="D2354" s="23" t="n">
        <x:v>-20.99151</x:v>
      </x:c>
      <x:c r="E2354" s="23" t="n">
        <x:f>'Parameters'!$B$2*'Parameters'!$B$3*LN(4*PI()*C2354^2)</x:f>
        <x:v>10.05862025202325</x:v>
      </x:c>
      <x:c r="F2354" s="23" t="n">
        <x:f>D2354+E2354</x:f>
        <x:v>-10.932889747976752</x:v>
      </x:c>
      <x:c r="G2354" s="23" t="n">
        <x:f>AVERAGE($F$2344:$F$2368)</x:f>
        <x:v>-10.69722718587915</x:v>
      </x:c>
      <x:c r="H2354" s="24" t="n">
        <x:f>F2354-G2354</x:f>
        <x:v>-0.23566256209760184</x:v>
      </x:c>
    </x:row>
    <x:row r="2355">
      <x:c r="A2355" s="2" t="str">
        <x:v>LiLC-1</x:v>
      </x:c>
      <x:c r="B2355" s="4" t="str">
        <x:v>NaCl</x:v>
      </x:c>
      <x:c r="C2355" s="23" t="n">
        <x:v>2.157707</x:v>
      </x:c>
      <x:c r="D2355" s="23" t="n">
        <x:v>-20.97551</x:v>
      </x:c>
      <x:c r="E2355" s="23" t="n">
        <x:f>'Parameters'!$B$2*'Parameters'!$B$3*LN(4*PI()*C2355^2)</x:f>
        <x:v>10.087164739934721</x:v>
      </x:c>
      <x:c r="F2355" s="23" t="n">
        <x:f>D2355+E2355</x:f>
        <x:v>-10.888345260065279</x:v>
      </x:c>
      <x:c r="G2355" s="23" t="n">
        <x:f>AVERAGE($F$2344:$F$2368)</x:f>
        <x:v>-10.69722718587915</x:v>
      </x:c>
      <x:c r="H2355" s="24" t="n">
        <x:f>F2355-G2355</x:f>
        <x:v>-0.1911180741861287</x:v>
      </x:c>
    </x:row>
    <x:row r="2356">
      <x:c r="A2356" s="2" t="str">
        <x:v>LiLC-1</x:v>
      </x:c>
      <x:c r="B2356" s="4" t="str">
        <x:v>NaCl</x:v>
      </x:c>
      <x:c r="C2356" s="23" t="n">
        <x:v>2.170095</x:v>
      </x:c>
      <x:c r="D2356" s="23" t="n">
        <x:v>-20.80364</x:v>
      </x:c>
      <x:c r="E2356" s="23" t="n">
        <x:f>'Parameters'!$B$2*'Parameters'!$B$3*LN(4*PI()*C2356^2)</x:f>
        <x:v>10.115548111960559</x:v>
      </x:c>
      <x:c r="F2356" s="23" t="n">
        <x:f>D2356+E2356</x:f>
        <x:v>-10.688091888039443</x:v>
      </x:c>
      <x:c r="G2356" s="23" t="n">
        <x:f>AVERAGE($F$2344:$F$2368)</x:f>
        <x:v>-10.69722718587915</x:v>
      </x:c>
      <x:c r="H2356" s="24" t="n">
        <x:f>F2356-G2356</x:f>
        <x:v>0.009135297839707235</x:v>
      </x:c>
    </x:row>
    <x:row r="2357">
      <x:c r="A2357" s="2" t="str">
        <x:v>LiLC-1</x:v>
      </x:c>
      <x:c r="B2357" s="4" t="str">
        <x:v>NaCl</x:v>
      </x:c>
      <x:c r="C2357" s="23" t="n">
        <x:v>2.182483</x:v>
      </x:c>
      <x:c r="D2357" s="23" t="n">
        <x:v>-20.90494</x:v>
      </x:c>
      <x:c r="E2357" s="23" t="n">
        <x:f>'Parameters'!$B$2*'Parameters'!$B$3*LN(4*PI()*C2357^2)</x:f>
        <x:v>10.143769917614966</x:v>
      </x:c>
      <x:c r="F2357" s="23" t="n">
        <x:f>D2357+E2357</x:f>
        <x:v>-10.761170082385034</x:v>
      </x:c>
      <x:c r="G2357" s="23" t="n">
        <x:f>AVERAGE($F$2344:$F$2368)</x:f>
        <x:v>-10.69722718587915</x:v>
      </x:c>
      <x:c r="H2357" s="24" t="n">
        <x:f>F2357-G2357</x:f>
        <x:v>-0.0639428965058837</x:v>
      </x:c>
    </x:row>
    <x:row r="2358">
      <x:c r="A2358" s="2" t="str">
        <x:v>LiLC-1</x:v>
      </x:c>
      <x:c r="B2358" s="4" t="str">
        <x:v>NaCl</x:v>
      </x:c>
      <x:c r="C2358" s="23" t="n">
        <x:v>2.194871</x:v>
      </x:c>
      <x:c r="D2358" s="23" t="n">
        <x:v>-20.86614</x:v>
      </x:c>
      <x:c r="E2358" s="23" t="n">
        <x:f>'Parameters'!$B$2*'Parameters'!$B$3*LN(4*PI()*C2358^2)</x:f>
        <x:v>10.171831985857013</x:v>
      </x:c>
      <x:c r="F2358" s="23" t="n">
        <x:f>D2358+E2358</x:f>
        <x:v>-10.694308014142988</x:v>
      </x:c>
      <x:c r="G2358" s="23" t="n">
        <x:f>AVERAGE($F$2344:$F$2368)</x:f>
        <x:v>-10.69722718587915</x:v>
      </x:c>
      <x:c r="H2358" s="24" t="n">
        <x:f>F2358-G2358</x:f>
        <x:v>0.00291917173616163</x:v>
      </x:c>
    </x:row>
    <x:row r="2359">
      <x:c r="A2359" s="2" t="str">
        <x:v>LiLC-1</x:v>
      </x:c>
      <x:c r="B2359" s="4" t="str">
        <x:v>NaCl</x:v>
      </x:c>
      <x:c r="C2359" s="23" t="n">
        <x:v>2.207259</x:v>
      </x:c>
      <x:c r="D2359" s="23" t="n">
        <x:v>-20.87584</x:v>
      </x:c>
      <x:c r="E2359" s="23" t="n">
        <x:f>'Parameters'!$B$2*'Parameters'!$B$3*LN(4*PI()*C2359^2)</x:f>
        <x:v>10.199736114764288</x:v>
      </x:c>
      <x:c r="F2359" s="23" t="n">
        <x:f>D2359+E2359</x:f>
        <x:v>-10.676103885235712</x:v>
      </x:c>
      <x:c r="G2359" s="23" t="n">
        <x:f>AVERAGE($F$2344:$F$2368)</x:f>
        <x:v>-10.69722718587915</x:v>
      </x:c>
      <x:c r="H2359" s="24" t="n">
        <x:f>F2359-G2359</x:f>
        <x:v>0.02112330064343837</x:v>
      </x:c>
    </x:row>
    <x:row r="2360">
      <x:c r="A2360" s="2" t="str">
        <x:v>LiLC-1</x:v>
      </x:c>
      <x:c r="B2360" s="4" t="str">
        <x:v>NaCl</x:v>
      </x:c>
      <x:c r="C2360" s="23" t="n">
        <x:v>2.219647</x:v>
      </x:c>
      <x:c r="D2360" s="23" t="n">
        <x:v>-20.81325</x:v>
      </x:c>
      <x:c r="E2360" s="23" t="n">
        <x:f>'Parameters'!$B$2*'Parameters'!$B$3*LN(4*PI()*C2360^2)</x:f>
        <x:v>10.227484072224243</x:v>
      </x:c>
      <x:c r="F2360" s="23" t="n">
        <x:f>D2360+E2360</x:f>
        <x:v>-10.585765927775757</x:v>
      </x:c>
      <x:c r="G2360" s="23" t="n">
        <x:f>AVERAGE($F$2344:$F$2368)</x:f>
        <x:v>-10.69722718587915</x:v>
      </x:c>
      <x:c r="H2360" s="24" t="n">
        <x:f>F2360-G2360</x:f>
        <x:v>0.11146125810339313</x:v>
      </x:c>
    </x:row>
    <x:row r="2361">
      <x:c r="A2361" s="2" t="str">
        <x:v>LiLC-1</x:v>
      </x:c>
      <x:c r="B2361" s="4" t="str">
        <x:v>NaCl</x:v>
      </x:c>
      <x:c r="C2361" s="23" t="n">
        <x:v>2.232034</x:v>
      </x:c>
      <x:c r="D2361" s="23" t="n">
        <x:v>-20.89662</x:v>
      </x:c>
      <x:c r="E2361" s="23" t="n">
        <x:f>'Parameters'!$B$2*'Parameters'!$B$3*LN(4*PI()*C2361^2)</x:f>
        <x:v>10.255075375352959</x:v>
      </x:c>
      <x:c r="F2361" s="23" t="n">
        <x:f>D2361+E2361</x:f>
        <x:v>-10.64154462464704</x:v>
      </x:c>
      <x:c r="G2361" s="23" t="n">
        <x:f>AVERAGE($F$2344:$F$2368)</x:f>
        <x:v>-10.69722718587915</x:v>
      </x:c>
      <x:c r="H2361" s="24" t="n">
        <x:f>F2361-G2361</x:f>
        <x:v>0.05568256123211057</x:v>
      </x:c>
    </x:row>
    <x:row r="2362">
      <x:c r="A2362" s="2" t="str">
        <x:v>LiLC-1</x:v>
      </x:c>
      <x:c r="B2362" s="4" t="str">
        <x:v>NaCl</x:v>
      </x:c>
      <x:c r="C2362" s="23" t="n">
        <x:v>2.244422</x:v>
      </x:c>
      <x:c r="D2362" s="23" t="n">
        <x:v>-20.80302</x:v>
      </x:c>
      <x:c r="E2362" s="23" t="n">
        <x:f>'Parameters'!$B$2*'Parameters'!$B$3*LN(4*PI()*C2362^2)</x:f>
        <x:v>10.282516188422095</x:v>
      </x:c>
      <x:c r="F2362" s="23" t="n">
        <x:f>D2362+E2362</x:f>
        <x:v>-10.520503811577905</x:v>
      </x:c>
      <x:c r="G2362" s="23" t="n">
        <x:f>AVERAGE($F$2344:$F$2368)</x:f>
        <x:v>-10.69722718587915</x:v>
      </x:c>
      <x:c r="H2362" s="24" t="n">
        <x:f>F2362-G2362</x:f>
        <x:v>0.17672337430124507</x:v>
      </x:c>
    </x:row>
    <x:row r="2363">
      <x:c r="A2363" s="2" t="str">
        <x:v>LiLC-1</x:v>
      </x:c>
      <x:c r="B2363" s="4" t="str">
        <x:v>NaCl</x:v>
      </x:c>
      <x:c r="C2363" s="23" t="n">
        <x:v>2.25681</x:v>
      </x:c>
      <x:c r="D2363" s="23" t="n">
        <x:v>-20.87393</x:v>
      </x:c>
      <x:c r="E2363" s="23" t="n">
        <x:f>'Parameters'!$B$2*'Parameters'!$B$3*LN(4*PI()*C2363^2)</x:f>
        <x:v>10.309805959059478</x:v>
      </x:c>
      <x:c r="F2363" s="23" t="n">
        <x:f>D2363+E2363</x:f>
        <x:v>-10.564124040940523</x:v>
      </x:c>
      <x:c r="G2363" s="23" t="n">
        <x:f>AVERAGE($F$2344:$F$2368)</x:f>
        <x:v>-10.69722718587915</x:v>
      </x:c>
      <x:c r="H2363" s="24" t="n">
        <x:f>F2363-G2363</x:f>
        <x:v>0.13310314493862663</x:v>
      </x:c>
    </x:row>
    <x:row r="2364">
      <x:c r="A2364" s="2" t="str">
        <x:v>LiLC-1</x:v>
      </x:c>
      <x:c r="B2364" s="4" t="str">
        <x:v>NaCl</x:v>
      </x:c>
      <x:c r="C2364" s="23" t="n">
        <x:v>2.269198</x:v>
      </x:c>
      <x:c r="D2364" s="23" t="n">
        <x:v>-20.85014</x:v>
      </x:c>
      <x:c r="E2364" s="23" t="n">
        <x:f>'Parameters'!$B$2*'Parameters'!$B$3*LN(4*PI()*C2364^2)</x:f>
        <x:v>10.336946340932311</x:v>
      </x:c>
      <x:c r="F2364" s="23" t="n">
        <x:f>D2364+E2364</x:f>
        <x:v>-10.513193659067689</x:v>
      </x:c>
      <x:c r="G2364" s="23" t="n">
        <x:f>AVERAGE($F$2344:$F$2368)</x:f>
        <x:v>-10.69722718587915</x:v>
      </x:c>
      <x:c r="H2364" s="24" t="n">
        <x:f>F2364-G2364</x:f>
        <x:v>0.18403352681146146</x:v>
      </x:c>
    </x:row>
    <x:row r="2365">
      <x:c r="A2365" s="2" t="str">
        <x:v>LiLC-1</x:v>
      </x:c>
      <x:c r="B2365" s="4" t="str">
        <x:v>NaCl</x:v>
      </x:c>
      <x:c r="C2365" s="23" t="n">
        <x:v>2.281586</x:v>
      </x:c>
      <x:c r="D2365" s="23" t="n">
        <x:v>-20.9837</x:v>
      </x:c>
      <x:c r="E2365" s="23" t="n">
        <x:f>'Parameters'!$B$2*'Parameters'!$B$3*LN(4*PI()*C2365^2)</x:f>
        <x:v>10.363938960698155</x:v>
      </x:c>
      <x:c r="F2365" s="23" t="n">
        <x:f>D2365+E2365</x:f>
        <x:v>-10.619761039301844</x:v>
      </x:c>
      <x:c r="G2365" s="23" t="n">
        <x:f>AVERAGE($F$2344:$F$2368)</x:f>
        <x:v>-10.69722718587915</x:v>
      </x:c>
      <x:c r="H2365" s="24" t="n">
        <x:f>F2365-G2365</x:f>
        <x:v>0.0774661465773061</x:v>
      </x:c>
    </x:row>
    <x:row r="2366">
      <x:c r="A2366" s="2" t="str">
        <x:v>LiLC-1</x:v>
      </x:c>
      <x:c r="B2366" s="4" t="str">
        <x:v>NaCl</x:v>
      </x:c>
      <x:c r="C2366" s="23" t="n">
        <x:v>2.293974</x:v>
      </x:c>
      <x:c r="D2366" s="23" t="n">
        <x:v>-20.88848</x:v>
      </x:c>
      <x:c r="E2366" s="23" t="n">
        <x:f>'Parameters'!$B$2*'Parameters'!$B$3*LN(4*PI()*C2366^2)</x:f>
        <x:v>10.390785418589964</x:v>
      </x:c>
      <x:c r="F2366" s="23" t="n">
        <x:f>D2366+E2366</x:f>
        <x:v>-10.497694581410038</x:v>
      </x:c>
      <x:c r="G2366" s="23" t="n">
        <x:f>AVERAGE($F$2344:$F$2368)</x:f>
        <x:v>-10.69722718587915</x:v>
      </x:c>
      <x:c r="H2366" s="24" t="n">
        <x:f>F2366-G2366</x:f>
        <x:v>0.19953260446911258</x:v>
      </x:c>
    </x:row>
    <x:row r="2367">
      <x:c r="A2367" s="2" t="str">
        <x:v>LiLC-1</x:v>
      </x:c>
      <x:c r="B2367" s="4" t="str">
        <x:v>NaCl</x:v>
      </x:c>
      <x:c r="C2367" s="23" t="n">
        <x:v>2.306361</x:v>
      </x:c>
      <x:c r="D2367" s="23" t="n">
        <x:v>-21.02725</x:v>
      </x:c>
      <x:c r="E2367" s="23" t="n">
        <x:f>'Parameters'!$B$2*'Parameters'!$B$3*LN(4*PI()*C2367^2)</x:f>
        <x:v>10.417485139316241</x:v>
      </x:c>
      <x:c r="F2367" s="23" t="n">
        <x:f>D2367+E2367</x:f>
        <x:v>-10.609764860683757</x:v>
      </x:c>
      <x:c r="G2367" s="23" t="n">
        <x:f>AVERAGE($F$2344:$F$2368)</x:f>
        <x:v>-10.69722718587915</x:v>
      </x:c>
      <x:c r="H2367" s="24" t="n">
        <x:f>F2367-G2367</x:f>
        <x:v>0.08746232519539276</x:v>
      </x:c>
    </x:row>
    <x:row r="2368">
      <x:c r="A2368" s="2" t="str">
        <x:v>LiLC-1</x:v>
      </x:c>
      <x:c r="B2368" s="4" t="str">
        <x:v>NaCl</x:v>
      </x:c>
      <x:c r="C2368" s="23" t="n">
        <x:v>2.318749</x:v>
      </x:c>
      <x:c r="D2368" s="23" t="n">
        <x:v>-21.02544</x:v>
      </x:c>
      <x:c r="E2368" s="23" t="n">
        <x:f>'Parameters'!$B$2*'Parameters'!$B$3*LN(4*PI()*C2368^2)</x:f>
        <x:v>10.444043982776158</x:v>
      </x:c>
      <x:c r="F2368" s="23" t="n">
        <x:f>D2368+E2368</x:f>
        <x:v>-10.581396017223842</x:v>
      </x:c>
      <x:c r="G2368" s="23" t="n">
        <x:f>AVERAGE($F$2344:$F$2368)</x:f>
        <x:v>-10.69722718587915</x:v>
      </x:c>
      <x:c r="H2368" s="24" t="n">
        <x:f>F2368-G2368</x:f>
        <x:v>0.1158311686553084</x:v>
      </x:c>
    </x:row>
    <x:row r="2369">
      <x:c r="A2369" s="2" t="str">
        <x:v>LiLC-1</x:v>
      </x:c>
      <x:c r="B2369" s="4" t="str">
        <x:v>NaCl</x:v>
      </x:c>
      <x:c r="C2369" s="23" t="n">
        <x:v>2.331137</x:v>
      </x:c>
      <x:c r="D2369" s="23" t="n">
        <x:v>-21.13258</x:v>
      </x:c>
      <x:c r="E2369" s="23" t="n">
        <x:f>'Parameters'!$B$2*'Parameters'!$B$3*LN(4*PI()*C2369^2)</x:f>
        <x:v>10.47046131200808</x:v>
      </x:c>
      <x:c r="F2369" s="23" t="n">
        <x:f>D2369+E2369</x:f>
        <x:v>-10.66211868799192</x:v>
      </x:c>
      <x:c r="G2369" s="23" t="n">
        <x:f>AVERAGE($F$2344:$F$2368)</x:f>
        <x:v>-10.69722718587915</x:v>
      </x:c>
      <x:c r="H2369" s="24" t="n">
        <x:f>F2369-G2369</x:f>
        <x:v>0.03510849788722936</x:v>
      </x:c>
    </x:row>
    <x:row r="2370">
      <x:c r="A2370" s="2" t="str">
        <x:v>LiLC-1</x:v>
      </x:c>
      <x:c r="B2370" s="4" t="str">
        <x:v>NaCl</x:v>
      </x:c>
      <x:c r="C2370" s="23" t="n">
        <x:v>2.343525</x:v>
      </x:c>
      <x:c r="D2370" s="23" t="n">
        <x:v>-21.02698</x:v>
      </x:c>
      <x:c r="E2370" s="23" t="n">
        <x:f>'Parameters'!$B$2*'Parameters'!$B$3*LN(4*PI()*C2370^2)</x:f>
        <x:v>10.496738627091059</x:v>
      </x:c>
      <x:c r="F2370" s="23" t="n">
        <x:f>D2370+E2370</x:f>
        <x:v>-10.53024137290894</x:v>
      </x:c>
      <x:c r="G2370" s="23" t="n">
        <x:f>AVERAGE($F$2344:$F$2368)</x:f>
        <x:v>-10.69722718587915</x:v>
      </x:c>
      <x:c r="H2370" s="24" t="n">
        <x:f>F2370-G2370</x:f>
        <x:v>0.16698581297021065</x:v>
      </x:c>
    </x:row>
    <x:row r="2371">
      <x:c r="A2371" s="2" t="str">
        <x:v>LiLC-1</x:v>
      </x:c>
      <x:c r="B2371" s="4" t="str">
        <x:v>NaCl</x:v>
      </x:c>
      <x:c r="C2371" s="23" t="n">
        <x:v>2.355913</x:v>
      </x:c>
      <x:c r="D2371" s="23" t="n">
        <x:v>-21.05241</x:v>
      </x:c>
      <x:c r="E2371" s="23" t="n">
        <x:f>'Parameters'!$B$2*'Parameters'!$B$3*LN(4*PI()*C2371^2)</x:f>
        <x:v>10.522877404378136</x:v>
      </x:c>
      <x:c r="F2371" s="23" t="n">
        <x:f>D2371+E2371</x:f>
        <x:v>-10.529532595621863</x:v>
      </x:c>
      <x:c r="G2371" s="23" t="n">
        <x:f>AVERAGE($F$2344:$F$2368)</x:f>
        <x:v>-10.69722718587915</x:v>
      </x:c>
      <x:c r="H2371" s="24" t="n">
        <x:f>F2371-G2371</x:f>
        <x:v>0.1676945902572875</x:v>
      </x:c>
    </x:row>
    <x:row r="2372">
      <x:c r="A2372" s="2" t="str">
        <x:v>LiLC-1</x:v>
      </x:c>
      <x:c r="B2372" s="4" t="str">
        <x:v>NaCl</x:v>
      </x:c>
      <x:c r="C2372" s="23" t="n">
        <x:v>2.368301</x:v>
      </x:c>
      <x:c r="D2372" s="23" t="n">
        <x:v>-21.13702</x:v>
      </x:c>
      <x:c r="E2372" s="23" t="n">
        <x:f>'Parameters'!$B$2*'Parameters'!$B$3*LN(4*PI()*C2372^2)</x:f>
        <x:v>10.548879096994062</x:v>
      </x:c>
      <x:c r="F2372" s="23" t="n">
        <x:f>D2372+E2372</x:f>
        <x:v>-10.588140903005938</x:v>
      </x:c>
      <x:c r="G2372" s="23" t="n">
        <x:f>AVERAGE($F$2344:$F$2368)</x:f>
        <x:v>-10.69722718587915</x:v>
      </x:c>
      <x:c r="H2372" s="24" t="n">
        <x:f>F2372-G2372</x:f>
        <x:v>0.10908628287321243</x:v>
      </x:c>
    </x:row>
    <x:row r="2373">
      <x:c r="A2373" s="2" t="str">
        <x:v>LiLC-1</x:v>
      </x:c>
      <x:c r="B2373" s="4" t="str">
        <x:v>NaCl</x:v>
      </x:c>
      <x:c r="C2373" s="23" t="n">
        <x:v>2.380688</x:v>
      </x:c>
      <x:c r="D2373" s="23" t="n">
        <x:v>-21.15119</x:v>
      </x:c>
      <x:c r="E2373" s="23" t="n">
        <x:f>'Parameters'!$B$2*'Parameters'!$B$3*LN(4*PI()*C2373^2)</x:f>
        <x:v>10.574743052765342</x:v>
      </x:c>
      <x:c r="F2373" s="23" t="n">
        <x:f>D2373+E2373</x:f>
        <x:v>-10.576446947234658</x:v>
      </x:c>
      <x:c r="G2373" s="23" t="n">
        <x:f>AVERAGE($F$2344:$F$2368)</x:f>
        <x:v>-10.69722718587915</x:v>
      </x:c>
      <x:c r="H2373" s="24" t="n">
        <x:f>F2373-G2373</x:f>
        <x:v>0.1207802386444925</x:v>
      </x:c>
    </x:row>
    <x:row r="2374">
      <x:c r="A2374" s="2" t="str">
        <x:v>LiLC-1</x:v>
      </x:c>
      <x:c r="B2374" s="4" t="str">
        <x:v>NaCl</x:v>
      </x:c>
      <x:c r="C2374" s="23" t="n">
        <x:v>2.393076</x:v>
      </x:c>
      <x:c r="D2374" s="23" t="n">
        <x:v>-21.13895</x:v>
      </x:c>
      <x:c r="E2374" s="23" t="n">
        <x:f>'Parameters'!$B$2*'Parameters'!$B$3*LN(4*PI()*C2374^2)</x:f>
        <x:v>10.600474855691798</x:v>
      </x:c>
      <x:c r="F2374" s="23" t="n">
        <x:f>D2374+E2374</x:f>
        <x:v>-10.538475144308203</x:v>
      </x:c>
      <x:c r="G2374" s="23" t="n">
        <x:f>AVERAGE($F$2344:$F$2368)</x:f>
        <x:v>-10.69722718587915</x:v>
      </x:c>
      <x:c r="H2374" s="24" t="n">
        <x:f>F2374-G2374</x:f>
        <x:v>0.15875204157094736</x:v>
      </x:c>
    </x:row>
    <x:row r="2375">
      <x:c r="A2375" s="2" t="str">
        <x:v>LiLC-1</x:v>
      </x:c>
      <x:c r="B2375" s="4" t="str">
        <x:v>NaCl</x:v>
      </x:c>
      <x:c r="C2375" s="23" t="n">
        <x:v>2.405464</x:v>
      </x:c>
      <x:c r="D2375" s="23" t="n">
        <x:v>-21.16318</x:v>
      </x:c>
      <x:c r="E2375" s="23" t="n">
        <x:f>'Parameters'!$B$2*'Parameters'!$B$3*LN(4*PI()*C2375^2)</x:f>
        <x:v>10.626073798625562</x:v>
      </x:c>
      <x:c r="F2375" s="23" t="n">
        <x:f>D2375+E2375</x:f>
        <x:v>-10.537106201374439</x:v>
      </x:c>
      <x:c r="G2375" s="23" t="n">
        <x:f>AVERAGE($F$2344:$F$2368)</x:f>
        <x:v>-10.69722718587915</x:v>
      </x:c>
      <x:c r="H2375" s="24" t="n">
        <x:f>F2375-G2375</x:f>
        <x:v>0.16012098450471157</x:v>
      </x:c>
    </x:row>
    <x:row r="2376">
      <x:c r="A2376" s="2" t="str">
        <x:v>LiLC-1</x:v>
      </x:c>
      <x:c r="B2376" s="4" t="str">
        <x:v>NaCl</x:v>
      </x:c>
      <x:c r="C2376" s="23" t="n">
        <x:v>2.417852</x:v>
      </x:c>
      <x:c r="D2376" s="23" t="n">
        <x:v>-21.22409</x:v>
      </x:c>
      <x:c r="E2376" s="23" t="n">
        <x:f>'Parameters'!$B$2*'Parameters'!$B$3*LN(4*PI()*C2376^2)</x:f>
        <x:v>10.651541246503538</x:v>
      </x:c>
      <x:c r="F2376" s="23" t="n">
        <x:f>D2376+E2376</x:f>
        <x:v>-10.572548753496463</x:v>
      </x:c>
      <x:c r="G2376" s="23" t="n">
        <x:f>AVERAGE($F$2344:$F$2368)</x:f>
        <x:v>-10.69722718587915</x:v>
      </x:c>
      <x:c r="H2376" s="24" t="n">
        <x:f>F2376-G2376</x:f>
        <x:v>0.12467843238268728</x:v>
      </x:c>
    </x:row>
    <x:row r="2377">
      <x:c r="A2377" s="2" t="str">
        <x:v>LiLC-1</x:v>
      </x:c>
      <x:c r="B2377" s="4" t="str">
        <x:v>NaCl</x:v>
      </x:c>
      <x:c r="C2377" s="23" t="n">
        <x:v>2.43024</x:v>
      </x:c>
      <x:c r="D2377" s="23" t="n">
        <x:v>-21.23153</x:v>
      </x:c>
      <x:c r="E2377" s="23" t="n">
        <x:f>'Parameters'!$B$2*'Parameters'!$B$3*LN(4*PI()*C2377^2)</x:f>
        <x:v>10.676878543336066</x:v>
      </x:c>
      <x:c r="F2377" s="23" t="n">
        <x:f>D2377+E2377</x:f>
        <x:v>-10.554651456663933</x:v>
      </x:c>
      <x:c r="G2377" s="23" t="n">
        <x:f>AVERAGE($F$2344:$F$2368)</x:f>
        <x:v>-10.69722718587915</x:v>
      </x:c>
      <x:c r="H2377" s="24" t="n">
        <x:f>F2377-G2377</x:f>
        <x:v>0.142575729215217</x:v>
      </x:c>
    </x:row>
    <x:row r="2378">
      <x:c r="A2378" s="2" t="str">
        <x:v>LiLC-1</x:v>
      </x:c>
      <x:c r="B2378" s="4" t="str">
        <x:v>NaCl</x:v>
      </x:c>
      <x:c r="C2378" s="23" t="n">
        <x:v>2.442628</x:v>
      </x:c>
      <x:c r="D2378" s="23" t="n">
        <x:v>-21.26764</x:v>
      </x:c>
      <x:c r="E2378" s="23" t="n">
        <x:f>'Parameters'!$B$2*'Parameters'!$B$3*LN(4*PI()*C2378^2)</x:f>
        <x:v>10.702087012632523</x:v>
      </x:c>
      <x:c r="F2378" s="23" t="n">
        <x:f>D2378+E2378</x:f>
        <x:v>-10.565552987367477</x:v>
      </x:c>
      <x:c r="G2378" s="23" t="n">
        <x:f>AVERAGE($F$2344:$F$2368)</x:f>
        <x:v>-10.69722718587915</x:v>
      </x:c>
      <x:c r="H2378" s="24" t="n">
        <x:f>F2378-G2378</x:f>
        <x:v>0.13167419851167317</x:v>
      </x:c>
    </x:row>
    <x:row r="2379">
      <x:c r="A2379" s="2" t="str">
        <x:v>LiLC-1</x:v>
      </x:c>
      <x:c r="B2379" s="4" t="str">
        <x:v>NaCl</x:v>
      </x:c>
      <x:c r="C2379" s="23" t="n">
        <x:v>2.455016</x:v>
      </x:c>
      <x:c r="D2379" s="23" t="n">
        <x:v>-21.36267</x:v>
      </x:c>
      <x:c r="E2379" s="23" t="n">
        <x:f>'Parameters'!$B$2*'Parameters'!$B$3*LN(4*PI()*C2379^2)</x:f>
        <x:v>10.727167957816171</x:v>
      </x:c>
      <x:c r="F2379" s="23" t="n">
        <x:f>D2379+E2379</x:f>
        <x:v>-10.63550204218383</x:v>
      </x:c>
      <x:c r="G2379" s="23" t="n">
        <x:f>AVERAGE($F$2344:$F$2368)</x:f>
        <x:v>-10.69722718587915</x:v>
      </x:c>
      <x:c r="H2379" s="24" t="n">
        <x:f>F2379-G2379</x:f>
        <x:v>0.06172514369531967</x:v>
      </x:c>
    </x:row>
    <x:row r="2380">
      <x:c r="A2380" s="2" t="str">
        <x:v>LiLC-1</x:v>
      </x:c>
      <x:c r="B2380" s="4" t="str">
        <x:v>NaCl</x:v>
      </x:c>
      <x:c r="C2380" s="23" t="n">
        <x:v>2.467403</x:v>
      </x:c>
      <x:c r="D2380" s="23" t="n">
        <x:v>-21.49467</x:v>
      </x:c>
      <x:c r="E2380" s="23" t="n">
        <x:f>'Parameters'!$B$2*'Parameters'!$B$3*LN(4*PI()*C2380^2)</x:f>
        <x:v>10.752120653263624</x:v>
      </x:c>
      <x:c r="F2380" s="23" t="n">
        <x:f>D2380+E2380</x:f>
        <x:v>-10.742549346736375</x:v>
      </x:c>
      <x:c r="G2380" s="23" t="n">
        <x:f>AVERAGE($F$2344:$F$2368)</x:f>
        <x:v>-10.69722718587915</x:v>
      </x:c>
      <x:c r="H2380" s="24" t="n">
        <x:f>F2380-G2380</x:f>
        <x:v>-0.04532216085722496</x:v>
      </x:c>
    </x:row>
    <x:row r="2381">
      <x:c r="A2381" s="2" t="str">
        <x:v>LiLC-1</x:v>
      </x:c>
      <x:c r="B2381" s="4" t="str">
        <x:v>NaCl</x:v>
      </x:c>
      <x:c r="C2381" s="23" t="n">
        <x:v>2.479791</x:v>
      </x:c>
      <x:c r="D2381" s="23" t="n">
        <x:v>-21.38971</x:v>
      </x:c>
      <x:c r="E2381" s="23" t="n">
        <x:f>'Parameters'!$B$2*'Parameters'!$B$3*LN(4*PI()*C2381^2)</x:f>
        <x:v>10.7769503921968</x:v>
      </x:c>
      <x:c r="F2381" s="23" t="n">
        <x:f>D2381+E2381</x:f>
        <x:v>-10.6127596078032</x:v>
      </x:c>
      <x:c r="G2381" s="23" t="n">
        <x:f>AVERAGE($F$2344:$F$2368)</x:f>
        <x:v>-10.69722718587915</x:v>
      </x:c>
      <x:c r="H2381" s="24" t="n">
        <x:f>F2381-G2381</x:f>
        <x:v>0.08446757807594985</x:v>
      </x:c>
    </x:row>
    <x:row r="2382">
      <x:c r="A2382" s="2" t="str">
        <x:v>LiLC-1</x:v>
      </x:c>
      <x:c r="B2382" s="4" t="str">
        <x:v>NaCl</x:v>
      </x:c>
      <x:c r="C2382" s="23" t="n">
        <x:v>2.492179</x:v>
      </x:c>
      <x:c r="D2382" s="23" t="n">
        <x:v>-21.61328</x:v>
      </x:c>
      <x:c r="E2382" s="23" t="n">
        <x:f>'Parameters'!$B$2*'Parameters'!$B$3*LN(4*PI()*C2382^2)</x:f>
        <x:v>10.801656400664145</x:v>
      </x:c>
      <x:c r="F2382" s="23" t="n">
        <x:f>D2382+E2382</x:f>
        <x:v>-10.811623599335855</x:v>
      </x:c>
      <x:c r="G2382" s="23" t="n">
        <x:f>AVERAGE($F$2344:$F$2368)</x:f>
        <x:v>-10.69722718587915</x:v>
      </x:c>
      <x:c r="H2382" s="24" t="n">
        <x:f>F2382-G2382</x:f>
        <x:v>-0.1143964134567046</x:v>
      </x:c>
    </x:row>
    <x:row r="2383">
      <x:c r="A2383" s="2" t="str">
        <x:v>LiLC-1</x:v>
      </x:c>
      <x:c r="B2383" s="4" t="str">
        <x:v>NaCl</x:v>
      </x:c>
      <x:c r="C2383" s="23" t="n">
        <x:v>2.504567</x:v>
      </x:c>
      <x:c r="D2383" s="23" t="n">
        <x:v>-21.51835</x:v>
      </x:c>
      <x:c r="E2383" s="23" t="n">
        <x:f>'Parameters'!$B$2*'Parameters'!$B$3*LN(4*PI()*C2383^2)</x:f>
        <x:v>10.82623990569019</x:v>
      </x:c>
      <x:c r="F2383" s="23" t="n">
        <x:f>D2383+E2383</x:f>
        <x:v>-10.692110094309811</x:v>
      </x:c>
      <x:c r="G2383" s="23" t="n">
        <x:f>AVERAGE($F$2344:$F$2368)</x:f>
        <x:v>-10.69722718587915</x:v>
      </x:c>
      <x:c r="H2383" s="24" t="n">
        <x:f>F2383-G2383</x:f>
        <x:v>0.005117091569339038</x:v>
      </x:c>
    </x:row>
    <x:row r="2384">
      <x:c r="A2384" s="2" t="str">
        <x:v>LiLC-1</x:v>
      </x:c>
      <x:c r="B2384" s="4" t="str">
        <x:v>NaCl</x:v>
      </x:c>
      <x:c r="C2384" s="23" t="n">
        <x:v>2.516955</x:v>
      </x:c>
      <x:c r="D2384" s="23" t="n">
        <x:v>-21.55509</x:v>
      </x:c>
      <x:c r="E2384" s="23" t="n">
        <x:f>'Parameters'!$B$2*'Parameters'!$B$3*LN(4*PI()*C2384^2)</x:f>
        <x:v>10.850702116137041</x:v>
      </x:c>
      <x:c r="F2384" s="23" t="n">
        <x:f>D2384+E2384</x:f>
        <x:v>-10.704387883862958</x:v>
      </x:c>
      <x:c r="G2384" s="23" t="n">
        <x:f>AVERAGE($F$2344:$F$2368)</x:f>
        <x:v>-10.69722718587915</x:v>
      </x:c>
      <x:c r="H2384" s="24" t="n">
        <x:f>F2384-G2384</x:f>
        <x:v>-0.007160697983808362</x:v>
      </x:c>
    </x:row>
    <x:row r="2385">
      <x:c r="A2385" s="2" t="str">
        <x:v>LiLC-1</x:v>
      </x:c>
      <x:c r="B2385" s="4" t="str">
        <x:v>NaCl</x:v>
      </x:c>
      <x:c r="C2385" s="23" t="n">
        <x:v>2.529343</x:v>
      </x:c>
      <x:c r="D2385" s="23" t="n">
        <x:v>-21.52477</x:v>
      </x:c>
      <x:c r="E2385" s="23" t="n">
        <x:f>'Parameters'!$B$2*'Parameters'!$B$3*LN(4*PI()*C2385^2)</x:f>
        <x:v>10.875044223061069</x:v>
      </x:c>
      <x:c r="F2385" s="23" t="n">
        <x:f>D2385+E2385</x:f>
        <x:v>-10.649725776938931</x:v>
      </x:c>
      <x:c r="G2385" s="23" t="n">
        <x:f>AVERAGE($F$2344:$F$2368)</x:f>
        <x:v>-10.69722718587915</x:v>
      </x:c>
      <x:c r="H2385" s="24" t="n">
        <x:f>F2385-G2385</x:f>
        <x:v>0.047501408940219036</x:v>
      </x:c>
    </x:row>
    <x:row r="2386">
      <x:c r="A2386" s="2" t="str">
        <x:v>LiLC-1</x:v>
      </x:c>
      <x:c r="B2386" s="4" t="str">
        <x:v>NaCl</x:v>
      </x:c>
      <x:c r="C2386" s="23" t="n">
        <x:v>2.54173</x:v>
      </x:c>
      <x:c r="D2386" s="23" t="n">
        <x:v>-21.40484</x:v>
      </x:c>
      <x:c r="E2386" s="23" t="n">
        <x:f>'Parameters'!$B$2*'Parameters'!$B$3*LN(4*PI()*C2386^2)</x:f>
        <x:v>10.899265449455173</x:v>
      </x:c>
      <x:c r="F2386" s="23" t="n">
        <x:f>D2386+E2386</x:f>
        <x:v>-10.505574550544827</x:v>
      </x:c>
      <x:c r="G2386" s="23" t="n">
        <x:f>AVERAGE($F$2344:$F$2368)</x:f>
        <x:v>-10.69722718587915</x:v>
      </x:c>
      <x:c r="H2386" s="24" t="n">
        <x:f>F2386-G2386</x:f>
        <x:v>0.1916526353343233</x:v>
      </x:c>
    </x:row>
    <x:row r="2387">
      <x:c r="A2387" s="2" t="str">
        <x:v>LiLC-1</x:v>
      </x:c>
      <x:c r="B2387" s="4" t="str">
        <x:v>NaCl</x:v>
      </x:c>
      <x:c r="C2387" s="23" t="n">
        <x:v>2.554118</x:v>
      </x:c>
      <x:c r="D2387" s="23" t="n">
        <x:v>-21.54525</x:v>
      </x:c>
      <x:c r="E2387" s="23" t="n">
        <x:f>'Parameters'!$B$2*'Parameters'!$B$3*LN(4*PI()*C2387^2)</x:f>
        <x:v>10.923370862472026</x:v>
      </x:c>
      <x:c r="F2387" s="23" t="n">
        <x:f>D2387+E2387</x:f>
        <x:v>-10.621879137527973</x:v>
      </x:c>
      <x:c r="G2387" s="23" t="n">
        <x:f>AVERAGE($F$2344:$F$2368)</x:f>
        <x:v>-10.69722718587915</x:v>
      </x:c>
      <x:c r="H2387" s="24" t="n">
        <x:f>F2387-G2387</x:f>
        <x:v>0.07534804835117725</x:v>
      </x:c>
    </x:row>
    <x:row r="2388">
      <x:c r="A2388" s="2" t="str">
        <x:v>LiLC-1</x:v>
      </x:c>
      <x:c r="B2388" s="4" t="str">
        <x:v>NaCl</x:v>
      </x:c>
      <x:c r="C2388" s="23" t="n">
        <x:v>2.566506</x:v>
      </x:c>
      <x:c r="D2388" s="23" t="n">
        <x:v>-21.64641</x:v>
      </x:c>
      <x:c r="E2388" s="23" t="n">
        <x:f>'Parameters'!$B$2*'Parameters'!$B$3*LN(4*PI()*C2388^2)</x:f>
        <x:v>10.94735964164721</x:v>
      </x:c>
      <x:c r="F2388" s="23" t="n">
        <x:f>D2388+E2388</x:f>
        <x:v>-10.699050358352789</x:v>
      </x:c>
      <x:c r="G2388" s="23" t="n">
        <x:f>AVERAGE($F$2344:$F$2368)</x:f>
        <x:v>-10.69722718587915</x:v>
      </x:c>
      <x:c r="H2388" s="24" t="n">
        <x:f>F2388-G2388</x:f>
        <x:v>-0.0018231724736388344</x:v>
      </x:c>
    </x:row>
    <x:row r="2389">
      <x:c r="A2389" s="2" t="str">
        <x:v>LiLC-1</x:v>
      </x:c>
      <x:c r="B2389" s="4" t="str">
        <x:v>NaCl</x:v>
      </x:c>
      <x:c r="C2389" s="23" t="n">
        <x:v>2.578894</x:v>
      </x:c>
      <x:c r="D2389" s="23" t="n">
        <x:v>-21.4692</x:v>
      </x:c>
      <x:c r="E2389" s="23" t="n">
        <x:f>'Parameters'!$B$2*'Parameters'!$B$3*LN(4*PI()*C2389^2)</x:f>
        <x:v>10.971232910211915</x:v>
      </x:c>
      <x:c r="F2389" s="23" t="n">
        <x:f>D2389+E2389</x:f>
        <x:v>-10.497967089788085</x:v>
      </x:c>
      <x:c r="G2389" s="23" t="n">
        <x:f>AVERAGE($F$2344:$F$2368)</x:f>
        <x:v>-10.69722718587915</x:v>
      </x:c>
      <x:c r="H2389" s="24" t="n">
        <x:f>F2389-G2389</x:f>
        <x:v>0.19926009609106465</x:v>
      </x:c>
    </x:row>
    <x:row r="2390">
      <x:c r="A2390" s="2" t="str">
        <x:v>LiLC-1</x:v>
      </x:c>
      <x:c r="B2390" s="4" t="str">
        <x:v>NaCl</x:v>
      </x:c>
      <x:c r="C2390" s="23" t="n">
        <x:v>2.591282</x:v>
      </x:c>
      <x:c r="D2390" s="23" t="n">
        <x:v>-21.41436</x:v>
      </x:c>
      <x:c r="E2390" s="23" t="n">
        <x:f>'Parameters'!$B$2*'Parameters'!$B$3*LN(4*PI()*C2390^2)</x:f>
        <x:v>10.994991775249304</x:v>
      </x:c>
      <x:c r="F2390" s="23" t="n">
        <x:f>D2390+E2390</x:f>
        <x:v>-10.419368224750695</x:v>
      </x:c>
      <x:c r="G2390" s="23" t="n">
        <x:f>AVERAGE($F$2344:$F$2368)</x:f>
        <x:v>-10.69722718587915</x:v>
      </x:c>
      <x:c r="H2390" s="24" t="n">
        <x:f>F2390-G2390</x:f>
        <x:v>0.2778589611284552</x:v>
      </x:c>
    </x:row>
    <x:row r="2391">
      <x:c r="A2391" s="2" t="str">
        <x:v>LiLC-1</x:v>
      </x:c>
      <x:c r="B2391" s="4" t="str">
        <x:v>NaCl</x:v>
      </x:c>
      <x:c r="C2391" s="23" t="n">
        <x:v>2.60367</x:v>
      </x:c>
      <x:c r="D2391" s="23" t="n">
        <x:v>-21.48466</x:v>
      </x:c>
      <x:c r="E2391" s="23" t="n">
        <x:f>'Parameters'!$B$2*'Parameters'!$B$3*LN(4*PI()*C2391^2)</x:f>
        <x:v>11.01863732800256</x:v>
      </x:c>
      <x:c r="F2391" s="23" t="n">
        <x:f>D2391+E2391</x:f>
        <x:v>-10.466022671997441</x:v>
      </x:c>
      <x:c r="G2391" s="23" t="n">
        <x:f>AVERAGE($F$2344:$F$2368)</x:f>
        <x:v>-10.69722718587915</x:v>
      </x:c>
      <x:c r="H2391" s="24" t="n">
        <x:f>F2391-G2391</x:f>
        <x:v>0.2312045138817087</x:v>
      </x:c>
    </x:row>
    <x:row r="2392">
      <x:c r="A2392" s="2" t="str">
        <x:v>LiLC-1</x:v>
      </x:c>
      <x:c r="B2392" s="4" t="str">
        <x:v>NaCl</x:v>
      </x:c>
      <x:c r="C2392" s="23" t="n">
        <x:v>2.616057</x:v>
      </x:c>
      <x:c r="D2392" s="23" t="n">
        <x:v>-21.36512</x:v>
      </x:c>
      <x:c r="E2392" s="23" t="n">
        <x:f>'Parameters'!$B$2*'Parameters'!$B$3*LN(4*PI()*C2392^2)</x:f>
        <x:v>11.04216874899022</x:v>
      </x:c>
      <x:c r="F2392" s="23" t="n">
        <x:f>D2392+E2392</x:f>
        <x:v>-10.322951251009782</x:v>
      </x:c>
      <x:c r="G2392" s="23" t="n">
        <x:f>AVERAGE($F$2344:$F$2368)</x:f>
        <x:v>-10.69722718587915</x:v>
      </x:c>
      <x:c r="H2392" s="24" t="n">
        <x:f>F2392-G2392</x:f>
        <x:v>0.3742759348693685</x:v>
      </x:c>
    </x:row>
    <x:row r="2393">
      <x:c r="A2393" s="2" t="str">
        <x:v>LiLC-1</x:v>
      </x:c>
      <x:c r="B2393" s="4" t="str">
        <x:v>NaCl</x:v>
      </x:c>
      <x:c r="C2393" s="23" t="n">
        <x:v>2.628445</x:v>
      </x:c>
      <x:c r="D2393" s="23" t="n">
        <x:v>-21.52068</x:v>
      </x:c>
      <x:c r="E2393" s="23" t="n">
        <x:f>'Parameters'!$B$2*'Parameters'!$B$3*LN(4*PI()*C2393^2)</x:f>
        <x:v>11.065590897973623</x:v>
      </x:c>
      <x:c r="F2393" s="23" t="n">
        <x:f>D2393+E2393</x:f>
        <x:v>-10.455089102026376</x:v>
      </x:c>
      <x:c r="G2393" s="23" t="n">
        <x:f>AVERAGE($F$2344:$F$2368)</x:f>
        <x:v>-10.69722718587915</x:v>
      </x:c>
      <x:c r="H2393" s="24" t="n">
        <x:f>F2393-G2393</x:f>
        <x:v>0.24213808385277424</x:v>
      </x:c>
    </x:row>
    <x:row r="2394">
      <x:c r="A2394" s="2" t="str">
        <x:v>LiLC-1</x:v>
      </x:c>
      <x:c r="B2394" s="4" t="str">
        <x:v>NaCl</x:v>
      </x:c>
      <x:c r="C2394" s="23" t="n">
        <x:v>2.640833</x:v>
      </x:c>
      <x:c r="D2394" s="23" t="n">
        <x:v>-21.22193</x:v>
      </x:c>
      <x:c r="E2394" s="23" t="n">
        <x:f>'Parameters'!$B$2*'Parameters'!$B$3*LN(4*PI()*C2394^2)</x:f>
        <x:v>11.088902916250964</x:v>
      </x:c>
      <x:c r="F2394" s="23" t="n">
        <x:f>D2394+E2394</x:f>
        <x:v>-10.133027083749036</x:v>
      </x:c>
      <x:c r="G2394" s="23" t="n">
        <x:f>AVERAGE($F$2344:$F$2368)</x:f>
        <x:v>-10.69722718587915</x:v>
      </x:c>
      <x:c r="H2394" s="24" t="n">
        <x:f>F2394-G2394</x:f>
        <x:v>0.5642001021301137</x:v>
      </x:c>
    </x:row>
    <x:row r="2395">
      <x:c r="A2395" s="2" t="str">
        <x:v>LiLC-1</x:v>
      </x:c>
      <x:c r="B2395" s="4" t="str">
        <x:v>NaCl</x:v>
      </x:c>
      <x:c r="C2395" s="23" t="n">
        <x:v>2.653221</x:v>
      </x:c>
      <x:c r="D2395" s="23" t="n">
        <x:v>-21.4413</x:v>
      </x:c>
      <x:c r="E2395" s="23" t="n">
        <x:f>'Parameters'!$B$2*'Parameters'!$B$3*LN(4*PI()*C2395^2)</x:f>
        <x:v>11.11210583464414</x:v>
      </x:c>
      <x:c r="F2395" s="23" t="n">
        <x:f>D2395+E2395</x:f>
        <x:v>-10.329194165355858</x:v>
      </x:c>
      <x:c r="G2395" s="23" t="n">
        <x:f>AVERAGE($F$2344:$F$2368)</x:f>
        <x:v>-10.69722718587915</x:v>
      </x:c>
      <x:c r="H2395" s="24" t="n">
        <x:f>F2395-G2395</x:f>
        <x:v>0.368033020523292</x:v>
      </x:c>
    </x:row>
    <x:row r="2396">
      <x:c r="A2396" s="2" t="str">
        <x:v>LiLC-1</x:v>
      </x:c>
      <x:c r="B2396" s="4" t="str">
        <x:v>NaCl</x:v>
      </x:c>
      <x:c r="C2396" s="23" t="n">
        <x:v>2.665609</x:v>
      </x:c>
      <x:c r="D2396" s="23" t="n">
        <x:v>-21.64176</x:v>
      </x:c>
      <x:c r="E2396" s="23" t="n">
        <x:f>'Parameters'!$B$2*'Parameters'!$B$3*LN(4*PI()*C2396^2)</x:f>
        <x:v>11.135200669569716</x:v>
      </x:c>
      <x:c r="F2396" s="23" t="n">
        <x:f>D2396+E2396</x:f>
        <x:v>-10.506559330430285</x:v>
      </x:c>
      <x:c r="G2396" s="23" t="n">
        <x:f>AVERAGE($F$2344:$F$2368)</x:f>
        <x:v>-10.69722718587915</x:v>
      </x:c>
      <x:c r="H2396" s="24" t="n">
        <x:f>F2396-G2396</x:f>
        <x:v>0.190667855448865</x:v>
      </x:c>
    </x:row>
    <x:row r="2397">
      <x:c r="A2397" s="2" t="str">
        <x:v>LiLC-1</x:v>
      </x:c>
      <x:c r="B2397" s="4" t="str">
        <x:v>NaCl</x:v>
      </x:c>
      <x:c r="C2397" s="23" t="n">
        <x:v>2.677997</x:v>
      </x:c>
      <x:c r="D2397" s="23" t="n">
        <x:v>-21.00521</x:v>
      </x:c>
      <x:c r="E2397" s="23" t="n">
        <x:f>'Parameters'!$B$2*'Parameters'!$B$3*LN(4*PI()*C2397^2)</x:f>
        <x:v>11.1581884233061</x:v>
      </x:c>
      <x:c r="F2397" s="23" t="n">
        <x:f>D2397+E2397</x:f>
        <x:v>-9.847021576693901</x:v>
      </x:c>
      <x:c r="G2397" s="23" t="n">
        <x:f>AVERAGE($F$2344:$F$2368)</x:f>
        <x:v>-10.69722718587915</x:v>
      </x:c>
      <x:c r="H2397" s="24" t="n">
        <x:f>F2397-G2397</x:f>
        <x:v>0.8502056091852488</x:v>
      </x:c>
    </x:row>
    <x:row r="2398">
      <x:c r="A2398" s="2" t="str">
        <x:v>LiLC-1</x:v>
      </x:c>
      <x:c r="B2398" s="4" t="str">
        <x:v>NaCl</x:v>
      </x:c>
      <x:c r="C2398" s="23" t="n">
        <x:v>2.690384</x:v>
      </x:c>
      <x:c r="D2398" s="23" t="n">
        <x:v>-22.10617</x:v>
      </x:c>
      <x:c r="E2398" s="23" t="n">
        <x:f>'Parameters'!$B$2*'Parameters'!$B$3*LN(4*PI()*C2398^2)</x:f>
        <x:v>11.181068241427216</x:v>
      </x:c>
      <x:c r="F2398" s="23" t="n">
        <x:f>D2398+E2398</x:f>
        <x:v>-10.925101758572783</x:v>
      </x:c>
      <x:c r="G2398" s="23" t="n">
        <x:f>AVERAGE($F$2344:$F$2368)</x:f>
        <x:v>-10.69722718587915</x:v>
      </x:c>
      <x:c r="H2398" s="24" t="n">
        <x:f>F2398-G2398</x:f>
        <x:v>-0.22787457269363287</x:v>
      </x:c>
    </x:row>
    <x:row r="2399">
      <x:c r="A2399" s="2" t="str">
        <x:v>LiLC-1</x:v>
      </x:c>
      <x:c r="B2399" s="4" t="str">
        <x:v>NaCl</x:v>
      </x:c>
      <x:c r="C2399" s="23" t="n">
        <x:v>2.702772</x:v>
      </x:c>
      <x:c r="D2399" s="23" t="n">
        <x:v>-22.42225</x:v>
      </x:c>
      <x:c r="E2399" s="23" t="n">
        <x:f>'Parameters'!$B$2*'Parameters'!$B$3*LN(4*PI()*C2399^2)</x:f>
        <x:v>11.2038447928133</x:v>
      </x:c>
      <x:c r="F2399" s="23" t="n">
        <x:f>D2399+E2399</x:f>
        <x:v>-11.218405207186699</x:v>
      </x:c>
      <x:c r="G2399" s="23" t="n">
        <x:f>AVERAGE($F$2344:$F$2368)</x:f>
        <x:v>-10.69722718587915</x:v>
      </x:c>
      <x:c r="H2399" s="24" t="n">
        <x:f>F2399-G2399</x:f>
        <x:v>-0.5211780213075485</x:v>
      </x:c>
    </x:row>
    <x:row r="2400">
      <x:c r="A2400" s="2" t="str">
        <x:v>LiLC-1</x:v>
      </x:c>
      <x:c r="B2400" s="4" t="str">
        <x:v>NaCl</x:v>
      </x:c>
      <x:c r="C2400" s="23" t="n">
        <x:v>2.71516</x:v>
      </x:c>
      <x:c r="D2400" s="23" t="n">
        <x:v>-21.74461</x:v>
      </x:c>
      <x:c r="E2400" s="23" t="n">
        <x:f>'Parameters'!$B$2*'Parameters'!$B$3*LN(4*PI()*C2400^2)</x:f>
        <x:v>11.226517187519587</x:v>
      </x:c>
      <x:c r="F2400" s="23" t="n">
        <x:f>D2400+E2400</x:f>
        <x:v>-10.518092812480415</x:v>
      </x:c>
      <x:c r="G2400" s="23" t="n">
        <x:f>AVERAGE($F$2344:$F$2368)</x:f>
        <x:v>-10.69722718587915</x:v>
      </x:c>
      <x:c r="H2400" s="24" t="n">
        <x:f>F2400-G2400</x:f>
        <x:v>0.1791343733987354</x:v>
      </x:c>
    </x:row>
    <x:row r="2401">
      <x:c r="A2401" s="2" t="str">
        <x:v>LiLC-1</x:v>
      </x:c>
      <x:c r="B2401" s="4" t="str">
        <x:v>NaCl</x:v>
      </x:c>
      <x:c r="C2401" s="23" t="n">
        <x:v>2.727548</x:v>
      </x:c>
      <x:c r="D2401" s="23" t="n">
        <x:v>-23.94183</x:v>
      </x:c>
      <x:c r="E2401" s="23" t="n">
        <x:f>'Parameters'!$B$2*'Parameters'!$B$3*LN(4*PI()*C2401^2)</x:f>
        <x:v>11.249086373823783</x:v>
      </x:c>
      <x:c r="F2401" s="23" t="n">
        <x:f>D2401+E2401</x:f>
        <x:v>-12.692743626176217</x:v>
      </x:c>
      <x:c r="G2401" s="23" t="n">
        <x:f>AVERAGE($F$2344:$F$2368)</x:f>
        <x:v>-10.69722718587915</x:v>
      </x:c>
      <x:c r="H2401" s="24" t="n">
        <x:f>F2401-G2401</x:f>
        <x:v>-1.9955164402970667</x:v>
      </x:c>
    </x:row>
    <x:row r="2402">
      <x:c r="A2402" s="2" t="str">
        <x:v>LiA3-Ref</x:v>
      </x:c>
      <x:c r="B2402" s="4" t="str">
        <x:v>LiCl</x:v>
      </x:c>
      <x:c r="C2402" s="23" t="n">
        <x:v>0.226241</x:v>
      </x:c>
      <x:c r="D2402" s="23" t="n">
        <x:v>0</x:v>
      </x:c>
      <x:c r="E2402" s="23" t="n">
        <x:f>'Parameters'!$B$2*'Parameters'!$B$3*LN(4*PI()*C2402^2)</x:f>
        <x:v>-1.0939258225776851</x:v>
      </x:c>
      <x:c r="F2402" s="23" t="n">
        <x:f>D2402+E2402</x:f>
        <x:v>-1.0939258225776851</x:v>
      </x:c>
      <x:c r="G2402" s="23" t="n">
        <x:f>AVERAGE($F$2545:$F$2568)</x:f>
        <x:v>-9.62303365813066</x:v>
      </x:c>
      <x:c r="H2402" s="24" t="n">
        <x:f>F2402-G2402</x:f>
        <x:v>8.529107835552976</x:v>
      </x:c>
    </x:row>
    <x:row r="2403">
      <x:c r="A2403" s="2" t="str">
        <x:v>LiA3-Ref</x:v>
      </x:c>
      <x:c r="B2403" s="4" t="str">
        <x:v>LiCl</x:v>
      </x:c>
      <x:c r="C2403" s="23" t="n">
        <x:v>0.2386029</x:v>
      </x:c>
      <x:c r="D2403" s="23" t="n">
        <x:v>-1.497099</x:v>
      </x:c>
      <x:c r="E2403" s="23" t="n">
        <x:f>'Parameters'!$B$2*'Parameters'!$B$3*LN(4*PI()*C2403^2)</x:f>
        <x:v>-0.830165483581342</x:v>
      </x:c>
      <x:c r="F2403" s="23" t="n">
        <x:f>D2403+E2403</x:f>
        <x:v>-2.327264483581342</x:v>
      </x:c>
      <x:c r="G2403" s="23" t="n">
        <x:f>AVERAGE($F$2545:$F$2568)</x:f>
        <x:v>-9.62303365813066</x:v>
      </x:c>
      <x:c r="H2403" s="24" t="n">
        <x:f>F2403-G2403</x:f>
        <x:v>7.295769174549319</x:v>
      </x:c>
    </x:row>
    <x:row r="2404">
      <x:c r="A2404" s="2" t="str">
        <x:v>LiA3-Ref</x:v>
      </x:c>
      <x:c r="B2404" s="4" t="str">
        <x:v>LiCl</x:v>
      </x:c>
      <x:c r="C2404" s="23" t="n">
        <x:v>0.2509649</x:v>
      </x:c>
      <x:c r="D2404" s="23" t="n">
        <x:v>-2.921742</x:v>
      </x:c>
      <x:c r="E2404" s="23" t="n">
        <x:f>'Parameters'!$B$2*'Parameters'!$B$3*LN(4*PI()*C2404^2)</x:f>
        <x:v>-0.579729222041099</x:v>
      </x:c>
      <x:c r="F2404" s="23" t="n">
        <x:f>D2404+E2404</x:f>
        <x:v>-3.501471222041099</x:v>
      </x:c>
      <x:c r="G2404" s="23" t="n">
        <x:f>AVERAGE($F$2545:$F$2568)</x:f>
        <x:v>-9.62303365813066</x:v>
      </x:c>
      <x:c r="H2404" s="24" t="n">
        <x:f>F2404-G2404</x:f>
        <x:v>6.121562436089562</x:v>
      </x:c>
    </x:row>
    <x:row r="2405">
      <x:c r="A2405" s="2" t="str">
        <x:v>LiA3-Ref</x:v>
      </x:c>
      <x:c r="B2405" s="4" t="str">
        <x:v>LiCl</x:v>
      </x:c>
      <x:c r="C2405" s="23" t="n">
        <x:v>0.2633268</x:v>
      </x:c>
      <x:c r="D2405" s="23" t="n">
        <x:v>-3.854245</x:v>
      </x:c>
      <x:c r="E2405" s="23" t="n">
        <x:f>'Parameters'!$B$2*'Parameters'!$B$3*LN(4*PI()*C2405^2)</x:f>
        <x:v>-0.3413390419181336</x:v>
      </x:c>
      <x:c r="F2405" s="23" t="n">
        <x:f>D2405+E2405</x:f>
        <x:v>-4.195584041918134</x:v>
      </x:c>
      <x:c r="G2405" s="23" t="n">
        <x:f>AVERAGE($F$2545:$F$2568)</x:f>
        <x:v>-9.62303365813066</x:v>
      </x:c>
      <x:c r="H2405" s="24" t="n">
        <x:f>F2405-G2405</x:f>
        <x:v>5.4274496162125265</x:v>
      </x:c>
    </x:row>
    <x:row r="2406">
      <x:c r="A2406" s="2" t="str">
        <x:v>LiA3-Ref</x:v>
      </x:c>
      <x:c r="B2406" s="4" t="str">
        <x:v>LiCl</x:v>
      </x:c>
      <x:c r="C2406" s="23" t="n">
        <x:v>0.2756888</x:v>
      </x:c>
      <x:c r="D2406" s="23" t="n">
        <x:v>-4.139634</x:v>
      </x:c>
      <x:c r="E2406" s="23" t="n">
        <x:f>'Parameters'!$B$2*'Parameters'!$B$3*LN(4*PI()*C2406^2)</x:f>
        <x:v>-0.11388557728668806</x:v>
      </x:c>
      <x:c r="F2406" s="23" t="n">
        <x:f>D2406+E2406</x:f>
        <x:v>-4.2535195772866885</x:v>
      </x:c>
      <x:c r="G2406" s="23" t="n">
        <x:f>AVERAGE($F$2545:$F$2568)</x:f>
        <x:v>-9.62303365813066</x:v>
      </x:c>
      <x:c r="H2406" s="24" t="n">
        <x:f>F2406-G2406</x:f>
        <x:v>5.369514080843972</x:v>
      </x:c>
    </x:row>
    <x:row r="2407">
      <x:c r="A2407" s="2" t="str">
        <x:v>LiA3-Ref</x:v>
      </x:c>
      <x:c r="B2407" s="4" t="str">
        <x:v>LiCl</x:v>
      </x:c>
      <x:c r="C2407" s="23" t="n">
        <x:v>0.2880507</x:v>
      </x:c>
      <x:c r="D2407" s="23" t="n">
        <x:v>-3.561237</x:v>
      </x:c>
      <x:c r="E2407" s="23" t="n">
        <x:f>'Parameters'!$B$2*'Parameters'!$B$3*LN(4*PI()*C2407^2)</x:f>
        <x:v>0.10358743773275415</x:v>
      </x:c>
      <x:c r="F2407" s="23" t="n">
        <x:f>D2407+E2407</x:f>
        <x:v>-3.457649562267246</x:v>
      </x:c>
      <x:c r="G2407" s="23" t="n">
        <x:f>AVERAGE($F$2545:$F$2568)</x:f>
        <x:v>-9.62303365813066</x:v>
      </x:c>
      <x:c r="H2407" s="24" t="n">
        <x:f>F2407-G2407</x:f>
        <x:v>6.1653840958634145</x:v>
      </x:c>
    </x:row>
    <x:row r="2408">
      <x:c r="A2408" s="2" t="str">
        <x:v>LiA3-Ref</x:v>
      </x:c>
      <x:c r="B2408" s="4" t="str">
        <x:v>LiCl</x:v>
      </x:c>
      <x:c r="C2408" s="23" t="n">
        <x:v>0.3004126</x:v>
      </x:c>
      <x:c r="D2408" s="23" t="n">
        <x:v>-2.609404</x:v>
      </x:c>
      <x:c r="E2408" s="23" t="n">
        <x:f>'Parameters'!$B$2*'Parameters'!$B$3*LN(4*PI()*C2408^2)</x:f>
        <x:v>0.3119207553644029</x:v>
      </x:c>
      <x:c r="F2408" s="23" t="n">
        <x:f>D2408+E2408</x:f>
        <x:v>-2.2974832446355973</x:v>
      </x:c>
      <x:c r="G2408" s="23" t="n">
        <x:f>AVERAGE($F$2545:$F$2568)</x:f>
        <x:v>-9.62303365813066</x:v>
      </x:c>
      <x:c r="H2408" s="24" t="n">
        <x:f>F2408-G2408</x:f>
        <x:v>7.325550413495064</x:v>
      </x:c>
    </x:row>
    <x:row r="2409">
      <x:c r="A2409" s="2" t="str">
        <x:v>LiA3-Ref</x:v>
      </x:c>
      <x:c r="B2409" s="4" t="str">
        <x:v>LiCl</x:v>
      </x:c>
      <x:c r="C2409" s="23" t="n">
        <x:v>0.3127746</x:v>
      </x:c>
      <x:c r="D2409" s="23" t="n">
        <x:v>-1.488207</x:v>
      </x:c>
      <x:c r="E2409" s="23" t="n">
        <x:f>'Parameters'!$B$2*'Parameters'!$B$3*LN(4*PI()*C2409^2)</x:f>
        <x:v>0.511853301446503</x:v>
      </x:c>
      <x:c r="F2409" s="23" t="n">
        <x:f>D2409+E2409</x:f>
        <x:v>-0.9763536985534971</x:v>
      </x:c>
      <x:c r="G2409" s="23" t="n">
        <x:f>AVERAGE($F$2545:$F$2568)</x:f>
        <x:v>-9.62303365813066</x:v>
      </x:c>
      <x:c r="H2409" s="24" t="n">
        <x:f>F2409-G2409</x:f>
        <x:v>8.646679959577163</x:v>
      </x:c>
    </x:row>
    <x:row r="2410">
      <x:c r="A2410" s="2" t="str">
        <x:v>LiA3-Ref</x:v>
      </x:c>
      <x:c r="B2410" s="4" t="str">
        <x:v>LiCl</x:v>
      </x:c>
      <x:c r="C2410" s="23" t="n">
        <x:v>0.3251365</x:v>
      </x:c>
      <x:c r="D2410" s="23" t="n">
        <x:v>-0.8924309</x:v>
      </x:c>
      <x:c r="E2410" s="23" t="n">
        <x:f>'Parameters'!$B$2*'Parameters'!$B$3*LN(4*PI()*C2410^2)</x:f>
        <x:v>0.7040334081015474</x:v>
      </x:c>
      <x:c r="F2410" s="23" t="n">
        <x:f>D2410+E2410</x:f>
        <x:v>-0.18839749189845267</x:v>
      </x:c>
      <x:c r="G2410" s="23" t="n">
        <x:f>AVERAGE($F$2545:$F$2568)</x:f>
        <x:v>-9.62303365813066</x:v>
      </x:c>
      <x:c r="H2410" s="24" t="n">
        <x:f>F2410-G2410</x:f>
        <x:v>9.434636166232208</x:v>
      </x:c>
    </x:row>
    <x:row r="2411">
      <x:c r="A2411" s="2" t="str">
        <x:v>LiA3-Ref</x:v>
      </x:c>
      <x:c r="B2411" s="4" t="str">
        <x:v>LiCl</x:v>
      </x:c>
      <x:c r="C2411" s="23" t="n">
        <x:v>0.3374985</x:v>
      </x:c>
      <x:c r="D2411" s="23" t="n">
        <x:v>-0.8465155</x:v>
      </x:c>
      <x:c r="E2411" s="23" t="n">
        <x:f>'Parameters'!$B$2*'Parameters'!$B$3*LN(4*PI()*C2411^2)</x:f>
        <x:v>0.8890427888448923</x:v>
      </x:c>
      <x:c r="F2411" s="23" t="n">
        <x:f>D2411+E2411</x:f>
        <x:v>0.04252728884489232</x:v>
      </x:c>
      <x:c r="G2411" s="23" t="n">
        <x:f>AVERAGE($F$2545:$F$2568)</x:f>
        <x:v>-9.62303365813066</x:v>
      </x:c>
      <x:c r="H2411" s="24" t="n">
        <x:f>F2411-G2411</x:f>
        <x:v>9.665560946975553</x:v>
      </x:c>
    </x:row>
    <x:row r="2412">
      <x:c r="A2412" s="2" t="str">
        <x:v>LiA3-Ref</x:v>
      </x:c>
      <x:c r="B2412" s="4" t="str">
        <x:v>LiCl</x:v>
      </x:c>
      <x:c r="C2412" s="23" t="n">
        <x:v>0.3498604</x:v>
      </x:c>
      <x:c r="D2412" s="23" t="n">
        <x:v>-1.35348</x:v>
      </x:c>
      <x:c r="E2412" s="23" t="n">
        <x:f>'Parameters'!$B$2*'Parameters'!$B$3*LN(4*PI()*C2412^2)</x:f>
        <x:v>1.0673945844914239</x:v>
      </x:c>
      <x:c r="F2412" s="23" t="n">
        <x:f>D2412+E2412</x:f>
        <x:v>-0.28608541550857614</x:v>
      </x:c>
      <x:c r="G2412" s="23" t="n">
        <x:f>AVERAGE($F$2545:$F$2568)</x:f>
        <x:v>-9.62303365813066</x:v>
      </x:c>
      <x:c r="H2412" s="24" t="n">
        <x:f>F2412-G2412</x:f>
        <x:v>9.336948242622084</x:v>
      </x:c>
    </x:row>
    <x:row r="2413">
      <x:c r="A2413" s="2" t="str">
        <x:v>LiA3-Ref</x:v>
      </x:c>
      <x:c r="B2413" s="4" t="str">
        <x:v>LiCl</x:v>
      </x:c>
      <x:c r="C2413" s="23" t="n">
        <x:v>0.3622224</x:v>
      </x:c>
      <x:c r="D2413" s="23" t="n">
        <x:v>-3.252206</x:v>
      </x:c>
      <x:c r="E2413" s="23" t="n">
        <x:f>'Parameters'!$B$2*'Parameters'!$B$3*LN(4*PI()*C2413^2)</x:f>
        <x:v>1.2395540353568275</x:v>
      </x:c>
      <x:c r="F2413" s="23" t="n">
        <x:f>D2413+E2413</x:f>
        <x:v>-2.0126519646431724</x:v>
      </x:c>
      <x:c r="G2413" s="23" t="n">
        <x:f>AVERAGE($F$2545:$F$2568)</x:f>
        <x:v>-9.62303365813066</x:v>
      </x:c>
      <x:c r="H2413" s="24" t="n">
        <x:f>F2413-G2413</x:f>
        <x:v>7.610381693487488</x:v>
      </x:c>
    </x:row>
    <x:row r="2414">
      <x:c r="A2414" s="2" t="str">
        <x:v>LiA3-Ref</x:v>
      </x:c>
      <x:c r="B2414" s="4" t="str">
        <x:v>LiCl</x:v>
      </x:c>
      <x:c r="C2414" s="23" t="n">
        <x:v>0.3745843</x:v>
      </x:c>
      <x:c r="D2414" s="23" t="n">
        <x:v>-4.502469</x:v>
      </x:c>
      <x:c r="E2414" s="23" t="n">
        <x:f>'Parameters'!$B$2*'Parameters'!$B$3*LN(4*PI()*C2414^2)</x:f>
        <x:v>1.4059341444240983</x:v>
      </x:c>
      <x:c r="F2414" s="23" t="n">
        <x:f>D2414+E2414</x:f>
        <x:v>-3.0965348555759014</x:v>
      </x:c>
      <x:c r="G2414" s="23" t="n">
        <x:f>AVERAGE($F$2545:$F$2568)</x:f>
        <x:v>-9.62303365813066</x:v>
      </x:c>
      <x:c r="H2414" s="24" t="n">
        <x:f>F2414-G2414</x:f>
        <x:v>6.526498802554759</x:v>
      </x:c>
    </x:row>
    <x:row r="2415">
      <x:c r="A2415" s="2" t="str">
        <x:v>LiA3-Ref</x:v>
      </x:c>
      <x:c r="B2415" s="4" t="str">
        <x:v>LiCl</x:v>
      </x:c>
      <x:c r="C2415" s="23" t="n">
        <x:v>0.3869463</x:v>
      </x:c>
      <x:c r="D2415" s="23" t="n">
        <x:v>-5.780579</x:v>
      </x:c>
      <x:c r="E2415" s="23" t="n">
        <x:f>'Parameters'!$B$2*'Parameters'!$B$3*LN(4*PI()*C2415^2)</x:f>
        <x:v>1.5669128838399289</x:v>
      </x:c>
      <x:c r="F2415" s="23" t="n">
        <x:f>D2415+E2415</x:f>
        <x:v>-4.213666116160072</x:v>
      </x:c>
      <x:c r="G2415" s="23" t="n">
        <x:f>AVERAGE($F$2545:$F$2568)</x:f>
        <x:v>-9.62303365813066</x:v>
      </x:c>
      <x:c r="H2415" s="24" t="n">
        <x:f>F2415-G2415</x:f>
        <x:v>5.409367541970589</x:v>
      </x:c>
    </x:row>
    <x:row r="2416">
      <x:c r="A2416" s="2" t="str">
        <x:v>LiA3-Ref</x:v>
      </x:c>
      <x:c r="B2416" s="4" t="str">
        <x:v>LiCl</x:v>
      </x:c>
      <x:c r="C2416" s="23" t="n">
        <x:v>0.3993082</x:v>
      </x:c>
      <x:c r="D2416" s="23" t="n">
        <x:v>-7.003737</x:v>
      </x:c>
      <x:c r="E2416" s="23" t="n">
        <x:f>'Parameters'!$B$2*'Parameters'!$B$3*LN(4*PI()*C2416^2)</x:f>
        <x:v>1.7228275113322142</x:v>
      </x:c>
      <x:c r="F2416" s="23" t="n">
        <x:f>D2416+E2416</x:f>
        <x:v>-5.280909488667786</x:v>
      </x:c>
      <x:c r="G2416" s="23" t="n">
        <x:f>AVERAGE($F$2545:$F$2568)</x:f>
        <x:v>-9.62303365813066</x:v>
      </x:c>
      <x:c r="H2416" s="24" t="n">
        <x:f>F2416-G2416</x:f>
        <x:v>4.342124169462875</x:v>
      </x:c>
    </x:row>
    <x:row r="2417">
      <x:c r="A2417" s="2" t="str">
        <x:v>LiA3-Ref</x:v>
      </x:c>
      <x:c r="B2417" s="4" t="str">
        <x:v>LiCl</x:v>
      </x:c>
      <x:c r="C2417" s="23" t="n">
        <x:v>0.4116702</x:v>
      </x:c>
      <x:c r="D2417" s="23" t="n">
        <x:v>-8.096847</x:v>
      </x:c>
      <x:c r="E2417" s="23" t="n">
        <x:f>'Parameters'!$B$2*'Parameters'!$B$3*LN(4*PI()*C2417^2)</x:f>
        <x:v>1.8739893211388645</x:v>
      </x:c>
      <x:c r="F2417" s="23" t="n">
        <x:f>D2417+E2417</x:f>
        <x:v>-6.222857678861136</x:v>
      </x:c>
      <x:c r="G2417" s="23" t="n">
        <x:f>AVERAGE($F$2545:$F$2568)</x:f>
        <x:v>-9.62303365813066</x:v>
      </x:c>
      <x:c r="H2417" s="24" t="n">
        <x:f>F2417-G2417</x:f>
        <x:v>3.400175979269525</x:v>
      </x:c>
    </x:row>
    <x:row r="2418">
      <x:c r="A2418" s="2" t="str">
        <x:v>LiA3-Ref</x:v>
      </x:c>
      <x:c r="B2418" s="4" t="str">
        <x:v>LiCl</x:v>
      </x:c>
      <x:c r="C2418" s="23" t="n">
        <x:v>0.4240321</x:v>
      </x:c>
      <x:c r="D2418" s="23" t="n">
        <x:v>-8.922391</x:v>
      </x:c>
      <x:c r="E2418" s="23" t="n">
        <x:f>'Parameters'!$B$2*'Parameters'!$B$3*LN(4*PI()*C2418^2)</x:f>
        <x:v>2.020677223347825</x:v>
      </x:c>
      <x:c r="F2418" s="23" t="n">
        <x:f>D2418+E2418</x:f>
        <x:v>-6.901713776652175</x:v>
      </x:c>
      <x:c r="G2418" s="23" t="n">
        <x:f>AVERAGE($F$2545:$F$2568)</x:f>
        <x:v>-9.62303365813066</x:v>
      </x:c>
      <x:c r="H2418" s="24" t="n">
        <x:f>F2418-G2418</x:f>
        <x:v>2.721319881478486</x:v>
      </x:c>
    </x:row>
    <x:row r="2419">
      <x:c r="A2419" s="2" t="str">
        <x:v>LiA3-Ref</x:v>
      </x:c>
      <x:c r="B2419" s="4" t="str">
        <x:v>LiCl</x:v>
      </x:c>
      <x:c r="C2419" s="23" t="n">
        <x:v>0.436394</x:v>
      </x:c>
      <x:c r="D2419" s="23" t="n">
        <x:v>-9.734332</x:v>
      </x:c>
      <x:c r="E2419" s="23" t="n">
        <x:f>'Parameters'!$B$2*'Parameters'!$B$3*LN(4*PI()*C2419^2)</x:f>
        <x:v>2.163149552712822</x:v>
      </x:c>
      <x:c r="F2419" s="23" t="n">
        <x:f>D2419+E2419</x:f>
        <x:v>-7.571182447287178</x:v>
      </x:c>
      <x:c r="G2419" s="23" t="n">
        <x:f>AVERAGE($F$2545:$F$2568)</x:f>
        <x:v>-9.62303365813066</x:v>
      </x:c>
      <x:c r="H2419" s="24" t="n">
        <x:f>F2419-G2419</x:f>
        <x:v>2.0518512108434823</x:v>
      </x:c>
    </x:row>
    <x:row r="2420">
      <x:c r="A2420" s="2" t="str">
        <x:v>LiA3-Ref</x:v>
      </x:c>
      <x:c r="B2420" s="4" t="str">
        <x:v>LiCl</x:v>
      </x:c>
      <x:c r="C2420" s="23" t="n">
        <x:v>0.448756</x:v>
      </x:c>
      <x:c r="D2420" s="23" t="n">
        <x:v>-10.45349</x:v>
      </x:c>
      <x:c r="E2420" s="23" t="n">
        <x:f>'Parameters'!$B$2*'Parameters'!$B$3*LN(4*PI()*C2420^2)</x:f>
        <x:v>2.301642958124503</x:v>
      </x:c>
      <x:c r="F2420" s="23" t="n">
        <x:f>D2420+E2420</x:f>
        <x:v>-8.151847041875497</x:v>
      </x:c>
      <x:c r="G2420" s="23" t="n">
        <x:f>AVERAGE($F$2545:$F$2568)</x:f>
        <x:v>-9.62303365813066</x:v>
      </x:c>
      <x:c r="H2420" s="24" t="n">
        <x:f>F2420-G2420</x:f>
        <x:v>1.4711866162551637</x:v>
      </x:c>
    </x:row>
    <x:row r="2421">
      <x:c r="A2421" s="2" t="str">
        <x:v>LiA3-Ref</x:v>
      </x:c>
      <x:c r="B2421" s="4" t="str">
        <x:v>LiCl</x:v>
      </x:c>
      <x:c r="C2421" s="23" t="n">
        <x:v>0.4611179</x:v>
      </x:c>
      <x:c r="D2421" s="23" t="n">
        <x:v>-10.79928</x:v>
      </x:c>
      <x:c r="E2421" s="23" t="n">
        <x:f>'Parameters'!$B$2*'Parameters'!$B$3*LN(4*PI()*C2421^2)</x:f>
        <x:v>2.436371538319758</x:v>
      </x:c>
      <x:c r="F2421" s="23" t="n">
        <x:f>D2421+E2421</x:f>
        <x:v>-8.362908461680242</x:v>
      </x:c>
      <x:c r="G2421" s="23" t="n">
        <x:f>AVERAGE($F$2545:$F$2568)</x:f>
        <x:v>-9.62303365813066</x:v>
      </x:c>
      <x:c r="H2421" s="24" t="n">
        <x:f>F2421-G2421</x:f>
        <x:v>1.260125196450419</x:v>
      </x:c>
    </x:row>
    <x:row r="2422">
      <x:c r="A2422" s="2" t="str">
        <x:v>LiA3-Ref</x:v>
      </x:c>
      <x:c r="B2422" s="4" t="str">
        <x:v>LiCl</x:v>
      </x:c>
      <x:c r="C2422" s="23" t="n">
        <x:v>0.4734799</x:v>
      </x:c>
      <x:c r="D2422" s="23" t="n">
        <x:v>-11.42495</x:v>
      </x:c>
      <x:c r="E2422" s="23" t="n">
        <x:f>'Parameters'!$B$2*'Parameters'!$B$3*LN(4*PI()*C2422^2)</x:f>
        <x:v>2.5675366412196787</x:v>
      </x:c>
      <x:c r="F2422" s="23" t="n">
        <x:f>D2422+E2422</x:f>
        <x:v>-8.857413358780322</x:v>
      </x:c>
      <x:c r="G2422" s="23" t="n">
        <x:f>AVERAGE($F$2545:$F$2568)</x:f>
        <x:v>-9.62303365813066</x:v>
      </x:c>
      <x:c r="H2422" s="24" t="n">
        <x:f>F2422-G2422</x:f>
        <x:v>0.7656202993503385</x:v>
      </x:c>
    </x:row>
    <x:row r="2423">
      <x:c r="A2423" s="2" t="str">
        <x:v>LiA3-Ref</x:v>
      </x:c>
      <x:c r="B2423" s="4" t="str">
        <x:v>LiCl</x:v>
      </x:c>
      <x:c r="C2423" s="23" t="n">
        <x:v>0.4858418</x:v>
      </x:c>
      <x:c r="D2423" s="23" t="n">
        <x:v>-11.77363</x:v>
      </x:c>
      <x:c r="E2423" s="23" t="n">
        <x:f>'Parameters'!$B$2*'Parameters'!$B$3*LN(4*PI()*C2423^2)</x:f>
        <x:v>2.6953199083542225</x:v>
      </x:c>
      <x:c r="F2423" s="23" t="n">
        <x:f>D2423+E2423</x:f>
        <x:v>-9.078310091645779</x:v>
      </x:c>
      <x:c r="G2423" s="23" t="n">
        <x:f>AVERAGE($F$2545:$F$2568)</x:f>
        <x:v>-9.62303365813066</x:v>
      </x:c>
      <x:c r="H2423" s="24" t="n">
        <x:f>F2423-G2423</x:f>
        <x:v>0.5447235664848815</x:v>
      </x:c>
    </x:row>
    <x:row r="2424">
      <x:c r="A2424" s="2" t="str">
        <x:v>LiA3-Ref</x:v>
      </x:c>
      <x:c r="B2424" s="4" t="str">
        <x:v>LiCl</x:v>
      </x:c>
      <x:c r="C2424" s="23" t="n">
        <x:v>0.4982038</x:v>
      </x:c>
      <x:c r="D2424" s="23" t="n">
        <x:v>-12.0877</x:v>
      </x:c>
      <x:c r="E2424" s="23" t="n">
        <x:f>'Parameters'!$B$2*'Parameters'!$B$3*LN(4*PI()*C2424^2)</x:f>
        <x:v>2.8198933184530603</x:v>
      </x:c>
      <x:c r="F2424" s="23" t="n">
        <x:f>D2424+E2424</x:f>
        <x:v>-9.26780668154694</x:v>
      </x:c>
      <x:c r="G2424" s="23" t="n">
        <x:f>AVERAGE($F$2545:$F$2568)</x:f>
        <x:v>-9.62303365813066</x:v>
      </x:c>
      <x:c r="H2424" s="24" t="n">
        <x:f>F2424-G2424</x:f>
        <x:v>0.3552269765837206</x:v>
      </x:c>
    </x:row>
    <x:row r="2425">
      <x:c r="A2425" s="2" t="str">
        <x:v>LiA3-Ref</x:v>
      </x:c>
      <x:c r="B2425" s="4" t="str">
        <x:v>LiCl</x:v>
      </x:c>
      <x:c r="C2425" s="23" t="n">
        <x:v>0.5105657</x:v>
      </x:c>
      <x:c r="D2425" s="23" t="n">
        <x:v>-12.175</x:v>
      </x:c>
      <x:c r="E2425" s="23" t="n">
        <x:f>'Parameters'!$B$2*'Parameters'!$B$3*LN(4*PI()*C2425^2)</x:f>
        <x:v>2.94141227009426</x:v>
      </x:c>
      <x:c r="F2425" s="23" t="n">
        <x:f>D2425+E2425</x:f>
        <x:v>-9.233587729905741</x:v>
      </x:c>
      <x:c r="G2425" s="23" t="n">
        <x:f>AVERAGE($F$2545:$F$2568)</x:f>
        <x:v>-9.62303365813066</x:v>
      </x:c>
      <x:c r="H2425" s="24" t="n">
        <x:f>F2425-G2425</x:f>
        <x:v>0.3894459282249194</x:v>
      </x:c>
    </x:row>
    <x:row r="2426">
      <x:c r="A2426" s="2" t="str">
        <x:v>LiA3-Ref</x:v>
      </x:c>
      <x:c r="B2426" s="4" t="str">
        <x:v>LiCl</x:v>
      </x:c>
      <x:c r="C2426" s="23" t="n">
        <x:v>0.5229277</x:v>
      </x:c>
      <x:c r="D2426" s="23" t="n">
        <x:v>-12.23443</x:v>
      </x:c>
      <x:c r="E2426" s="23" t="n">
        <x:f>'Parameters'!$B$2*'Parameters'!$B$3*LN(4*PI()*C2426^2)</x:f>
        <x:v>3.0600248453637326</x:v>
      </x:c>
      <x:c r="F2426" s="23" t="n">
        <x:f>D2426+E2426</x:f>
        <x:v>-9.174405154636267</x:v>
      </x:c>
      <x:c r="G2426" s="23" t="n">
        <x:f>AVERAGE($F$2545:$F$2568)</x:f>
        <x:v>-9.62303365813066</x:v>
      </x:c>
      <x:c r="H2426" s="24" t="n">
        <x:f>F2426-G2426</x:f>
        <x:v>0.448628503494394</x:v>
      </x:c>
    </x:row>
    <x:row r="2427">
      <x:c r="A2427" s="2" t="str">
        <x:v>LiA3-Ref</x:v>
      </x:c>
      <x:c r="B2427" s="4" t="str">
        <x:v>LiCl</x:v>
      </x:c>
      <x:c r="C2427" s="23" t="n">
        <x:v>0.5352896</x:v>
      </x:c>
      <x:c r="D2427" s="23" t="n">
        <x:v>-12.15039</x:v>
      </x:c>
      <x:c r="E2427" s="23" t="n">
        <x:f>'Parameters'!$B$2*'Parameters'!$B$3*LN(4*PI()*C2427^2)</x:f>
        <x:v>3.175864996490691</x:v>
      </x:c>
      <x:c r="F2427" s="23" t="n">
        <x:f>D2427+E2427</x:f>
        <x:v>-8.974525003509308</x:v>
      </x:c>
      <x:c r="G2427" s="23" t="n">
        <x:f>AVERAGE($F$2545:$F$2568)</x:f>
        <x:v>-9.62303365813066</x:v>
      </x:c>
      <x:c r="H2427" s="24" t="n">
        <x:f>F2427-G2427</x:f>
        <x:v>0.6485086546213523</x:v>
      </x:c>
    </x:row>
    <x:row r="2428">
      <x:c r="A2428" s="2" t="str">
        <x:v>LiA3-Ref</x:v>
      </x:c>
      <x:c r="B2428" s="4" t="str">
        <x:v>LiCl</x:v>
      </x:c>
      <x:c r="C2428" s="23" t="n">
        <x:v>0.5476515</x:v>
      </x:c>
      <x:c r="D2428" s="23" t="n">
        <x:v>-12.21083</x:v>
      </x:c>
      <x:c r="E2428" s="23" t="n">
        <x:f>'Parameters'!$B$2*'Parameters'!$B$3*LN(4*PI()*C2428^2)</x:f>
        <x:v>3.2890602572723364</x:v>
      </x:c>
      <x:c r="F2428" s="23" t="n">
        <x:f>D2428+E2428</x:f>
        <x:v>-8.921769742727664</x:v>
      </x:c>
      <x:c r="G2428" s="23" t="n">
        <x:f>AVERAGE($F$2545:$F$2568)</x:f>
        <x:v>-9.62303365813066</x:v>
      </x:c>
      <x:c r="H2428" s="24" t="n">
        <x:f>F2428-G2428</x:f>
        <x:v>0.7012639154029969</x:v>
      </x:c>
    </x:row>
    <x:row r="2429">
      <x:c r="A2429" s="2" t="str">
        <x:v>LiA3-Ref</x:v>
      </x:c>
      <x:c r="B2429" s="4" t="str">
        <x:v>LiCl</x:v>
      </x:c>
      <x:c r="C2429" s="23" t="n">
        <x:v>0.5600135</x:v>
      </x:c>
      <x:c r="D2429" s="23" t="n">
        <x:v>-12.43415</x:v>
      </x:c>
      <x:c r="E2429" s="23" t="n">
        <x:f>'Parameters'!$B$2*'Parameters'!$B$3*LN(4*PI()*C2429^2)</x:f>
        <x:v>3.399729599418961</x:v>
      </x:c>
      <x:c r="F2429" s="23" t="n">
        <x:f>D2429+E2429</x:f>
        <x:v>-9.03442040058104</x:v>
      </x:c>
      <x:c r="G2429" s="23" t="n">
        <x:f>AVERAGE($F$2545:$F$2568)</x:f>
        <x:v>-9.62303365813066</x:v>
      </x:c>
      <x:c r="H2429" s="24" t="n">
        <x:f>F2429-G2429</x:f>
        <x:v>0.5886132575496212</x:v>
      </x:c>
    </x:row>
    <x:row r="2430">
      <x:c r="A2430" s="2" t="str">
        <x:v>LiA3-Ref</x:v>
      </x:c>
      <x:c r="B2430" s="4" t="str">
        <x:v>LiCl</x:v>
      </x:c>
      <x:c r="C2430" s="23" t="n">
        <x:v>0.5723754</x:v>
      </x:c>
      <x:c r="D2430" s="23" t="n">
        <x:v>-12.53438</x:v>
      </x:c>
      <x:c r="E2430" s="23" t="n">
        <x:f>'Parameters'!$B$2*'Parameters'!$B$3*LN(4*PI()*C2430^2)</x:f>
        <x:v>3.507981583634623</x:v>
      </x:c>
      <x:c r="F2430" s="23" t="n">
        <x:f>D2430+E2430</x:f>
        <x:v>-9.026398416365378</x:v>
      </x:c>
      <x:c r="G2430" s="23" t="n">
        <x:f>AVERAGE($F$2545:$F$2568)</x:f>
        <x:v>-9.62303365813066</x:v>
      </x:c>
      <x:c r="H2430" s="24" t="n">
        <x:f>F2430-G2430</x:f>
        <x:v>0.5966352417652825</x:v>
      </x:c>
    </x:row>
    <x:row r="2431">
      <x:c r="A2431" s="2" t="str">
        <x:v>LiA3-Ref</x:v>
      </x:c>
      <x:c r="B2431" s="4" t="str">
        <x:v>LiCl</x:v>
      </x:c>
      <x:c r="C2431" s="23" t="n">
        <x:v>0.5847374</x:v>
      </x:c>
      <x:c r="D2431" s="23" t="n">
        <x:v>-12.82691</x:v>
      </x:c>
      <x:c r="E2431" s="23" t="n">
        <x:f>'Parameters'!$B$2*'Parameters'!$B$3*LN(4*PI()*C2431^2)</x:f>
        <x:v>3.6139212388979223</x:v>
      </x:c>
      <x:c r="F2431" s="23" t="n">
        <x:f>D2431+E2431</x:f>
        <x:v>-9.212988761102078</x:v>
      </x:c>
      <x:c r="G2431" s="23" t="n">
        <x:f>AVERAGE($F$2545:$F$2568)</x:f>
        <x:v>-9.62303365813066</x:v>
      </x:c>
      <x:c r="H2431" s="24" t="n">
        <x:f>F2431-G2431</x:f>
        <x:v>0.41004489702858216</x:v>
      </x:c>
    </x:row>
    <x:row r="2432">
      <x:c r="A2432" s="2" t="str">
        <x:v>LiA3-Ref</x:v>
      </x:c>
      <x:c r="B2432" s="4" t="str">
        <x:v>LiCl</x:v>
      </x:c>
      <x:c r="C2432" s="23" t="n">
        <x:v>0.5970993</x:v>
      </x:c>
      <x:c r="D2432" s="23" t="n">
        <x:v>-13.25141</x:v>
      </x:c>
      <x:c r="E2432" s="23" t="n">
        <x:f>'Parameters'!$B$2*'Parameters'!$B$3*LN(4*PI()*C2432^2)</x:f>
        <x:v>3.717643645159224</x:v>
      </x:c>
      <x:c r="F2432" s="23" t="n">
        <x:f>D2432+E2432</x:f>
        <x:v>-9.533766354840775</x:v>
      </x:c>
      <x:c r="G2432" s="23" t="n">
        <x:f>AVERAGE($F$2545:$F$2568)</x:f>
        <x:v>-9.62303365813066</x:v>
      </x:c>
      <x:c r="H2432" s="24" t="n">
        <x:f>F2432-G2432</x:f>
        <x:v>0.08926730328988519</x:v>
      </x:c>
    </x:row>
    <x:row r="2433">
      <x:c r="A2433" s="2" t="str">
        <x:v>LiA3-Ref</x:v>
      </x:c>
      <x:c r="B2433" s="4" t="str">
        <x:v>LiCl</x:v>
      </x:c>
      <x:c r="C2433" s="23" t="n">
        <x:v>0.6094613</x:v>
      </x:c>
      <x:c r="D2433" s="23" t="n">
        <x:v>-13.45631</x:v>
      </x:c>
      <x:c r="E2433" s="23" t="n">
        <x:f>'Parameters'!$B$2*'Parameters'!$B$3*LN(4*PI()*C2433^2)</x:f>
        <x:v>3.819241324267755</x:v>
      </x:c>
      <x:c r="F2433" s="23" t="n">
        <x:f>D2433+E2433</x:f>
        <x:v>-9.637068675732245</x:v>
      </x:c>
      <x:c r="G2433" s="23" t="n">
        <x:f>AVERAGE($F$2545:$F$2568)</x:f>
        <x:v>-9.62303365813066</x:v>
      </x:c>
      <x:c r="H2433" s="24" t="n">
        <x:f>F2433-G2433</x:f>
        <x:v>-0.014035017601583988</x:v>
      </x:c>
    </x:row>
    <x:row r="2434">
      <x:c r="A2434" s="2" t="str">
        <x:v>LiA3-Ref</x:v>
      </x:c>
      <x:c r="B2434" s="4" t="str">
        <x:v>LiCl</x:v>
      </x:c>
      <x:c r="C2434" s="23" t="n">
        <x:v>0.6218232</x:v>
      </x:c>
      <x:c r="D2434" s="23" t="n">
        <x:v>-13.72727</x:v>
      </x:c>
      <x:c r="E2434" s="23" t="n">
        <x:f>'Parameters'!$B$2*'Parameters'!$B$3*LN(4*PI()*C2434^2)</x:f>
        <x:v>3.918798002222666</x:v>
      </x:c>
      <x:c r="F2434" s="23" t="n">
        <x:f>D2434+E2434</x:f>
        <x:v>-9.808471997777335</x:v>
      </x:c>
      <x:c r="G2434" s="23" t="n">
        <x:f>AVERAGE($F$2545:$F$2568)</x:f>
        <x:v>-9.62303365813066</x:v>
      </x:c>
      <x:c r="H2434" s="24" t="n">
        <x:f>F2434-G2434</x:f>
        <x:v>-0.18543833964667478</x:v>
      </x:c>
    </x:row>
    <x:row r="2435">
      <x:c r="A2435" s="2" t="str">
        <x:v>LiA3-Ref</x:v>
      </x:c>
      <x:c r="B2435" s="4" t="str">
        <x:v>LiCl</x:v>
      </x:c>
      <x:c r="C2435" s="23" t="n">
        <x:v>0.6341852</x:v>
      </x:c>
      <x:c r="D2435" s="23" t="n">
        <x:v>-14.04524</x:v>
      </x:c>
      <x:c r="E2435" s="23" t="n">
        <x:f>'Parameters'!$B$2*'Parameters'!$B$3*LN(4*PI()*C2435^2)</x:f>
        <x:v>4.016395618248973</x:v>
      </x:c>
      <x:c r="F2435" s="23" t="n">
        <x:f>D2435+E2435</x:f>
        <x:v>-10.028844381751027</x:v>
      </x:c>
      <x:c r="G2435" s="23" t="n">
        <x:f>AVERAGE($F$2545:$F$2568)</x:f>
        <x:v>-9.62303365813066</x:v>
      </x:c>
      <x:c r="H2435" s="24" t="n">
        <x:f>F2435-G2435</x:f>
        <x:v>-0.4058107236203661</x:v>
      </x:c>
    </x:row>
    <x:row r="2436">
      <x:c r="A2436" s="2" t="str">
        <x:v>LiA3-Ref</x:v>
      </x:c>
      <x:c r="B2436" s="4" t="str">
        <x:v>LiCl</x:v>
      </x:c>
      <x:c r="C2436" s="23" t="n">
        <x:v>0.6465471</x:v>
      </x:c>
      <x:c r="D2436" s="23" t="n">
        <x:v>-14.37456</x:v>
      </x:c>
      <x:c r="E2436" s="23" t="n">
        <x:f>'Parameters'!$B$2*'Parameters'!$B$3*LN(4*PI()*C2436^2)</x:f>
        <x:v>4.112108268357478</x:v>
      </x:c>
      <x:c r="F2436" s="23" t="n">
        <x:f>D2436+E2436</x:f>
        <x:v>-10.262451731642523</x:v>
      </x:c>
      <x:c r="G2436" s="23" t="n">
        <x:f>AVERAGE($F$2545:$F$2568)</x:f>
        <x:v>-9.62303365813066</x:v>
      </x:c>
      <x:c r="H2436" s="24" t="n">
        <x:f>F2436-G2436</x:f>
        <x:v>-0.6394180735118624</x:v>
      </x:c>
    </x:row>
    <x:row r="2437">
      <x:c r="A2437" s="2" t="str">
        <x:v>LiA3-Ref</x:v>
      </x:c>
      <x:c r="B2437" s="4" t="str">
        <x:v>LiCl</x:v>
      </x:c>
      <x:c r="C2437" s="23" t="n">
        <x:v>0.6589091</x:v>
      </x:c>
      <x:c r="D2437" s="23" t="n">
        <x:v>-14.5476</x:v>
      </x:c>
      <x:c r="E2437" s="23" t="n">
        <x:f>'Parameters'!$B$2*'Parameters'!$B$3*LN(4*PI()*C2437^2)</x:f>
        <x:v>4.206008876700578</x:v>
      </x:c>
      <x:c r="F2437" s="23" t="n">
        <x:f>D2437+E2437</x:f>
        <x:v>-10.341591123299422</x:v>
      </x:c>
      <x:c r="G2437" s="23" t="n">
        <x:f>AVERAGE($F$2545:$F$2568)</x:f>
        <x:v>-9.62303365813066</x:v>
      </x:c>
      <x:c r="H2437" s="24" t="n">
        <x:f>F2437-G2437</x:f>
        <x:v>-0.718557465168761</x:v>
      </x:c>
    </x:row>
    <x:row r="2438">
      <x:c r="A2438" s="2" t="str">
        <x:v>LiA3-Ref</x:v>
      </x:c>
      <x:c r="B2438" s="4" t="str">
        <x:v>LiCl</x:v>
      </x:c>
      <x:c r="C2438" s="23" t="n">
        <x:v>0.671271</x:v>
      </x:c>
      <x:c r="D2438" s="23" t="n">
        <x:v>-14.77971</x:v>
      </x:c>
      <x:c r="E2438" s="23" t="n">
        <x:f>'Parameters'!$B$2*'Parameters'!$B$3*LN(4*PI()*C2438^2)</x:f>
        <x:v>4.298163318588259</x:v>
      </x:c>
      <x:c r="F2438" s="23" t="n">
        <x:f>D2438+E2438</x:f>
        <x:v>-10.481546681411741</x:v>
      </x:c>
      <x:c r="G2438" s="23" t="n">
        <x:f>AVERAGE($F$2545:$F$2568)</x:f>
        <x:v>-9.62303365813066</x:v>
      </x:c>
      <x:c r="H2438" s="24" t="n">
        <x:f>F2438-G2438</x:f>
        <x:v>-0.8585130232810805</x:v>
      </x:c>
    </x:row>
    <x:row r="2439">
      <x:c r="A2439" s="2" t="str">
        <x:v>LiA3-Ref</x:v>
      </x:c>
      <x:c r="B2439" s="4" t="str">
        <x:v>LiCl</x:v>
      </x:c>
      <x:c r="C2439" s="23" t="n">
        <x:v>0.6836329</x:v>
      </x:c>
      <x:c r="D2439" s="23" t="n">
        <x:v>-14.77198</x:v>
      </x:c>
      <x:c r="E2439" s="23" t="n">
        <x:f>'Parameters'!$B$2*'Parameters'!$B$3*LN(4*PI()*C2439^2)</x:f>
        <x:v>4.388636065104466</x:v>
      </x:c>
      <x:c r="F2439" s="23" t="n">
        <x:f>D2439+E2439</x:f>
        <x:v>-10.383343934895533</x:v>
      </x:c>
      <x:c r="G2439" s="23" t="n">
        <x:f>AVERAGE($F$2545:$F$2568)</x:f>
        <x:v>-9.62303365813066</x:v>
      </x:c>
      <x:c r="H2439" s="24" t="n">
        <x:f>F2439-G2439</x:f>
        <x:v>-0.7603102767648728</x:v>
      </x:c>
    </x:row>
    <x:row r="2440">
      <x:c r="A2440" s="2" t="str">
        <x:v>LiA3-Ref</x:v>
      </x:c>
      <x:c r="B2440" s="4" t="str">
        <x:v>LiCl</x:v>
      </x:c>
      <x:c r="C2440" s="23" t="n">
        <x:v>0.6959949</x:v>
      </x:c>
      <x:c r="D2440" s="23" t="n">
        <x:v>-15.04963</x:v>
      </x:c>
      <x:c r="E2440" s="23" t="n">
        <x:f>'Parameters'!$B$2*'Parameters'!$B$3*LN(4*PI()*C2440^2)</x:f>
        <x:v>4.477488107614512</x:v>
      </x:c>
      <x:c r="F2440" s="23" t="n">
        <x:f>D2440+E2440</x:f>
        <x:v>-10.572141892385488</x:v>
      </x:c>
      <x:c r="G2440" s="23" t="n">
        <x:f>AVERAGE($F$2545:$F$2568)</x:f>
        <x:v>-9.62303365813066</x:v>
      </x:c>
      <x:c r="H2440" s="24" t="n">
        <x:f>F2440-G2440</x:f>
        <x:v>-0.9491082342548278</x:v>
      </x:c>
    </x:row>
    <x:row r="2441">
      <x:c r="A2441" s="2" t="str">
        <x:v>LiA3-Ref</x:v>
      </x:c>
      <x:c r="B2441" s="4" t="str">
        <x:v>LiCl</x:v>
      </x:c>
      <x:c r="C2441" s="23" t="n">
        <x:v>0.7083568</x:v>
      </x:c>
      <x:c r="D2441" s="23" t="n">
        <x:v>-15.04604</x:v>
      </x:c>
      <x:c r="E2441" s="23" t="n">
        <x:f>'Parameters'!$B$2*'Parameters'!$B$3*LN(4*PI()*C2441^2)</x:f>
        <x:v>4.564775104005459</x:v>
      </x:c>
      <x:c r="F2441" s="23" t="n">
        <x:f>D2441+E2441</x:f>
        <x:v>-10.48126489599454</x:v>
      </x:c>
      <x:c r="G2441" s="23" t="n">
        <x:f>AVERAGE($F$2545:$F$2568)</x:f>
        <x:v>-9.62303365813066</x:v>
      </x:c>
      <x:c r="H2441" s="24" t="n">
        <x:f>F2441-G2441</x:f>
        <x:v>-0.8582312378638797</x:v>
      </x:c>
    </x:row>
    <x:row r="2442">
      <x:c r="A2442" s="2" t="str">
        <x:v>LiA3-Ref</x:v>
      </x:c>
      <x:c r="B2442" s="4" t="str">
        <x:v>LiCl</x:v>
      </x:c>
      <x:c r="C2442" s="23" t="n">
        <x:v>0.7207188</x:v>
      </x:c>
      <x:c r="D2442" s="23" t="n">
        <x:v>-15.21919</x:v>
      </x:c>
      <x:c r="E2442" s="23" t="n">
        <x:f>'Parameters'!$B$2*'Parameters'!$B$3*LN(4*PI()*C2442^2)</x:f>
        <x:v>4.650552598783548</x:v>
      </x:c>
      <x:c r="F2442" s="23" t="n">
        <x:f>D2442+E2442</x:f>
        <x:v>-10.568637401216451</x:v>
      </x:c>
      <x:c r="G2442" s="23" t="n">
        <x:f>AVERAGE($F$2545:$F$2568)</x:f>
        <x:v>-9.62303365813066</x:v>
      </x:c>
      <x:c r="H2442" s="24" t="n">
        <x:f>F2442-G2442</x:f>
        <x:v>-0.9456037430857904</x:v>
      </x:c>
    </x:row>
    <x:row r="2443">
      <x:c r="A2443" s="2" t="str">
        <x:v>LiA3-Ref</x:v>
      </x:c>
      <x:c r="B2443" s="4" t="str">
        <x:v>LiCl</x:v>
      </x:c>
      <x:c r="C2443" s="23" t="n">
        <x:v>0.7330807</x:v>
      </x:c>
      <x:c r="D2443" s="23" t="n">
        <x:v>-15.11459</x:v>
      </x:c>
      <x:c r="E2443" s="23" t="n">
        <x:f>'Parameters'!$B$2*'Parameters'!$B$3*LN(4*PI()*C2443^2)</x:f>
        <x:v>4.7348705738851375</x:v>
      </x:c>
      <x:c r="F2443" s="23" t="n">
        <x:f>D2443+E2443</x:f>
        <x:v>-10.379719426114862</x:v>
      </x:c>
      <x:c r="G2443" s="23" t="n">
        <x:f>AVERAGE($F$2545:$F$2568)</x:f>
        <x:v>-9.62303365813066</x:v>
      </x:c>
      <x:c r="H2443" s="24" t="n">
        <x:f>F2443-G2443</x:f>
        <x:v>-0.7566857679842016</x:v>
      </x:c>
    </x:row>
    <x:row r="2444">
      <x:c r="A2444" s="2" t="str">
        <x:v>LiA3-Ref</x:v>
      </x:c>
      <x:c r="B2444" s="4" t="str">
        <x:v>LiCl</x:v>
      </x:c>
      <x:c r="C2444" s="23" t="n">
        <x:v>0.7454427</x:v>
      </x:c>
      <x:c r="D2444" s="23" t="n">
        <x:v>-15.2842</x:v>
      </x:c>
      <x:c r="E2444" s="23" t="n">
        <x:f>'Parameters'!$B$2*'Parameters'!$B$3*LN(4*PI()*C2444^2)</x:f>
        <x:v>4.817779186430523</x:v>
      </x:c>
      <x:c r="F2444" s="23" t="n">
        <x:f>D2444+E2444</x:f>
        <x:v>-10.466420813569478</x:v>
      </x:c>
      <x:c r="G2444" s="23" t="n">
        <x:f>AVERAGE($F$2545:$F$2568)</x:f>
        <x:v>-9.62303365813066</x:v>
      </x:c>
      <x:c r="H2444" s="24" t="n">
        <x:f>F2444-G2444</x:f>
        <x:v>-0.8433871554388173</x:v>
      </x:c>
    </x:row>
    <x:row r="2445">
      <x:c r="A2445" s="2" t="str">
        <x:v>LiA3-Ref</x:v>
      </x:c>
      <x:c r="B2445" s="4" t="str">
        <x:v>LiCl</x:v>
      </x:c>
      <x:c r="C2445" s="23" t="n">
        <x:v>0.7578046</x:v>
      </x:c>
      <x:c r="D2445" s="23" t="n">
        <x:v>-15.23482</x:v>
      </x:c>
      <x:c r="E2445" s="23" t="n">
        <x:f>'Parameters'!$B$2*'Parameters'!$B$3*LN(4*PI()*C2445^2)</x:f>
        <x:v>4.899323479819187</x:v>
      </x:c>
      <x:c r="F2445" s="23" t="n">
        <x:f>D2445+E2445</x:f>
        <x:v>-10.335496520180811</x:v>
      </x:c>
      <x:c r="G2445" s="23" t="n">
        <x:f>AVERAGE($F$2545:$F$2568)</x:f>
        <x:v>-9.62303365813066</x:v>
      </x:c>
      <x:c r="H2445" s="24" t="n">
        <x:f>F2445-G2445</x:f>
        <x:v>-0.7124628620501507</x:v>
      </x:c>
    </x:row>
    <x:row r="2446">
      <x:c r="A2446" s="2" t="str">
        <x:v>LiA3-Ref</x:v>
      </x:c>
      <x:c r="B2446" s="4" t="str">
        <x:v>LiCl</x:v>
      </x:c>
      <x:c r="C2446" s="23" t="n">
        <x:v>0.7701666</x:v>
      </x:c>
      <x:c r="D2446" s="23" t="n">
        <x:v>-15.25516</x:v>
      </x:c>
      <x:c r="E2446" s="23" t="n">
        <x:f>'Parameters'!$B$2*'Parameters'!$B$3*LN(4*PI()*C2446^2)</x:f>
        <x:v>4.979548906719291</x:v>
      </x:c>
      <x:c r="F2446" s="23" t="n">
        <x:f>D2446+E2446</x:f>
        <x:v>-10.275611093280709</x:v>
      </x:c>
      <x:c r="G2446" s="23" t="n">
        <x:f>AVERAGE($F$2545:$F$2568)</x:f>
        <x:v>-9.62303365813066</x:v>
      </x:c>
      <x:c r="H2446" s="24" t="n">
        <x:f>F2446-G2446</x:f>
        <x:v>-0.6525774351500484</x:v>
      </x:c>
    </x:row>
    <x:row r="2447">
      <x:c r="A2447" s="2" t="str">
        <x:v>LiA3-Ref</x:v>
      </x:c>
      <x:c r="B2447" s="4" t="str">
        <x:v>LiCl</x:v>
      </x:c>
      <x:c r="C2447" s="23" t="n">
        <x:v>0.7825285</x:v>
      </x:c>
      <x:c r="D2447" s="23" t="n">
        <x:v>-15.29225</x:v>
      </x:c>
      <x:c r="E2447" s="23" t="n">
        <x:f>'Parameters'!$B$2*'Parameters'!$B$3*LN(4*PI()*C2447^2)</x:f>
        <x:v>5.058496193706605</x:v>
      </x:c>
      <x:c r="F2447" s="23" t="n">
        <x:f>D2447+E2447</x:f>
        <x:v>-10.233753806293393</x:v>
      </x:c>
      <x:c r="G2447" s="23" t="n">
        <x:f>AVERAGE($F$2545:$F$2568)</x:f>
        <x:v>-9.62303365813066</x:v>
      </x:c>
      <x:c r="H2447" s="24" t="n">
        <x:f>F2447-G2447</x:f>
        <x:v>-0.6107201481627325</x:v>
      </x:c>
    </x:row>
    <x:row r="2448">
      <x:c r="A2448" s="2" t="str">
        <x:v>LiA3-Ref</x:v>
      </x:c>
      <x:c r="B2448" s="4" t="str">
        <x:v>LiCl</x:v>
      </x:c>
      <x:c r="C2448" s="23" t="n">
        <x:v>0.7948904</x:v>
      </x:c>
      <x:c r="D2448" s="23" t="n">
        <x:v>-15.35817</x:v>
      </x:c>
      <x:c r="E2448" s="23" t="n">
        <x:f>'Parameters'!$B$2*'Parameters'!$B$3*LN(4*PI()*C2448^2)</x:f>
        <x:v>5.136206043072684</x:v>
      </x:c>
      <x:c r="F2448" s="23" t="n">
        <x:f>D2448+E2448</x:f>
        <x:v>-10.221963956927315</x:v>
      </x:c>
      <x:c r="G2448" s="23" t="n">
        <x:f>AVERAGE($F$2545:$F$2568)</x:f>
        <x:v>-9.62303365813066</x:v>
      </x:c>
      <x:c r="H2448" s="24" t="n">
        <x:f>F2448-G2448</x:f>
        <x:v>-0.5989302987966543</x:v>
      </x:c>
    </x:row>
    <x:row r="2449">
      <x:c r="A2449" s="2" t="str">
        <x:v>LiA3-Ref</x:v>
      </x:c>
      <x:c r="B2449" s="4" t="str">
        <x:v>LiCl</x:v>
      </x:c>
      <x:c r="C2449" s="23" t="n">
        <x:v>0.8072524</x:v>
      </x:c>
      <x:c r="D2449" s="23" t="n">
        <x:v>-15.32387</x:v>
      </x:c>
      <x:c r="E2449" s="23" t="n">
        <x:f>'Parameters'!$B$2*'Parameters'!$B$3*LN(4*PI()*C2449^2)</x:f>
        <x:v>5.2127172628535865</x:v>
      </x:c>
      <x:c r="F2449" s="23" t="n">
        <x:f>D2449+E2449</x:f>
        <x:v>-10.111152737146412</x:v>
      </x:c>
      <x:c r="G2449" s="23" t="n">
        <x:f>AVERAGE($F$2545:$F$2568)</x:f>
        <x:v>-9.62303365813066</x:v>
      </x:c>
      <x:c r="H2449" s="24" t="n">
        <x:f>F2449-G2449</x:f>
        <x:v>-0.48811907901575147</x:v>
      </x:c>
    </x:row>
    <x:row r="2450">
      <x:c r="A2450" s="2" t="str">
        <x:v>LiA3-Ref</x:v>
      </x:c>
      <x:c r="B2450" s="4" t="str">
        <x:v>LiCl</x:v>
      </x:c>
      <x:c r="C2450" s="23" t="n">
        <x:v>0.8196143</x:v>
      </x:c>
      <x:c r="D2450" s="23" t="n">
        <x:v>-15.37403</x:v>
      </x:c>
      <x:c r="E2450" s="23" t="n">
        <x:f>'Parameters'!$B$2*'Parameters'!$B$3*LN(4*PI()*C2450^2)</x:f>
        <x:v>5.288065067851986</x:v>
      </x:c>
      <x:c r="F2450" s="23" t="n">
        <x:f>D2450+E2450</x:f>
        <x:v>-10.085964932148013</x:v>
      </x:c>
      <x:c r="G2450" s="23" t="n">
        <x:f>AVERAGE($F$2545:$F$2568)</x:f>
        <x:v>-9.62303365813066</x:v>
      </x:c>
      <x:c r="H2450" s="24" t="n">
        <x:f>F2450-G2450</x:f>
        <x:v>-0.4629312740173521</x:v>
      </x:c>
    </x:row>
    <x:row r="2451">
      <x:c r="A2451" s="2" t="str">
        <x:v>LiA3-Ref</x:v>
      </x:c>
      <x:c r="B2451" s="4" t="str">
        <x:v>LiCl</x:v>
      </x:c>
      <x:c r="C2451" s="23" t="n">
        <x:v>0.8319763</x:v>
      </x:c>
      <x:c r="D2451" s="23" t="n">
        <x:v>-15.57359</x:v>
      </x:c>
      <x:c r="E2451" s="23" t="n">
        <x:f>'Parameters'!$B$2*'Parameters'!$B$3*LN(4*PI()*C2451^2)</x:f>
        <x:v>5.362285492937858</x:v>
      </x:c>
      <x:c r="F2451" s="23" t="n">
        <x:f>D2451+E2451</x:f>
        <x:v>-10.211304507062142</x:v>
      </x:c>
      <x:c r="G2451" s="23" t="n">
        <x:f>AVERAGE($F$2545:$F$2568)</x:f>
        <x:v>-9.62303365813066</x:v>
      </x:c>
      <x:c r="H2451" s="24" t="n">
        <x:f>F2451-G2451</x:f>
        <x:v>-0.5882708489314812</x:v>
      </x:c>
    </x:row>
    <x:row r="2452">
      <x:c r="A2452" s="2" t="str">
        <x:v>LiA3-Ref</x:v>
      </x:c>
      <x:c r="B2452" s="4" t="str">
        <x:v>LiCl</x:v>
      </x:c>
      <x:c r="C2452" s="23" t="n">
        <x:v>0.8443382</x:v>
      </x:c>
      <x:c r="D2452" s="23" t="n">
        <x:v>-15.59977</x:v>
      </x:c>
      <x:c r="E2452" s="23" t="n">
        <x:f>'Parameters'!$B$2*'Parameters'!$B$3*LN(4*PI()*C2452^2)</x:f>
        <x:v>5.435410612199325</x:v>
      </x:c>
      <x:c r="F2452" s="23" t="n">
        <x:f>D2452+E2452</x:f>
        <x:v>-10.164359387800674</x:v>
      </x:c>
      <x:c r="G2452" s="23" t="n">
        <x:f>AVERAGE($F$2545:$F$2568)</x:f>
        <x:v>-9.62303365813066</x:v>
      </x:c>
      <x:c r="H2452" s="24" t="n">
        <x:f>F2452-G2452</x:f>
        <x:v>-0.5413257296700138</x:v>
      </x:c>
    </x:row>
    <x:row r="2453">
      <x:c r="A2453" s="2" t="str">
        <x:v>LiA3-Ref</x:v>
      </x:c>
      <x:c r="B2453" s="4" t="str">
        <x:v>LiCl</x:v>
      </x:c>
      <x:c r="C2453" s="23" t="n">
        <x:v>0.8567002</x:v>
      </x:c>
      <x:c r="D2453" s="23" t="n">
        <x:v>-15.88404</x:v>
      </x:c>
      <x:c r="E2453" s="23" t="n">
        <x:f>'Parameters'!$B$2*'Parameters'!$B$3*LN(4*PI()*C2453^2)</x:f>
        <x:v>5.5074734329091495</x:v>
      </x:c>
      <x:c r="F2453" s="23" t="n">
        <x:f>D2453+E2453</x:f>
        <x:v>-10.376566567090851</x:v>
      </x:c>
      <x:c r="G2453" s="23" t="n">
        <x:f>AVERAGE($F$2545:$F$2568)</x:f>
        <x:v>-9.62303365813066</x:v>
      </x:c>
      <x:c r="H2453" s="24" t="n">
        <x:f>F2453-G2453</x:f>
        <x:v>-0.7535329089601905</x:v>
      </x:c>
    </x:row>
    <x:row r="2454">
      <x:c r="A2454" s="2" t="str">
        <x:v>LiA3-Ref</x:v>
      </x:c>
      <x:c r="B2454" s="4" t="str">
        <x:v>LiCl</x:v>
      </x:c>
      <x:c r="C2454" s="23" t="n">
        <x:v>0.8690621</x:v>
      </x:c>
      <x:c r="D2454" s="23" t="n">
        <x:v>-15.92266</x:v>
      </x:c>
      <x:c r="E2454" s="23" t="n">
        <x:f>'Parameters'!$B$2*'Parameters'!$B$3*LN(4*PI()*C2454^2)</x:f>
        <x:v>5.57850324519172</x:v>
      </x:c>
      <x:c r="F2454" s="23" t="n">
        <x:f>D2454+E2454</x:f>
        <x:v>-10.344156754808282</x:v>
      </x:c>
      <x:c r="G2454" s="23" t="n">
        <x:f>AVERAGE($F$2545:$F$2568)</x:f>
        <x:v>-9.62303365813066</x:v>
      </x:c>
      <x:c r="H2454" s="24" t="n">
        <x:f>F2454-G2454</x:f>
        <x:v>-0.721123096677621</x:v>
      </x:c>
    </x:row>
    <x:row r="2455">
      <x:c r="A2455" s="2" t="str">
        <x:v>LiA3-Ref</x:v>
      </x:c>
      <x:c r="B2455" s="4" t="str">
        <x:v>LiCl</x:v>
      </x:c>
      <x:c r="C2455" s="23" t="n">
        <x:v>0.8814241</x:v>
      </x:c>
      <x:c r="D2455" s="23" t="n">
        <x:v>-15.90078</x:v>
      </x:c>
      <x:c r="E2455" s="23" t="n">
        <x:f>'Parameters'!$B$2*'Parameters'!$B$3*LN(4*PI()*C2455^2)</x:f>
        <x:v>5.648530363964411</x:v>
      </x:c>
      <x:c r="F2455" s="23" t="n">
        <x:f>D2455+E2455</x:f>
        <x:v>-10.25224963603559</x:v>
      </x:c>
      <x:c r="G2455" s="23" t="n">
        <x:f>AVERAGE($F$2545:$F$2568)</x:f>
        <x:v>-9.62303365813066</x:v>
      </x:c>
      <x:c r="H2455" s="24" t="n">
        <x:f>F2455-G2455</x:f>
        <x:v>-0.6292159779049289</x:v>
      </x:c>
    </x:row>
    <x:row r="2456">
      <x:c r="A2456" s="2" t="str">
        <x:v>LiA3-Ref</x:v>
      </x:c>
      <x:c r="B2456" s="4" t="str">
        <x:v>LiCl</x:v>
      </x:c>
      <x:c r="C2456" s="23" t="n">
        <x:v>0.893786</x:v>
      </x:c>
      <x:c r="D2456" s="23" t="n">
        <x:v>-16.07662</x:v>
      </x:c>
      <x:c r="E2456" s="23" t="n">
        <x:f>'Parameters'!$B$2*'Parameters'!$B$3*LN(4*PI()*C2456^2)</x:f>
        <x:v>5.71758160304699</x:v>
      </x:c>
      <x:c r="F2456" s="23" t="n">
        <x:f>D2456+E2456</x:f>
        <x:v>-10.359038396953007</x:v>
      </x:c>
      <x:c r="G2456" s="23" t="n">
        <x:f>AVERAGE($F$2545:$F$2568)</x:f>
        <x:v>-9.62303365813066</x:v>
      </x:c>
      <x:c r="H2456" s="24" t="n">
        <x:f>F2456-G2456</x:f>
        <x:v>-0.7360047388223467</x:v>
      </x:c>
    </x:row>
    <x:row r="2457">
      <x:c r="A2457" s="2" t="str">
        <x:v>LiA3-Ref</x:v>
      </x:c>
      <x:c r="B2457" s="4" t="str">
        <x:v>LiCl</x:v>
      </x:c>
      <x:c r="C2457" s="23" t="n">
        <x:v>0.9061479</x:v>
      </x:c>
      <x:c r="D2457" s="23" t="n">
        <x:v>-16.18449</x:v>
      </x:c>
      <x:c r="E2457" s="23" t="n">
        <x:f>'Parameters'!$B$2*'Parameters'!$B$3*LN(4*PI()*C2457^2)</x:f>
        <x:v>5.78568432780586</x:v>
      </x:c>
      <x:c r="F2457" s="23" t="n">
        <x:f>D2457+E2457</x:f>
        <x:v>-10.39880567219414</x:v>
      </x:c>
      <x:c r="G2457" s="23" t="n">
        <x:f>AVERAGE($F$2545:$F$2568)</x:f>
        <x:v>-9.62303365813066</x:v>
      </x:c>
      <x:c r="H2457" s="24" t="n">
        <x:f>F2457-G2457</x:f>
        <x:v>-0.7757720140634792</x:v>
      </x:c>
    </x:row>
    <x:row r="2458">
      <x:c r="A2458" s="2" t="str">
        <x:v>LiA3-Ref</x:v>
      </x:c>
      <x:c r="B2458" s="4" t="str">
        <x:v>LiCl</x:v>
      </x:c>
      <x:c r="C2458" s="23" t="n">
        <x:v>0.9185099</x:v>
      </x:c>
      <x:c r="D2458" s="23" t="n">
        <x:v>-16.29671</x:v>
      </x:c>
      <x:c r="E2458" s="23" t="n">
        <x:f>'Parameters'!$B$2*'Parameters'!$B$3*LN(4*PI()*C2458^2)</x:f>
        <x:v>5.852864783629218</x:v>
      </x:c>
      <x:c r="F2458" s="23" t="n">
        <x:f>D2458+E2458</x:f>
        <x:v>-10.443845216370782</x:v>
      </x:c>
      <x:c r="G2458" s="23" t="n">
        <x:f>AVERAGE($F$2545:$F$2568)</x:f>
        <x:v>-9.62303365813066</x:v>
      </x:c>
      <x:c r="H2458" s="24" t="n">
        <x:f>F2458-G2458</x:f>
        <x:v>-0.8208115582401216</x:v>
      </x:c>
    </x:row>
    <x:row r="2459">
      <x:c r="A2459" s="2" t="str">
        <x:v>LiA3-Ref</x:v>
      </x:c>
      <x:c r="B2459" s="4" t="str">
        <x:v>LiCl</x:v>
      </x:c>
      <x:c r="C2459" s="23" t="n">
        <x:v>0.9308718</x:v>
      </x:c>
      <x:c r="D2459" s="23" t="n">
        <x:v>-16.36227</x:v>
      </x:c>
      <x:c r="E2459" s="23" t="n">
        <x:f>'Parameters'!$B$2*'Parameters'!$B$3*LN(4*PI()*C2459^2)</x:f>
        <x:v>5.919146558389702</x:v>
      </x:c>
      <x:c r="F2459" s="23" t="n">
        <x:f>D2459+E2459</x:f>
        <x:v>-10.443123441610297</x:v>
      </x:c>
      <x:c r="G2459" s="23" t="n">
        <x:f>AVERAGE($F$2545:$F$2568)</x:f>
        <x:v>-9.62303365813066</x:v>
      </x:c>
      <x:c r="H2459" s="24" t="n">
        <x:f>F2459-G2459</x:f>
        <x:v>-0.8200897834796361</x:v>
      </x:c>
    </x:row>
    <x:row r="2460">
      <x:c r="A2460" s="2" t="str">
        <x:v>LiA3-Ref</x:v>
      </x:c>
      <x:c r="B2460" s="4" t="str">
        <x:v>LiCl</x:v>
      </x:c>
      <x:c r="C2460" s="23" t="n">
        <x:v>0.9432338</x:v>
      </x:c>
      <x:c r="D2460" s="23" t="n">
        <x:v>-16.43234</x:v>
      </x:c>
      <x:c r="E2460" s="23" t="n">
        <x:f>'Parameters'!$B$2*'Parameters'!$B$3*LN(4*PI()*C2460^2)</x:f>
        <x:v>5.984554422844194</x:v>
      </x:c>
      <x:c r="F2460" s="23" t="n">
        <x:f>D2460+E2460</x:f>
        <x:v>-10.447785577155805</x:v>
      </x:c>
      <x:c r="G2460" s="23" t="n">
        <x:f>AVERAGE($F$2545:$F$2568)</x:f>
        <x:v>-9.62303365813066</x:v>
      </x:c>
      <x:c r="H2460" s="24" t="n">
        <x:f>F2460-G2460</x:f>
        <x:v>-0.8247519190251449</x:v>
      </x:c>
    </x:row>
    <x:row r="2461">
      <x:c r="A2461" s="2" t="str">
        <x:v>LiA3-Ref</x:v>
      </x:c>
      <x:c r="B2461" s="4" t="str">
        <x:v>LiCl</x:v>
      </x:c>
      <x:c r="C2461" s="23" t="n">
        <x:v>0.9555957</x:v>
      </x:c>
      <x:c r="D2461" s="23" t="n">
        <x:v>-16.47423</x:v>
      </x:c>
      <x:c r="E2461" s="23" t="n">
        <x:f>'Parameters'!$B$2*'Parameters'!$B$3*LN(4*PI()*C2461^2)</x:f>
        <x:v>6.0491100911841045</x:v>
      </x:c>
      <x:c r="F2461" s="23" t="n">
        <x:f>D2461+E2461</x:f>
        <x:v>-10.425119908815894</x:v>
      </x:c>
      <x:c r="G2461" s="23" t="n">
        <x:f>AVERAGE($F$2545:$F$2568)</x:f>
        <x:v>-9.62303365813066</x:v>
      </x:c>
      <x:c r="H2461" s="24" t="n">
        <x:f>F2461-G2461</x:f>
        <x:v>-0.8020862506852335</x:v>
      </x:c>
    </x:row>
    <x:row r="2462">
      <x:c r="A2462" s="2" t="str">
        <x:v>LiA3-Ref</x:v>
      </x:c>
      <x:c r="B2462" s="4" t="str">
        <x:v>LiCl</x:v>
      </x:c>
      <x:c r="C2462" s="23" t="n">
        <x:v>0.9679577</x:v>
      </x:c>
      <x:c r="D2462" s="23" t="n">
        <x:v>-16.412</x:v>
      </x:c>
      <x:c r="E2462" s="23" t="n">
        <x:f>'Parameters'!$B$2*'Parameters'!$B$3*LN(4*PI()*C2462^2)</x:f>
        <x:v>6.1128365023281</x:v>
      </x:c>
      <x:c r="F2462" s="23" t="n">
        <x:f>D2462+E2462</x:f>
        <x:v>-10.299163497671898</x:v>
      </x:c>
      <x:c r="G2462" s="23" t="n">
        <x:f>AVERAGE($F$2545:$F$2568)</x:f>
        <x:v>-9.62303365813066</x:v>
      </x:c>
      <x:c r="H2462" s="24" t="n">
        <x:f>F2462-G2462</x:f>
        <x:v>-0.6761298395412378</x:v>
      </x:c>
    </x:row>
    <x:row r="2463">
      <x:c r="A2463" s="2" t="str">
        <x:v>LiA3-Ref</x:v>
      </x:c>
      <x:c r="B2463" s="4" t="str">
        <x:v>LiCl</x:v>
      </x:c>
      <x:c r="C2463" s="23" t="n">
        <x:v>0.9803196</x:v>
      </x:c>
      <x:c r="D2463" s="23" t="n">
        <x:v>-16.51457</x:v>
      </x:c>
      <x:c r="E2463" s="23" t="n">
        <x:f>'Parameters'!$B$2*'Parameters'!$B$3*LN(4*PI()*C2463^2)</x:f>
        <x:v>6.175753685955626</x:v>
      </x:c>
      <x:c r="F2463" s="23" t="n">
        <x:f>D2463+E2463</x:f>
        <x:v>-10.338816314044372</x:v>
      </x:c>
      <x:c r="G2463" s="23" t="n">
        <x:f>AVERAGE($F$2545:$F$2568)</x:f>
        <x:v>-9.62303365813066</x:v>
      </x:c>
      <x:c r="H2463" s="24" t="n">
        <x:f>F2463-G2463</x:f>
        <x:v>-0.7157826559137117</x:v>
      </x:c>
    </x:row>
    <x:row r="2464">
      <x:c r="A2464" s="2" t="str">
        <x:v>LiA3-Ref</x:v>
      </x:c>
      <x:c r="B2464" s="4" t="str">
        <x:v>LiCl</x:v>
      </x:c>
      <x:c r="C2464" s="23" t="n">
        <x:v>0.9926816</x:v>
      </x:c>
      <x:c r="D2464" s="23" t="n">
        <x:v>-16.64242</x:v>
      </x:c>
      <x:c r="E2464" s="23" t="n">
        <x:f>'Parameters'!$B$2*'Parameters'!$B$3*LN(4*PI()*C2464^2)</x:f>
        <x:v>6.237882929106902</x:v>
      </x:c>
      <x:c r="F2464" s="23" t="n">
        <x:f>D2464+E2464</x:f>
        <x:v>-10.404537070893099</x:v>
      </x:c>
      <x:c r="G2464" s="23" t="n">
        <x:f>AVERAGE($F$2545:$F$2568)</x:f>
        <x:v>-9.62303365813066</x:v>
      </x:c>
      <x:c r="H2464" s="24" t="n">
        <x:f>F2464-G2464</x:f>
        <x:v>-0.7815034127624383</x:v>
      </x:c>
    </x:row>
    <x:row r="2465">
      <x:c r="A2465" s="2" t="str">
        <x:v>LiA3-Ref</x:v>
      </x:c>
      <x:c r="B2465" s="4" t="str">
        <x:v>LiCl</x:v>
      </x:c>
      <x:c r="C2465" s="23" t="n">
        <x:v>1.005044</x:v>
      </x:c>
      <x:c r="D2465" s="23" t="n">
        <x:v>-16.70136</x:v>
      </x:c>
      <x:c r="E2465" s="23" t="n">
        <x:f>'Parameters'!$B$2*'Parameters'!$B$3*LN(4*PI()*C2465^2)</x:f>
        <x:v>6.29924520944966</x:v>
      </x:c>
      <x:c r="F2465" s="23" t="n">
        <x:f>D2465+E2465</x:f>
        <x:v>-10.40211479055034</x:v>
      </x:c>
      <x:c r="G2465" s="23" t="n">
        <x:f>AVERAGE($F$2545:$F$2568)</x:f>
        <x:v>-9.62303365813066</x:v>
      </x:c>
      <x:c r="H2465" s="24" t="n">
        <x:f>F2465-G2465</x:f>
        <x:v>-0.7790811324196802</x:v>
      </x:c>
    </x:row>
    <x:row r="2466">
      <x:c r="A2466" s="2" t="str">
        <x:v>LiA3-Ref</x:v>
      </x:c>
      <x:c r="B2466" s="4" t="str">
        <x:v>LiCl</x:v>
      </x:c>
      <x:c r="C2466" s="23" t="n">
        <x:v>1.017405</x:v>
      </x:c>
      <x:c r="D2466" s="23" t="n">
        <x:v>-16.74009</x:v>
      </x:c>
      <x:c r="E2466" s="23" t="n">
        <x:f>'Parameters'!$B$2*'Parameters'!$B$3*LN(4*PI()*C2466^2)</x:f>
        <x:v>6.3598504843479216</x:v>
      </x:c>
      <x:c r="F2466" s="23" t="n">
        <x:f>D2466+E2466</x:f>
        <x:v>-10.380239515652077</x:v>
      </x:c>
      <x:c r="G2466" s="23" t="n">
        <x:f>AVERAGE($F$2545:$F$2568)</x:f>
        <x:v>-9.62303365813066</x:v>
      </x:c>
      <x:c r="H2466" s="24" t="n">
        <x:f>F2466-G2466</x:f>
        <x:v>-0.7572058575214164</x:v>
      </x:c>
    </x:row>
    <x:row r="2467">
      <x:c r="A2467" s="2" t="str">
        <x:v>LiA3-Ref</x:v>
      </x:c>
      <x:c r="B2467" s="4" t="str">
        <x:v>LiCl</x:v>
      </x:c>
      <x:c r="C2467" s="23" t="n">
        <x:v>1.029767</x:v>
      </x:c>
      <x:c r="D2467" s="23" t="n">
        <x:v>-16.79087</x:v>
      </x:c>
      <x:c r="E2467" s="23" t="n">
        <x:f>'Parameters'!$B$2*'Parameters'!$B$3*LN(4*PI()*C2467^2)</x:f>
        <x:v>6.419728675902122</x:v>
      </x:c>
      <x:c r="F2467" s="23" t="n">
        <x:f>D2467+E2467</x:f>
        <x:v>-10.37114132409788</x:v>
      </x:c>
      <x:c r="G2467" s="23" t="n">
        <x:f>AVERAGE($F$2545:$F$2568)</x:f>
        <x:v>-9.62303365813066</x:v>
      </x:c>
      <x:c r="H2467" s="24" t="n">
        <x:f>F2467-G2467</x:f>
        <x:v>-0.7481076659672201</x:v>
      </x:c>
    </x:row>
    <x:row r="2468">
      <x:c r="A2468" s="2" t="str">
        <x:v>LiA3-Ref</x:v>
      </x:c>
      <x:c r="B2468" s="4" t="str">
        <x:v>LiCl</x:v>
      </x:c>
      <x:c r="C2468" s="23" t="n">
        <x:v>1.042129</x:v>
      </x:c>
      <x:c r="D2468" s="23" t="n">
        <x:v>-16.82502</x:v>
      </x:c>
      <x:c r="E2468" s="23" t="n">
        <x:f>'Parameters'!$B$2*'Parameters'!$B$3*LN(4*PI()*C2468^2)</x:f>
        <x:v>6.478892322056328</x:v>
      </x:c>
      <x:c r="F2468" s="23" t="n">
        <x:f>D2468+E2468</x:f>
        <x:v>-10.34612767794367</x:v>
      </x:c>
      <x:c r="G2468" s="23" t="n">
        <x:f>AVERAGE($F$2545:$F$2568)</x:f>
        <x:v>-9.62303365813066</x:v>
      </x:c>
      <x:c r="H2468" s="24" t="n">
        <x:f>F2468-G2468</x:f>
        <x:v>-0.7230940198130096</x:v>
      </x:c>
    </x:row>
    <x:row r="2469">
      <x:c r="A2469" s="2" t="str">
        <x:v>LiA3-Ref</x:v>
      </x:c>
      <x:c r="B2469" s="4" t="str">
        <x:v>LiCl</x:v>
      </x:c>
      <x:c r="C2469" s="23" t="n">
        <x:v>1.054491</x:v>
      </x:c>
      <x:c r="D2469" s="23" t="n">
        <x:v>-16.79886</x:v>
      </x:c>
      <x:c r="E2469" s="23" t="n">
        <x:f>'Parameters'!$B$2*'Parameters'!$B$3*LN(4*PI()*C2469^2)</x:f>
        <x:v>6.5373582756899795</x:v>
      </x:c>
      <x:c r="F2469" s="23" t="n">
        <x:f>D2469+E2469</x:f>
        <x:v>-10.261501724310023</x:v>
      </x:c>
      <x:c r="G2469" s="23" t="n">
        <x:f>AVERAGE($F$2545:$F$2568)</x:f>
        <x:v>-9.62303365813066</x:v>
      </x:c>
      <x:c r="H2469" s="24" t="n">
        <x:f>F2469-G2469</x:f>
        <x:v>-0.638468066179362</x:v>
      </x:c>
    </x:row>
    <x:row r="2470">
      <x:c r="A2470" s="2" t="str">
        <x:v>LiA3-Ref</x:v>
      </x:c>
      <x:c r="B2470" s="4" t="str">
        <x:v>LiCl</x:v>
      </x:c>
      <x:c r="C2470" s="23" t="n">
        <x:v>1.066853</x:v>
      </x:c>
      <x:c r="D2470" s="23" t="n">
        <x:v>-16.96722</x:v>
      </x:c>
      <x:c r="E2470" s="23" t="n">
        <x:f>'Parameters'!$B$2*'Parameters'!$B$3*LN(4*PI()*C2470^2)</x:f>
        <x:v>6.595142800400725</x:v>
      </x:c>
      <x:c r="F2470" s="23" t="n">
        <x:f>D2470+E2470</x:f>
        <x:v>-10.372077199599275</x:v>
      </x:c>
      <x:c r="G2470" s="23" t="n">
        <x:f>AVERAGE($F$2545:$F$2568)</x:f>
        <x:v>-9.62303365813066</x:v>
      </x:c>
      <x:c r="H2470" s="24" t="n">
        <x:f>F2470-G2470</x:f>
        <x:v>-0.7490435414686143</x:v>
      </x:c>
    </x:row>
    <x:row r="2471">
      <x:c r="A2471" s="2" t="str">
        <x:v>LiA3-Ref</x:v>
      </x:c>
      <x:c r="B2471" s="4" t="str">
        <x:v>LiCl</x:v>
      </x:c>
      <x:c r="C2471" s="23" t="n">
        <x:v>1.079215</x:v>
      </x:c>
      <x:c r="D2471" s="23" t="n">
        <x:v>-17.14554</x:v>
      </x:c>
      <x:c r="E2471" s="23" t="n">
        <x:f>'Parameters'!$B$2*'Parameters'!$B$3*LN(4*PI()*C2471^2)</x:f>
        <x:v>6.65226159766149</x:v>
      </x:c>
      <x:c r="F2471" s="23" t="n">
        <x:f>D2471+E2471</x:f>
        <x:v>-10.493278402338511</x:v>
      </x:c>
      <x:c r="G2471" s="23" t="n">
        <x:f>AVERAGE($F$2545:$F$2568)</x:f>
        <x:v>-9.62303365813066</x:v>
      </x:c>
      <x:c r="H2471" s="24" t="n">
        <x:f>F2471-G2471</x:f>
        <x:v>-0.8702447442078505</x:v>
      </x:c>
    </x:row>
    <x:row r="2472">
      <x:c r="A2472" s="2" t="str">
        <x:v>LiA3-Ref</x:v>
      </x:c>
      <x:c r="B2472" s="4" t="str">
        <x:v>LiCl</x:v>
      </x:c>
      <x:c r="C2472" s="23" t="n">
        <x:v>1.091577</x:v>
      </x:c>
      <x:c r="D2472" s="23" t="n">
        <x:v>-17.21867</x:v>
      </x:c>
      <x:c r="E2472" s="23" t="n">
        <x:f>'Parameters'!$B$2*'Parameters'!$B$3*LN(4*PI()*C2472^2)</x:f>
        <x:v>6.708729832430928</x:v>
      </x:c>
      <x:c r="F2472" s="23" t="n">
        <x:f>D2472+E2472</x:f>
        <x:v>-10.509940167569072</x:v>
      </x:c>
      <x:c r="G2472" s="23" t="n">
        <x:f>AVERAGE($F$2545:$F$2568)</x:f>
        <x:v>-9.62303365813066</x:v>
      </x:c>
      <x:c r="H2472" s="24" t="n">
        <x:f>F2472-G2472</x:f>
        <x:v>-0.8869065094384112</x:v>
      </x:c>
    </x:row>
    <x:row r="2473">
      <x:c r="A2473" s="2" t="str">
        <x:v>LiA3-Ref</x:v>
      </x:c>
      <x:c r="B2473" s="4" t="str">
        <x:v>LiCl</x:v>
      </x:c>
      <x:c r="C2473" s="23" t="n">
        <x:v>1.103939</x:v>
      </x:c>
      <x:c r="D2473" s="23" t="n">
        <x:v>-17.43285</x:v>
      </x:c>
      <x:c r="E2473" s="23" t="n">
        <x:f>'Parameters'!$B$2*'Parameters'!$B$3*LN(4*PI()*C2473^2)</x:f>
        <x:v>6.764562157321758</x:v>
      </x:c>
      <x:c r="F2473" s="23" t="n">
        <x:f>D2473+E2473</x:f>
        <x:v>-10.66828784267824</x:v>
      </x:c>
      <x:c r="G2473" s="23" t="n">
        <x:f>AVERAGE($F$2545:$F$2568)</x:f>
        <x:v>-9.62303365813066</x:v>
      </x:c>
      <x:c r="H2473" s="24" t="n">
        <x:f>F2473-G2473</x:f>
        <x:v>-1.045254184547579</x:v>
      </x:c>
    </x:row>
    <x:row r="2474">
      <x:c r="A2474" s="2" t="str">
        <x:v>LiA3-Ref</x:v>
      </x:c>
      <x:c r="B2474" s="4" t="str">
        <x:v>LiCl</x:v>
      </x:c>
      <x:c r="C2474" s="23" t="n">
        <x:v>1.116301</x:v>
      </x:c>
      <x:c r="D2474" s="23" t="n">
        <x:v>-17.48758</x:v>
      </x:c>
      <x:c r="E2474" s="23" t="n">
        <x:f>'Parameters'!$B$2*'Parameters'!$B$3*LN(4*PI()*C2474^2)</x:f>
        <x:v>6.8197727354233715</x:v>
      </x:c>
      <x:c r="F2474" s="23" t="n">
        <x:f>D2474+E2474</x:f>
        <x:v>-10.66780726457663</x:v>
      </x:c>
      <x:c r="G2474" s="23" t="n">
        <x:f>AVERAGE($F$2545:$F$2568)</x:f>
        <x:v>-9.62303365813066</x:v>
      </x:c>
      <x:c r="H2474" s="24" t="n">
        <x:f>F2474-G2474</x:f>
        <x:v>-1.04477360644597</x:v>
      </x:c>
    </x:row>
    <x:row r="2475">
      <x:c r="A2475" s="2" t="str">
        <x:v>LiA3-Ref</x:v>
      </x:c>
      <x:c r="B2475" s="4" t="str">
        <x:v>LiCl</x:v>
      </x:c>
      <x:c r="C2475" s="23" t="n">
        <x:v>1.128663</x:v>
      </x:c>
      <x:c r="D2475" s="23" t="n">
        <x:v>-17.58196</x:v>
      </x:c>
      <x:c r="E2475" s="23" t="n">
        <x:f>'Parameters'!$B$2*'Parameters'!$B$3*LN(4*PI()*C2475^2)</x:f>
        <x:v>6.874375261867601</x:v>
      </x:c>
      <x:c r="F2475" s="23" t="n">
        <x:f>D2475+E2475</x:f>
        <x:v>-10.707584738132397</x:v>
      </x:c>
      <x:c r="G2475" s="23" t="n">
        <x:f>AVERAGE($F$2545:$F$2568)</x:f>
        <x:v>-9.62303365813066</x:v>
      </x:c>
      <x:c r="H2475" s="24" t="n">
        <x:f>F2475-G2475</x:f>
        <x:v>-1.0845510800017362</x:v>
      </x:c>
    </x:row>
    <x:row r="2476">
      <x:c r="A2476" s="2" t="str">
        <x:v>LiA3-Ref</x:v>
      </x:c>
      <x:c r="B2476" s="4" t="str">
        <x:v>LiCl</x:v>
      </x:c>
      <x:c r="C2476" s="23" t="n">
        <x:v>1.141025</x:v>
      </x:c>
      <x:c r="D2476" s="23" t="n">
        <x:v>-17.55104</x:v>
      </x:c>
      <x:c r="E2476" s="23" t="n">
        <x:f>'Parameters'!$B$2*'Parameters'!$B$3*LN(4*PI()*C2476^2)</x:f>
        <x:v>6.928382984219848</x:v>
      </x:c>
      <x:c r="F2476" s="23" t="n">
        <x:f>D2476+E2476</x:f>
        <x:v>-10.622657015780153</x:v>
      </x:c>
      <x:c r="G2476" s="23" t="n">
        <x:f>AVERAGE($F$2545:$F$2568)</x:f>
        <x:v>-9.62303365813066</x:v>
      </x:c>
      <x:c r="H2476" s="24" t="n">
        <x:f>F2476-G2476</x:f>
        <x:v>-0.999623357649492</x:v>
      </x:c>
    </x:row>
    <x:row r="2477">
      <x:c r="A2477" s="2" t="str">
        <x:v>LiA3-Ref</x:v>
      </x:c>
      <x:c r="B2477" s="4" t="str">
        <x:v>LiCl</x:v>
      </x:c>
      <x:c r="C2477" s="23" t="n">
        <x:v>1.153387</x:v>
      </x:c>
      <x:c r="D2477" s="23" t="n">
        <x:v>-17.70303</x:v>
      </x:c>
      <x:c r="E2477" s="23" t="n">
        <x:f>'Parameters'!$B$2*'Parameters'!$B$3*LN(4*PI()*C2477^2)</x:f>
        <x:v>6.981808721771475</x:v>
      </x:c>
      <x:c r="F2477" s="23" t="n">
        <x:f>D2477+E2477</x:f>
        <x:v>-10.721221278228523</x:v>
      </x:c>
      <x:c r="G2477" s="23" t="n">
        <x:f>AVERAGE($F$2545:$F$2568)</x:f>
        <x:v>-9.62303365813066</x:v>
      </x:c>
      <x:c r="H2477" s="24" t="n">
        <x:f>F2477-G2477</x:f>
        <x:v>-1.0981876200978622</x:v>
      </x:c>
    </x:row>
    <x:row r="2478">
      <x:c r="A2478" s="2" t="str">
        <x:v>LiA3-Ref</x:v>
      </x:c>
      <x:c r="B2478" s="4" t="str">
        <x:v>LiCl</x:v>
      </x:c>
      <x:c r="C2478" s="23" t="n">
        <x:v>1.165749</x:v>
      </x:c>
      <x:c r="D2478" s="23" t="n">
        <x:v>-17.79261</x:v>
      </x:c>
      <x:c r="E2478" s="23" t="n">
        <x:f>'Parameters'!$B$2*'Parameters'!$B$3*LN(4*PI()*C2478^2)</x:f>
        <x:v>7.034664883803784</x:v>
      </x:c>
      <x:c r="F2478" s="23" t="n">
        <x:f>D2478+E2478</x:f>
        <x:v>-10.757945116196215</x:v>
      </x:c>
      <x:c r="G2478" s="23" t="n">
        <x:f>AVERAGE($F$2545:$F$2568)</x:f>
        <x:v>-9.62303365813066</x:v>
      </x:c>
      <x:c r="H2478" s="24" t="n">
        <x:f>F2478-G2478</x:f>
        <x:v>-1.1349114580655542</x:v>
      </x:c>
    </x:row>
    <x:row r="2479">
      <x:c r="A2479" s="2" t="str">
        <x:v>LiA3-Ref</x:v>
      </x:c>
      <x:c r="B2479" s="4" t="str">
        <x:v>LiCl</x:v>
      </x:c>
      <x:c r="C2479" s="23" t="n">
        <x:v>1.178111</x:v>
      </x:c>
      <x:c r="D2479" s="23" t="n">
        <x:v>-17.89287</x:v>
      </x:c>
      <x:c r="E2479" s="23" t="n">
        <x:f>'Parameters'!$B$2*'Parameters'!$B$3*LN(4*PI()*C2479^2)</x:f>
        <x:v>7.086963486888659</x:v>
      </x:c>
      <x:c r="F2479" s="23" t="n">
        <x:f>D2479+E2479</x:f>
        <x:v>-10.805906513111339</x:v>
      </x:c>
      <x:c r="G2479" s="23" t="n">
        <x:f>AVERAGE($F$2545:$F$2568)</x:f>
        <x:v>-9.62303365813066</x:v>
      </x:c>
      <x:c r="H2479" s="24" t="n">
        <x:f>F2479-G2479</x:f>
        <x:v>-1.182872854980678</x:v>
      </x:c>
    </x:row>
    <x:row r="2480">
      <x:c r="A2480" s="2" t="str">
        <x:v>LiA3-Ref</x:v>
      </x:c>
      <x:c r="B2480" s="4" t="str">
        <x:v>LiCl</x:v>
      </x:c>
      <x:c r="C2480" s="23" t="n">
        <x:v>1.190473</x:v>
      </x:c>
      <x:c r="D2480" s="23" t="n">
        <x:v>-17.8285</x:v>
      </x:c>
      <x:c r="E2480" s="23" t="n">
        <x:f>'Parameters'!$B$2*'Parameters'!$B$3*LN(4*PI()*C2480^2)</x:f>
        <x:v>7.138716171286198</x:v>
      </x:c>
      <x:c r="F2480" s="23" t="n">
        <x:f>D2480+E2480</x:f>
        <x:v>-10.6897838287138</x:v>
      </x:c>
      <x:c r="G2480" s="23" t="n">
        <x:f>AVERAGE($F$2545:$F$2568)</x:f>
        <x:v>-9.62303365813066</x:v>
      </x:c>
      <x:c r="H2480" s="24" t="n">
        <x:f>F2480-G2480</x:f>
        <x:v>-1.0667501705831395</x:v>
      </x:c>
    </x:row>
    <x:row r="2481">
      <x:c r="A2481" s="2" t="str">
        <x:v>LiA3-Ref</x:v>
      </x:c>
      <x:c r="B2481" s="4" t="str">
        <x:v>LiCl</x:v>
      </x:c>
      <x:c r="C2481" s="23" t="n">
        <x:v>1.202835</x:v>
      </x:c>
      <x:c r="D2481" s="23" t="n">
        <x:v>-17.98762</x:v>
      </x:c>
      <x:c r="E2481" s="23" t="n">
        <x:f>'Parameters'!$B$2*'Parameters'!$B$3*LN(4*PI()*C2481^2)</x:f>
        <x:v>7.189934216495343</x:v>
      </x:c>
      <x:c r="F2481" s="23" t="n">
        <x:f>D2481+E2481</x:f>
        <x:v>-10.797685783504658</x:v>
      </x:c>
      <x:c r="G2481" s="23" t="n">
        <x:f>AVERAGE($F$2545:$F$2568)</x:f>
        <x:v>-9.62303365813066</x:v>
      </x:c>
      <x:c r="H2481" s="24" t="n">
        <x:f>F2481-G2481</x:f>
        <x:v>-1.1746521253739974</x:v>
      </x:c>
    </x:row>
    <x:row r="2482">
      <x:c r="A2482" s="2" t="str">
        <x:v>LiA3-Ref</x:v>
      </x:c>
      <x:c r="B2482" s="4" t="str">
        <x:v>LiCl</x:v>
      </x:c>
      <x:c r="C2482" s="23" t="n">
        <x:v>1.215197</x:v>
      </x:c>
      <x:c r="D2482" s="23" t="n">
        <x:v>-17.99041</x:v>
      </x:c>
      <x:c r="E2482" s="23" t="n">
        <x:f>'Parameters'!$B$2*'Parameters'!$B$3*LN(4*PI()*C2482^2)</x:f>
        <x:v>7.240628556009432</x:v>
      </x:c>
      <x:c r="F2482" s="23" t="n">
        <x:f>D2482+E2482</x:f>
        <x:v>-10.749781443990567</x:v>
      </x:c>
      <x:c r="G2482" s="23" t="n">
        <x:f>AVERAGE($F$2545:$F$2568)</x:f>
        <x:v>-9.62303365813066</x:v>
      </x:c>
      <x:c r="H2482" s="24" t="n">
        <x:f>F2482-G2482</x:f>
        <x:v>-1.1267477858599069</x:v>
      </x:c>
    </x:row>
    <x:row r="2483">
      <x:c r="A2483" s="2" t="str">
        <x:v>LiA3-Ref</x:v>
      </x:c>
      <x:c r="B2483" s="4" t="str">
        <x:v>LiCl</x:v>
      </x:c>
      <x:c r="C2483" s="23" t="n">
        <x:v>1.227559</x:v>
      </x:c>
      <x:c r="D2483" s="23" t="n">
        <x:v>-17.98042</x:v>
      </x:c>
      <x:c r="E2483" s="23" t="n">
        <x:f>'Parameters'!$B$2*'Parameters'!$B$3*LN(4*PI()*C2483^2)</x:f>
        <x:v>7.2908097913250005</x:v>
      </x:c>
      <x:c r="F2483" s="23" t="n">
        <x:f>D2483+E2483</x:f>
        <x:v>-10.689610208675</x:v>
      </x:c>
      <x:c r="G2483" s="23" t="n">
        <x:f>AVERAGE($F$2545:$F$2568)</x:f>
        <x:v>-9.62303365813066</x:v>
      </x:c>
      <x:c r="H2483" s="24" t="n">
        <x:f>F2483-G2483</x:f>
        <x:v>-1.0665765505443385</x:v>
      </x:c>
    </x:row>
    <x:row r="2484">
      <x:c r="A2484" s="2" t="str">
        <x:v>LiA3-Ref</x:v>
      </x:c>
      <x:c r="B2484" s="4" t="str">
        <x:v>LiCl</x:v>
      </x:c>
      <x:c r="C2484" s="23" t="n">
        <x:v>1.23992</x:v>
      </x:c>
      <x:c r="D2484" s="23" t="n">
        <x:v>-18.09556</x:v>
      </x:c>
      <x:c r="E2484" s="23" t="n">
        <x:f>'Parameters'!$B$2*'Parameters'!$B$3*LN(4*PI()*C2484^2)</x:f>
        <x:v>7.340484206674547</x:v>
      </x:c>
      <x:c r="F2484" s="23" t="n">
        <x:f>D2484+E2484</x:f>
        <x:v>-10.755075793325453</x:v>
      </x:c>
      <x:c r="G2484" s="23" t="n">
        <x:f>AVERAGE($F$2545:$F$2568)</x:f>
        <x:v>-9.62303365813066</x:v>
      </x:c>
      <x:c r="H2484" s="24" t="n">
        <x:f>F2484-G2484</x:f>
        <x:v>-1.1320421351947925</x:v>
      </x:c>
    </x:row>
    <x:row r="2485">
      <x:c r="A2485" s="2" t="str">
        <x:v>LiA3-Ref</x:v>
      </x:c>
      <x:c r="B2485" s="4" t="str">
        <x:v>LiCl</x:v>
      </x:c>
      <x:c r="C2485" s="23" t="n">
        <x:v>1.252282</x:v>
      </x:c>
      <x:c r="D2485" s="23" t="n">
        <x:v>-18.15331</x:v>
      </x:c>
      <x:c r="E2485" s="23" t="n">
        <x:f>'Parameters'!$B$2*'Parameters'!$B$3*LN(4*PI()*C2485^2)</x:f>
        <x:v>7.38966981544218</x:v>
      </x:c>
      <x:c r="F2485" s="23" t="n">
        <x:f>D2485+E2485</x:f>
        <x:v>-10.763640184557822</x:v>
      </x:c>
      <x:c r="G2485" s="23" t="n">
        <x:f>AVERAGE($F$2545:$F$2568)</x:f>
        <x:v>-9.62303365813066</x:v>
      </x:c>
      <x:c r="H2485" s="24" t="n">
        <x:f>F2485-G2485</x:f>
        <x:v>-1.1406065264271614</x:v>
      </x:c>
    </x:row>
    <x:row r="2486">
      <x:c r="A2486" s="2" t="str">
        <x:v>LiA3-Ref</x:v>
      </x:c>
      <x:c r="B2486" s="4" t="str">
        <x:v>LiCl</x:v>
      </x:c>
      <x:c r="C2486" s="23" t="n">
        <x:v>1.264644</x:v>
      </x:c>
      <x:c r="D2486" s="23" t="n">
        <x:v>-18.05085</x:v>
      </x:c>
      <x:c r="E2486" s="23" t="n">
        <x:f>'Parameters'!$B$2*'Parameters'!$B$3*LN(4*PI()*C2486^2)</x:f>
        <x:v>7.43837226155601</x:v>
      </x:c>
      <x:c r="F2486" s="23" t="n">
        <x:f>D2486+E2486</x:f>
        <x:v>-10.61247773844399</x:v>
      </x:c>
      <x:c r="G2486" s="23" t="n">
        <x:f>AVERAGE($F$2545:$F$2568)</x:f>
        <x:v>-9.62303365813066</x:v>
      </x:c>
      <x:c r="H2486" s="24" t="n">
        <x:f>F2486-G2486</x:f>
        <x:v>-0.98944408031333</x:v>
      </x:c>
    </x:row>
    <x:row r="2487">
      <x:c r="A2487" s="2" t="str">
        <x:v>LiA3-Ref</x:v>
      </x:c>
      <x:c r="B2487" s="4" t="str">
        <x:v>LiCl</x:v>
      </x:c>
      <x:c r="C2487" s="23" t="n">
        <x:v>1.277006</x:v>
      </x:c>
      <x:c r="D2487" s="23" t="n">
        <x:v>-18.22039</x:v>
      </x:c>
      <x:c r="E2487" s="23" t="n">
        <x:f>'Parameters'!$B$2*'Parameters'!$B$3*LN(4*PI()*C2487^2)</x:f>
        <x:v>7.486600945207915</x:v>
      </x:c>
      <x:c r="F2487" s="23" t="n">
        <x:f>D2487+E2487</x:f>
        <x:v>-10.733789054792084</x:v>
      </x:c>
      <x:c r="G2487" s="23" t="n">
        <x:f>AVERAGE($F$2545:$F$2568)</x:f>
        <x:v>-9.62303365813066</x:v>
      </x:c>
      <x:c r="H2487" s="24" t="n">
        <x:f>F2487-G2487</x:f>
        <x:v>-1.110755396661423</x:v>
      </x:c>
    </x:row>
    <x:row r="2488">
      <x:c r="A2488" s="2" t="str">
        <x:v>LiA3-Ref</x:v>
      </x:c>
      <x:c r="B2488" s="4" t="str">
        <x:v>LiCl</x:v>
      </x:c>
      <x:c r="C2488" s="23" t="n">
        <x:v>1.289368</x:v>
      </x:c>
      <x:c r="D2488" s="23" t="n">
        <x:v>-18.29642</x:v>
      </x:c>
      <x:c r="E2488" s="23" t="n">
        <x:f>'Parameters'!$B$2*'Parameters'!$B$3*LN(4*PI()*C2488^2)</x:f>
        <x:v>7.5343649949018126</x:v>
      </x:c>
      <x:c r="F2488" s="23" t="n">
        <x:f>D2488+E2488</x:f>
        <x:v>-10.762055005098189</x:v>
      </x:c>
      <x:c r="G2488" s="23" t="n">
        <x:f>AVERAGE($F$2545:$F$2568)</x:f>
        <x:v>-9.62303365813066</x:v>
      </x:c>
      <x:c r="H2488" s="24" t="n">
        <x:f>F2488-G2488</x:f>
        <x:v>-1.139021346967528</x:v>
      </x:c>
    </x:row>
    <x:row r="2489">
      <x:c r="A2489" s="2" t="str">
        <x:v>LiA3-Ref</x:v>
      </x:c>
      <x:c r="B2489" s="4" t="str">
        <x:v>LiCl</x:v>
      </x:c>
      <x:c r="C2489" s="23" t="n">
        <x:v>1.30173</x:v>
      </x:c>
      <x:c r="D2489" s="23" t="n">
        <x:v>-18.29698</x:v>
      </x:c>
      <x:c r="E2489" s="23" t="n">
        <x:f>'Parameters'!$B$2*'Parameters'!$B$3*LN(4*PI()*C2489^2)</x:f>
        <x:v>7.581673277823737</x:v>
      </x:c>
      <x:c r="F2489" s="23" t="n">
        <x:f>D2489+E2489</x:f>
        <x:v>-10.715306722176265</x:v>
      </x:c>
      <x:c r="G2489" s="23" t="n">
        <x:f>AVERAGE($F$2545:$F$2568)</x:f>
        <x:v>-9.62303365813066</x:v>
      </x:c>
      <x:c r="H2489" s="24" t="n">
        <x:f>F2489-G2489</x:f>
        <x:v>-1.0922730640456049</x:v>
      </x:c>
    </x:row>
    <x:row r="2490">
      <x:c r="A2490" s="2" t="str">
        <x:v>LiA3-Ref</x:v>
      </x:c>
      <x:c r="B2490" s="4" t="str">
        <x:v>LiCl</x:v>
      </x:c>
      <x:c r="C2490" s="23" t="n">
        <x:v>1.314092</x:v>
      </x:c>
      <x:c r="D2490" s="23" t="n">
        <x:v>-18.09046</x:v>
      </x:c>
      <x:c r="E2490" s="23" t="n">
        <x:f>'Parameters'!$B$2*'Parameters'!$B$3*LN(4*PI()*C2490^2)</x:f>
        <x:v>7.628534409721824</x:v>
      </x:c>
      <x:c r="F2490" s="23" t="n">
        <x:f>D2490+E2490</x:f>
        <x:v>-10.461925590278177</x:v>
      </x:c>
      <x:c r="G2490" s="23" t="n">
        <x:f>AVERAGE($F$2545:$F$2568)</x:f>
        <x:v>-9.62303365813066</x:v>
      </x:c>
      <x:c r="H2490" s="24" t="n">
        <x:f>F2490-G2490</x:f>
        <x:v>-0.8388919321475168</x:v>
      </x:c>
    </x:row>
    <x:row r="2491">
      <x:c r="A2491" s="2" t="str">
        <x:v>LiA3-Ref</x:v>
      </x:c>
      <x:c r="B2491" s="4" t="str">
        <x:v>LiCl</x:v>
      </x:c>
      <x:c r="C2491" s="23" t="n">
        <x:v>1.326454</x:v>
      </x:c>
      <x:c r="D2491" s="23" t="n">
        <x:v>-18.23574</x:v>
      </x:c>
      <x:c r="E2491" s="23" t="n">
        <x:f>'Parameters'!$B$2*'Parameters'!$B$3*LN(4*PI()*C2491^2)</x:f>
        <x:v>7.6749567643237215</x:v>
      </x:c>
      <x:c r="F2491" s="23" t="n">
        <x:f>D2491+E2491</x:f>
        <x:v>-10.56078323567628</x:v>
      </x:c>
      <x:c r="G2491" s="23" t="n">
        <x:f>AVERAGE($F$2545:$F$2568)</x:f>
        <x:v>-9.62303365813066</x:v>
      </x:c>
      <x:c r="H2491" s="24" t="n">
        <x:f>F2491-G2491</x:f>
        <x:v>-0.9377495775456186</x:v>
      </x:c>
    </x:row>
    <x:row r="2492">
      <x:c r="A2492" s="2" t="str">
        <x:v>LiA3-Ref</x:v>
      </x:c>
      <x:c r="B2492" s="4" t="str">
        <x:v>LiCl</x:v>
      </x:c>
      <x:c r="C2492" s="23" t="n">
        <x:v>1.338816</x:v>
      </x:c>
      <x:c r="D2492" s="23" t="n">
        <x:v>-18.18342</x:v>
      </x:c>
      <x:c r="E2492" s="23" t="n">
        <x:f>'Parameters'!$B$2*'Parameters'!$B$3*LN(4*PI()*C2492^2)</x:f>
        <x:v>7.720948482317209</x:v>
      </x:c>
      <x:c r="F2492" s="23" t="n">
        <x:f>D2492+E2492</x:f>
        <x:v>-10.462471517682793</x:v>
      </x:c>
      <x:c r="G2492" s="23" t="n">
        <x:f>AVERAGE($F$2545:$F$2568)</x:f>
        <x:v>-9.62303365813066</x:v>
      </x:c>
      <x:c r="H2492" s="24" t="n">
        <x:f>F2492-G2492</x:f>
        <x:v>-0.8394378595521328</x:v>
      </x:c>
    </x:row>
    <x:row r="2493">
      <x:c r="A2493" s="2" t="str">
        <x:v>LiA3-Ref</x:v>
      </x:c>
      <x:c r="B2493" s="4" t="str">
        <x:v>LiCl</x:v>
      </x:c>
      <x:c r="C2493" s="23" t="n">
        <x:v>1.351178</x:v>
      </x:c>
      <x:c r="D2493" s="23" t="n">
        <x:v>-18.1488</x:v>
      </x:c>
      <x:c r="E2493" s="23" t="n">
        <x:f>'Parameters'!$B$2*'Parameters'!$B$3*LN(4*PI()*C2493^2)</x:f>
        <x:v>7.766517479918057</x:v>
      </x:c>
      <x:c r="F2493" s="23" t="n">
        <x:f>D2493+E2493</x:f>
        <x:v>-10.382282520081944</x:v>
      </x:c>
      <x:c r="G2493" s="23" t="n">
        <x:f>AVERAGE($F$2545:$F$2568)</x:f>
        <x:v>-9.62303365813066</x:v>
      </x:c>
      <x:c r="H2493" s="24" t="n">
        <x:f>F2493-G2493</x:f>
        <x:v>-0.7592488619512832</x:v>
      </x:c>
    </x:row>
    <x:row r="2494">
      <x:c r="A2494" s="2" t="str">
        <x:v>LiA3-Ref</x:v>
      </x:c>
      <x:c r="B2494" s="4" t="str">
        <x:v>LiCl</x:v>
      </x:c>
      <x:c r="C2494" s="23" t="n">
        <x:v>1.36354</x:v>
      </x:c>
      <x:c r="D2494" s="23" t="n">
        <x:v>-18.2663</x:v>
      </x:c>
      <x:c r="E2494" s="23" t="n">
        <x:f>'Parameters'!$B$2*'Parameters'!$B$3*LN(4*PI()*C2494^2)</x:f>
        <x:v>7.811671457047742</x:v>
      </x:c>
      <x:c r="F2494" s="23" t="n">
        <x:f>D2494+E2494</x:f>
        <x:v>-10.454628542952259</x:v>
      </x:c>
      <x:c r="G2494" s="23" t="n">
        <x:f>AVERAGE($F$2545:$F$2568)</x:f>
        <x:v>-9.62303365813066</x:v>
      </x:c>
      <x:c r="H2494" s="24" t="n">
        <x:f>F2494-G2494</x:f>
        <x:v>-0.8315948848215982</x:v>
      </x:c>
    </x:row>
    <x:row r="2495">
      <x:c r="A2495" s="2" t="str">
        <x:v>LiA3-Ref</x:v>
      </x:c>
      <x:c r="B2495" s="4" t="str">
        <x:v>LiCl</x:v>
      </x:c>
      <x:c r="C2495" s="23" t="n">
        <x:v>1.375902</x:v>
      </x:c>
      <x:c r="D2495" s="23" t="n">
        <x:v>-18.24982</x:v>
      </x:c>
      <x:c r="E2495" s="23" t="n">
        <x:f>'Parameters'!$B$2*'Parameters'!$B$3*LN(4*PI()*C2495^2)</x:f>
        <x:v>7.856417905142113</x:v>
      </x:c>
      <x:c r="F2495" s="23" t="n">
        <x:f>D2495+E2495</x:f>
        <x:v>-10.393402094857887</x:v>
      </x:c>
      <x:c r="G2495" s="23" t="n">
        <x:f>AVERAGE($F$2545:$F$2568)</x:f>
        <x:v>-9.62303365813066</x:v>
      </x:c>
      <x:c r="H2495" s="24" t="n">
        <x:f>F2495-G2495</x:f>
        <x:v>-0.7703684367272263</x:v>
      </x:c>
    </x:row>
    <x:row r="2496">
      <x:c r="A2496" s="2" t="str">
        <x:v>LiA3-Ref</x:v>
      </x:c>
      <x:c r="B2496" s="4" t="str">
        <x:v>LiCl</x:v>
      </x:c>
      <x:c r="C2496" s="23" t="n">
        <x:v>1.388264</x:v>
      </x:c>
      <x:c r="D2496" s="23" t="n">
        <x:v>-18.20116</x:v>
      </x:c>
      <x:c r="E2496" s="23" t="n">
        <x:f>'Parameters'!$B$2*'Parameters'!$B$3*LN(4*PI()*C2496^2)</x:f>
        <x:v>7.900764114610806</x:v>
      </x:c>
      <x:c r="F2496" s="23" t="n">
        <x:f>D2496+E2496</x:f>
        <x:v>-10.300395885389197</x:v>
      </x:c>
      <x:c r="G2496" s="23" t="n">
        <x:f>AVERAGE($F$2545:$F$2568)</x:f>
        <x:v>-9.62303365813066</x:v>
      </x:c>
      <x:c r="H2496" s="24" t="n">
        <x:f>F2496-G2496</x:f>
        <x:v>-0.677362227258536</x:v>
      </x:c>
    </x:row>
    <x:row r="2497">
      <x:c r="A2497" s="2" t="str">
        <x:v>LiA3-Ref</x:v>
      </x:c>
      <x:c r="B2497" s="4" t="str">
        <x:v>LiCl</x:v>
      </x:c>
      <x:c r="C2497" s="23" t="n">
        <x:v>1.400626</x:v>
      </x:c>
      <x:c r="D2497" s="23" t="n">
        <x:v>-18.29594</x:v>
      </x:c>
      <x:c r="E2497" s="23" t="n">
        <x:f>'Parameters'!$B$2*'Parameters'!$B$3*LN(4*PI()*C2497^2)</x:f>
        <x:v>7.944717181966027</x:v>
      </x:c>
      <x:c r="F2497" s="23" t="n">
        <x:f>D2497+E2497</x:f>
        <x:v>-10.351222818033975</x:v>
      </x:c>
      <x:c r="G2497" s="23" t="n">
        <x:f>AVERAGE($F$2545:$F$2568)</x:f>
        <x:v>-9.62303365813066</x:v>
      </x:c>
      <x:c r="H2497" s="24" t="n">
        <x:f>F2497-G2497</x:f>
        <x:v>-0.7281891599033141</x:v>
      </x:c>
    </x:row>
    <x:row r="2498">
      <x:c r="A2498" s="2" t="str">
        <x:v>LiA3-Ref</x:v>
      </x:c>
      <x:c r="B2498" s="4" t="str">
        <x:v>LiCl</x:v>
      </x:c>
      <x:c r="C2498" s="23" t="n">
        <x:v>1.412988</x:v>
      </x:c>
      <x:c r="D2498" s="23" t="n">
        <x:v>-18.31621</x:v>
      </x:c>
      <x:c r="E2498" s="23" t="n">
        <x:f>'Parameters'!$B$2*'Parameters'!$B$3*LN(4*PI()*C2498^2)</x:f>
        <x:v>7.988284016638087</x:v>
      </x:c>
      <x:c r="F2498" s="23" t="n">
        <x:f>D2498+E2498</x:f>
        <x:v>-10.327925983361915</x:v>
      </x:c>
      <x:c r="G2498" s="23" t="n">
        <x:f>AVERAGE($F$2545:$F$2568)</x:f>
        <x:v>-9.62303365813066</x:v>
      </x:c>
      <x:c r="H2498" s="24" t="n">
        <x:f>F2498-G2498</x:f>
        <x:v>-0.7048923252312544</x:v>
      </x:c>
    </x:row>
    <x:row r="2499">
      <x:c r="A2499" s="2" t="str">
        <x:v>LiA3-Ref</x:v>
      </x:c>
      <x:c r="B2499" s="4" t="str">
        <x:v>LiCl</x:v>
      </x:c>
      <x:c r="C2499" s="23" t="n">
        <x:v>1.42535</x:v>
      </x:c>
      <x:c r="D2499" s="23" t="n">
        <x:v>-18.3078</x:v>
      </x:c>
      <x:c r="E2499" s="23" t="n">
        <x:f>'Parameters'!$B$2*'Parameters'!$B$3*LN(4*PI()*C2499^2)</x:f>
        <x:v>8.031471347494092</x:v>
      </x:c>
      <x:c r="F2499" s="23" t="n">
        <x:f>D2499+E2499</x:f>
        <x:v>-10.276328652505908</x:v>
      </x:c>
      <x:c r="G2499" s="23" t="n">
        <x:f>AVERAGE($F$2545:$F$2568)</x:f>
        <x:v>-9.62303365813066</x:v>
      </x:c>
      <x:c r="H2499" s="24" t="n">
        <x:f>F2499-G2499</x:f>
        <x:v>-0.6532949943752477</x:v>
      </x:c>
    </x:row>
    <x:row r="2500">
      <x:c r="A2500" s="2" t="str">
        <x:v>LiA3-Ref</x:v>
      </x:c>
      <x:c r="B2500" s="4" t="str">
        <x:v>LiCl</x:v>
      </x:c>
      <x:c r="C2500" s="23" t="n">
        <x:v>1.437712</x:v>
      </x:c>
      <x:c r="D2500" s="23" t="n">
        <x:v>-18.47497</x:v>
      </x:c>
      <x:c r="E2500" s="23" t="n">
        <x:f>'Parameters'!$B$2*'Parameters'!$B$3*LN(4*PI()*C2500^2)</x:f>
        <x:v>8.074285729075166</x:v>
      </x:c>
      <x:c r="F2500" s="23" t="n">
        <x:f>D2500+E2500</x:f>
        <x:v>-10.400684270924833</x:v>
      </x:c>
      <x:c r="G2500" s="23" t="n">
        <x:f>AVERAGE($F$2545:$F$2568)</x:f>
        <x:v>-9.62303365813066</x:v>
      </x:c>
      <x:c r="H2500" s="24" t="n">
        <x:f>F2500-G2500</x:f>
        <x:v>-0.7776506127941722</x:v>
      </x:c>
    </x:row>
    <x:row r="2501">
      <x:c r="A2501" s="2" t="str">
        <x:v>LiA3-Ref</x:v>
      </x:c>
      <x:c r="B2501" s="4" t="str">
        <x:v>LiCl</x:v>
      </x:c>
      <x:c r="C2501" s="23" t="n">
        <x:v>1.450074</x:v>
      </x:c>
      <x:c r="D2501" s="23" t="n">
        <x:v>-18.37814</x:v>
      </x:c>
      <x:c r="E2501" s="23" t="n">
        <x:f>'Parameters'!$B$2*'Parameters'!$B$3*LN(4*PI()*C2501^2)</x:f>
        <x:v>8.116733547566653</x:v>
      </x:c>
      <x:c r="F2501" s="23" t="n">
        <x:f>D2501+E2501</x:f>
        <x:v>-10.261406452433345</x:v>
      </x:c>
      <x:c r="G2501" s="23" t="n">
        <x:f>AVERAGE($F$2545:$F$2568)</x:f>
        <x:v>-9.62303365813066</x:v>
      </x:c>
      <x:c r="H2501" s="24" t="n">
        <x:f>F2501-G2501</x:f>
        <x:v>-0.6383727943026845</x:v>
      </x:c>
    </x:row>
    <x:row r="2502">
      <x:c r="A2502" s="2" t="str">
        <x:v>LiA3-Ref</x:v>
      </x:c>
      <x:c r="B2502" s="4" t="str">
        <x:v>LiCl</x:v>
      </x:c>
      <x:c r="C2502" s="23" t="n">
        <x:v>1.462435</x:v>
      </x:c>
      <x:c r="D2502" s="23" t="n">
        <x:v>-18.39052</x:v>
      </x:c>
      <x:c r="E2502" s="23" t="n">
        <x:f>'Parameters'!$B$2*'Parameters'!$B$3*LN(4*PI()*C2502^2)</x:f>
        <x:v>8.158817636338695</x:v>
      </x:c>
      <x:c r="F2502" s="23" t="n">
        <x:f>D2502+E2502</x:f>
        <x:v>-10.231702363661304</x:v>
      </x:c>
      <x:c r="G2502" s="23" t="n">
        <x:f>AVERAGE($F$2545:$F$2568)</x:f>
        <x:v>-9.62303365813066</x:v>
      </x:c>
      <x:c r="H2502" s="24" t="n">
        <x:f>F2502-G2502</x:f>
        <x:v>-0.6086687055306435</x:v>
      </x:c>
    </x:row>
    <x:row r="2503">
      <x:c r="A2503" s="2" t="str">
        <x:v>LiA3-Ref</x:v>
      </x:c>
      <x:c r="B2503" s="4" t="str">
        <x:v>LiCl</x:v>
      </x:c>
      <x:c r="C2503" s="23" t="n">
        <x:v>1.474797</x:v>
      </x:c>
      <x:c r="D2503" s="23" t="n">
        <x:v>-18.53377</x:v>
      </x:c>
      <x:c r="E2503" s="23" t="n">
        <x:f>'Parameters'!$B$2*'Parameters'!$B$3*LN(4*PI()*C2503^2)</x:f>
        <x:v>8.20055087054432</x:v>
      </x:c>
      <x:c r="F2503" s="23" t="n">
        <x:f>D2503+E2503</x:f>
        <x:v>-10.33321912945568</x:v>
      </x:c>
      <x:c r="G2503" s="23" t="n">
        <x:f>AVERAGE($F$2545:$F$2568)</x:f>
        <x:v>-9.62303365813066</x:v>
      </x:c>
      <x:c r="H2503" s="24" t="n">
        <x:f>F2503-G2503</x:f>
        <x:v>-0.7101854713250191</x:v>
      </x:c>
    </x:row>
    <x:row r="2504">
      <x:c r="A2504" s="2" t="str">
        <x:v>LiA3-Ref</x:v>
      </x:c>
      <x:c r="B2504" s="4" t="str">
        <x:v>LiCl</x:v>
      </x:c>
      <x:c r="C2504" s="23" t="n">
        <x:v>1.487159</x:v>
      </x:c>
      <x:c r="D2504" s="23" t="n">
        <x:v>-18.53109</x:v>
      </x:c>
      <x:c r="E2504" s="23" t="n">
        <x:f>'Parameters'!$B$2*'Parameters'!$B$3*LN(4*PI()*C2504^2)</x:f>
        <x:v>8.24193574558623</x:v>
      </x:c>
      <x:c r="F2504" s="23" t="n">
        <x:f>D2504+E2504</x:f>
        <x:v>-10.289154254413768</x:v>
      </x:c>
      <x:c r="G2504" s="23" t="n">
        <x:f>AVERAGE($F$2545:$F$2568)</x:f>
        <x:v>-9.62303365813066</x:v>
      </x:c>
      <x:c r="H2504" s="24" t="n">
        <x:f>F2504-G2504</x:f>
        <x:v>-0.6661205962831076</x:v>
      </x:c>
    </x:row>
    <x:row r="2505">
      <x:c r="A2505" s="2" t="str">
        <x:v>LiA3-Ref</x:v>
      </x:c>
      <x:c r="B2505" s="4" t="str">
        <x:v>LiCl</x:v>
      </x:c>
      <x:c r="C2505" s="23" t="n">
        <x:v>1.499521</x:v>
      </x:c>
      <x:c r="D2505" s="23" t="n">
        <x:v>-18.60066</x:v>
      </x:c>
      <x:c r="E2505" s="23" t="n">
        <x:f>'Parameters'!$B$2*'Parameters'!$B$3*LN(4*PI()*C2505^2)</x:f>
        <x:v>8.28297802905972</x:v>
      </x:c>
      <x:c r="F2505" s="23" t="n">
        <x:f>D2505+E2505</x:f>
        <x:v>-10.317681970940281</x:v>
      </x:c>
      <x:c r="G2505" s="23" t="n">
        <x:f>AVERAGE($F$2545:$F$2568)</x:f>
        <x:v>-9.62303365813066</x:v>
      </x:c>
      <x:c r="H2505" s="24" t="n">
        <x:f>F2505-G2505</x:f>
        <x:v>-0.6946483128096208</x:v>
      </x:c>
    </x:row>
    <x:row r="2506">
      <x:c r="A2506" s="2" t="str">
        <x:v>LiA3-Ref</x:v>
      </x:c>
      <x:c r="B2506" s="4" t="str">
        <x:v>LiCl</x:v>
      </x:c>
      <x:c r="C2506" s="23" t="n">
        <x:v>1.511883</x:v>
      </x:c>
      <x:c r="D2506" s="23" t="n">
        <x:v>-18.69337</x:v>
      </x:c>
      <x:c r="E2506" s="23" t="n">
        <x:f>'Parameters'!$B$2*'Parameters'!$B$3*LN(4*PI()*C2506^2)</x:f>
        <x:v>8.323683346498834</x:v>
      </x:c>
      <x:c r="F2506" s="23" t="n">
        <x:f>D2506+E2506</x:f>
        <x:v>-10.369686653501168</x:v>
      </x:c>
      <x:c r="G2506" s="23" t="n">
        <x:f>AVERAGE($F$2545:$F$2568)</x:f>
        <x:v>-9.62303365813066</x:v>
      </x:c>
      <x:c r="H2506" s="24" t="n">
        <x:f>F2506-G2506</x:f>
        <x:v>-0.746652995370507</x:v>
      </x:c>
    </x:row>
    <x:row r="2507">
      <x:c r="A2507" s="2" t="str">
        <x:v>LiA3-Ref</x:v>
      </x:c>
      <x:c r="B2507" s="4" t="str">
        <x:v>LiCl</x:v>
      </x:c>
      <x:c r="C2507" s="23" t="n">
        <x:v>1.524245</x:v>
      </x:c>
      <x:c r="D2507" s="23" t="n">
        <x:v>-18.73532</x:v>
      </x:c>
      <x:c r="E2507" s="23" t="n">
        <x:f>'Parameters'!$B$2*'Parameters'!$B$3*LN(4*PI()*C2507^2)</x:f>
        <x:v>8.364057186003869</x:v>
      </x:c>
      <x:c r="F2507" s="23" t="n">
        <x:f>D2507+E2507</x:f>
        <x:v>-10.371262813996132</x:v>
      </x:c>
      <x:c r="G2507" s="23" t="n">
        <x:f>AVERAGE($F$2545:$F$2568)</x:f>
        <x:v>-9.62303365813066</x:v>
      </x:c>
      <x:c r="H2507" s="24" t="n">
        <x:f>F2507-G2507</x:f>
        <x:v>-0.7482291558654719</x:v>
      </x:c>
    </x:row>
    <x:row r="2508">
      <x:c r="A2508" s="2" t="str">
        <x:v>LiA3-Ref</x:v>
      </x:c>
      <x:c r="B2508" s="4" t="str">
        <x:v>LiCl</x:v>
      </x:c>
      <x:c r="C2508" s="23" t="n">
        <x:v>1.536607</x:v>
      </x:c>
      <x:c r="D2508" s="23" t="n">
        <x:v>-18.84686</x:v>
      </x:c>
      <x:c r="E2508" s="23" t="n">
        <x:f>'Parameters'!$B$2*'Parameters'!$B$3*LN(4*PI()*C2508^2)</x:f>
        <x:v>8.404104902681981</x:v>
      </x:c>
      <x:c r="F2508" s="23" t="n">
        <x:f>D2508+E2508</x:f>
        <x:v>-10.442755097318019</x:v>
      </x:c>
      <x:c r="G2508" s="23" t="n">
        <x:f>AVERAGE($F$2545:$F$2568)</x:f>
        <x:v>-9.62303365813066</x:v>
      </x:c>
      <x:c r="H2508" s="24" t="n">
        <x:f>F2508-G2508</x:f>
        <x:v>-0.819721439187358</x:v>
      </x:c>
    </x:row>
    <x:row r="2509">
      <x:c r="A2509" s="2" t="str">
        <x:v>LiA3-Ref</x:v>
      </x:c>
      <x:c r="B2509" s="4" t="str">
        <x:v>LiCl</x:v>
      </x:c>
      <x:c r="C2509" s="23" t="n">
        <x:v>1.548969</x:v>
      </x:c>
      <x:c r="D2509" s="23" t="n">
        <x:v>-18.78253</x:v>
      </x:c>
      <x:c r="E2509" s="23" t="n">
        <x:f>'Parameters'!$B$2*'Parameters'!$B$3*LN(4*PI()*C2509^2)</x:f>
        <x:v>8.443831722909863</x:v>
      </x:c>
      <x:c r="F2509" s="23" t="n">
        <x:f>D2509+E2509</x:f>
        <x:v>-10.338698277090138</x:v>
      </x:c>
      <x:c r="G2509" s="23" t="n">
        <x:f>AVERAGE($F$2545:$F$2568)</x:f>
        <x:v>-9.62303365813066</x:v>
      </x:c>
      <x:c r="H2509" s="24" t="n">
        <x:f>F2509-G2509</x:f>
        <x:v>-0.7156646189594777</x:v>
      </x:c>
    </x:row>
    <x:row r="2510">
      <x:c r="A2510" s="2" t="str">
        <x:v>LiA3-Ref</x:v>
      </x:c>
      <x:c r="B2510" s="4" t="str">
        <x:v>LiCl</x:v>
      </x:c>
      <x:c r="C2510" s="23" t="n">
        <x:v>1.561331</x:v>
      </x:c>
      <x:c r="D2510" s="23" t="n">
        <x:v>-19.01106</x:v>
      </x:c>
      <x:c r="E2510" s="23" t="n">
        <x:f>'Parameters'!$B$2*'Parameters'!$B$3*LN(4*PI()*C2510^2)</x:f>
        <x:v>8.48324274842701</x:v>
      </x:c>
      <x:c r="F2510" s="23" t="n">
        <x:f>D2510+E2510</x:f>
        <x:v>-10.52781725157299</x:v>
      </x:c>
      <x:c r="G2510" s="23" t="n">
        <x:f>AVERAGE($F$2545:$F$2568)</x:f>
        <x:v>-9.62303365813066</x:v>
      </x:c>
      <x:c r="H2510" s="24" t="n">
        <x:f>F2510-G2510</x:f>
        <x:v>-0.9047835934423301</x:v>
      </x:c>
    </x:row>
    <x:row r="2511">
      <x:c r="A2511" s="2" t="str">
        <x:v>LiA3-Ref</x:v>
      </x:c>
      <x:c r="B2511" s="4" t="str">
        <x:v>LiCl</x:v>
      </x:c>
      <x:c r="C2511" s="23" t="n">
        <x:v>1.573693</x:v>
      </x:c>
      <x:c r="D2511" s="23" t="n">
        <x:v>-19.01544</x:v>
      </x:c>
      <x:c r="E2511" s="23" t="n">
        <x:f>'Parameters'!$B$2*'Parameters'!$B$3*LN(4*PI()*C2511^2)</x:f>
        <x:v>8.522342960267572</x:v>
      </x:c>
      <x:c r="F2511" s="23" t="n">
        <x:f>D2511+E2511</x:f>
        <x:v>-10.49309703973243</x:v>
      </x:c>
      <x:c r="G2511" s="23" t="n">
        <x:f>AVERAGE($F$2545:$F$2568)</x:f>
        <x:v>-9.62303365813066</x:v>
      </x:c>
      <x:c r="H2511" s="24" t="n">
        <x:f>F2511-G2511</x:f>
        <x:v>-0.8700633816017689</x:v>
      </x:c>
    </x:row>
    <x:row r="2512">
      <x:c r="A2512" s="2" t="str">
        <x:v>LiA3-Ref</x:v>
      </x:c>
      <x:c r="B2512" s="4" t="str">
        <x:v>LiCl</x:v>
      </x:c>
      <x:c r="C2512" s="23" t="n">
        <x:v>1.586055</x:v>
      </x:c>
      <x:c r="D2512" s="23" t="n">
        <x:v>-19.04298</x:v>
      </x:c>
      <x:c r="E2512" s="23" t="n">
        <x:f>'Parameters'!$B$2*'Parameters'!$B$3*LN(4*PI()*C2512^2)</x:f>
        <x:v>8.561137222538367</x:v>
      </x:c>
      <x:c r="F2512" s="23" t="n">
        <x:f>D2512+E2512</x:f>
        <x:v>-10.481842777461633</x:v>
      </x:c>
      <x:c r="G2512" s="23" t="n">
        <x:f>AVERAGE($F$2545:$F$2568)</x:f>
        <x:v>-9.62303365813066</x:v>
      </x:c>
      <x:c r="H2512" s="24" t="n">
        <x:f>F2512-G2512</x:f>
        <x:v>-0.8588091193309726</x:v>
      </x:c>
    </x:row>
    <x:row r="2513">
      <x:c r="A2513" s="2" t="str">
        <x:v>LiA3-Ref</x:v>
      </x:c>
      <x:c r="B2513" s="4" t="str">
        <x:v>LiCl</x:v>
      </x:c>
      <x:c r="C2513" s="23" t="n">
        <x:v>1.598417</x:v>
      </x:c>
      <x:c r="D2513" s="23" t="n">
        <x:v>-19.04103</x:v>
      </x:c>
      <x:c r="E2513" s="23" t="n">
        <x:f>'Parameters'!$B$2*'Parameters'!$B$3*LN(4*PI()*C2513^2)</x:f>
        <x:v>8.59963028605024</x:v>
      </x:c>
      <x:c r="F2513" s="23" t="n">
        <x:f>D2513+E2513</x:f>
        <x:v>-10.441399713949759</x:v>
      </x:c>
      <x:c r="G2513" s="23" t="n">
        <x:f>AVERAGE($F$2545:$F$2568)</x:f>
        <x:v>-9.62303365813066</x:v>
      </x:c>
      <x:c r="H2513" s="24" t="n">
        <x:f>F2513-G2513</x:f>
        <x:v>-0.8183660558190979</x:v>
      </x:c>
    </x:row>
    <x:row r="2514">
      <x:c r="A2514" s="2" t="str">
        <x:v>LiA3-Ref</x:v>
      </x:c>
      <x:c r="B2514" s="4" t="str">
        <x:v>LiCl</x:v>
      </x:c>
      <x:c r="C2514" s="23" t="n">
        <x:v>1.610779</x:v>
      </x:c>
      <x:c r="D2514" s="23" t="n">
        <x:v>-19.01043</x:v>
      </x:c>
      <x:c r="E2514" s="23" t="n">
        <x:f>'Parameters'!$B$2*'Parameters'!$B$3*LN(4*PI()*C2514^2)</x:f>
        <x:v>8.637826791809522</x:v>
      </x:c>
      <x:c r="F2514" s="23" t="n">
        <x:f>D2514+E2514</x:f>
        <x:v>-10.372603208190478</x:v>
      </x:c>
      <x:c r="G2514" s="23" t="n">
        <x:f>AVERAGE($F$2545:$F$2568)</x:f>
        <x:v>-9.62303365813066</x:v>
      </x:c>
      <x:c r="H2514" s="24" t="n">
        <x:f>F2514-G2514</x:f>
        <x:v>-0.7495695500598174</x:v>
      </x:c>
    </x:row>
    <x:row r="2515">
      <x:c r="A2515" s="2" t="str">
        <x:v>LiA3-Ref</x:v>
      </x:c>
      <x:c r="B2515" s="4" t="str">
        <x:v>LiCl</x:v>
      </x:c>
      <x:c r="C2515" s="23" t="n">
        <x:v>1.623141</x:v>
      </x:c>
      <x:c r="D2515" s="23" t="n">
        <x:v>-19.00398</x:v>
      </x:c>
      <x:c r="E2515" s="23" t="n">
        <x:f>'Parameters'!$B$2*'Parameters'!$B$3*LN(4*PI()*C2515^2)</x:f>
        <x:v>8.67573127437603</x:v>
      </x:c>
      <x:c r="F2515" s="23" t="n">
        <x:f>D2515+E2515</x:f>
        <x:v>-10.328248725623968</x:v>
      </x:c>
      <x:c r="G2515" s="23" t="n">
        <x:f>AVERAGE($F$2545:$F$2568)</x:f>
        <x:v>-9.62303365813066</x:v>
      </x:c>
      <x:c r="H2515" s="24" t="n">
        <x:f>F2515-G2515</x:f>
        <x:v>-0.7052150674933078</x:v>
      </x:c>
    </x:row>
    <x:row r="2516">
      <x:c r="A2516" s="2" t="str">
        <x:v>LiA3-Ref</x:v>
      </x:c>
      <x:c r="B2516" s="4" t="str">
        <x:v>LiCl</x:v>
      </x:c>
      <x:c r="C2516" s="23" t="n">
        <x:v>1.635503</x:v>
      </x:c>
      <x:c r="D2516" s="23" t="n">
        <x:v>-18.8633</x:v>
      </x:c>
      <x:c r="E2516" s="23" t="n">
        <x:f>'Parameters'!$B$2*'Parameters'!$B$3*LN(4*PI()*C2516^2)</x:f>
        <x:v>8.713348165093675</x:v>
      </x:c>
      <x:c r="F2516" s="23" t="n">
        <x:f>D2516+E2516</x:f>
        <x:v>-10.149951834906323</x:v>
      </x:c>
      <x:c r="G2516" s="23" t="n">
        <x:f>AVERAGE($F$2545:$F$2568)</x:f>
        <x:v>-9.62303365813066</x:v>
      </x:c>
      <x:c r="H2516" s="24" t="n">
        <x:f>F2516-G2516</x:f>
        <x:v>-0.5269181767756628</x:v>
      </x:c>
    </x:row>
    <x:row r="2517">
      <x:c r="A2517" s="2" t="str">
        <x:v>LiA3-Ref</x:v>
      </x:c>
      <x:c r="B2517" s="4" t="str">
        <x:v>LiCl</x:v>
      </x:c>
      <x:c r="C2517" s="23" t="n">
        <x:v>1.647865</x:v>
      </x:c>
      <x:c r="D2517" s="23" t="n">
        <x:v>-18.83449</x:v>
      </x:c>
      <x:c r="E2517" s="23" t="n">
        <x:f>'Parameters'!$B$2*'Parameters'!$B$3*LN(4*PI()*C2517^2)</x:f>
        <x:v>8.750681795199434</x:v>
      </x:c>
      <x:c r="F2517" s="23" t="n">
        <x:f>D2517+E2517</x:f>
        <x:v>-10.083808204800565</x:v>
      </x:c>
      <x:c r="G2517" s="23" t="n">
        <x:f>AVERAGE($F$2545:$F$2568)</x:f>
        <x:v>-9.62303365813066</x:v>
      </x:c>
      <x:c r="H2517" s="24" t="n">
        <x:f>F2517-G2517</x:f>
        <x:v>-0.4607745466699047</x:v>
      </x:c>
    </x:row>
    <x:row r="2518">
      <x:c r="A2518" s="2" t="str">
        <x:v>LiA3-Ref</x:v>
      </x:c>
      <x:c r="B2518" s="4" t="str">
        <x:v>LiCl</x:v>
      </x:c>
      <x:c r="C2518" s="23" t="n">
        <x:v>1.660227</x:v>
      </x:c>
      <x:c r="D2518" s="23" t="n">
        <x:v>-18.76001</x:v>
      </x:c>
      <x:c r="E2518" s="23" t="n">
        <x:f>'Parameters'!$B$2*'Parameters'!$B$3*LN(4*PI()*C2518^2)</x:f>
        <x:v>8.787736398816115</x:v>
      </x:c>
      <x:c r="F2518" s="23" t="n">
        <x:f>D2518+E2518</x:f>
        <x:v>-9.972273601183886</x:v>
      </x:c>
      <x:c r="G2518" s="23" t="n">
        <x:f>AVERAGE($F$2545:$F$2568)</x:f>
        <x:v>-9.62303365813066</x:v>
      </x:c>
      <x:c r="H2518" s="24" t="n">
        <x:f>F2518-G2518</x:f>
        <x:v>-0.3492399430532256</x:v>
      </x:c>
    </x:row>
    <x:row r="2519">
      <x:c r="A2519" s="2" t="str">
        <x:v>LiA3-Ref</x:v>
      </x:c>
      <x:c r="B2519" s="4" t="str">
        <x:v>LiCl</x:v>
      </x:c>
      <x:c r="C2519" s="23" t="n">
        <x:v>1.672589</x:v>
      </x:c>
      <x:c r="D2519" s="23" t="n">
        <x:v>-18.70322</x:v>
      </x:c>
      <x:c r="E2519" s="23" t="n">
        <x:f>'Parameters'!$B$2*'Parameters'!$B$3*LN(4*PI()*C2519^2)</x:f>
        <x:v>8.82451611583416</x:v>
      </x:c>
      <x:c r="F2519" s="23" t="n">
        <x:f>D2519+E2519</x:f>
        <x:v>-9.878703884165843</x:v>
      </x:c>
      <x:c r="G2519" s="23" t="n">
        <x:f>AVERAGE($F$2545:$F$2568)</x:f>
        <x:v>-9.62303365813066</x:v>
      </x:c>
      <x:c r="H2519" s="24" t="n">
        <x:f>F2519-G2519</x:f>
        <x:v>-0.25567022603518197</x:v>
      </x:c>
    </x:row>
    <x:row r="2520">
      <x:c r="A2520" s="2" t="str">
        <x:v>LiA3-Ref</x:v>
      </x:c>
      <x:c r="B2520" s="4" t="str">
        <x:v>LiCl</x:v>
      </x:c>
      <x:c r="C2520" s="23" t="n">
        <x:v>1.68495</x:v>
      </x:c>
      <x:c r="D2520" s="23" t="n">
        <x:v>-18.7656</x:v>
      </x:c>
      <x:c r="E2520" s="23" t="n">
        <x:f>'Parameters'!$B$2*'Parameters'!$B$3*LN(4*PI()*C2520^2)</x:f>
        <x:v>8.861022052218617</x:v>
      </x:c>
      <x:c r="F2520" s="23" t="n">
        <x:f>D2520+E2520</x:f>
        <x:v>-9.904577947781382</x:v>
      </x:c>
      <x:c r="G2520" s="23" t="n">
        <x:f>AVERAGE($F$2545:$F$2568)</x:f>
        <x:v>-9.62303365813066</x:v>
      </x:c>
      <x:c r="H2520" s="24" t="n">
        <x:f>F2520-G2520</x:f>
        <x:v>-0.2815442896507214</x:v>
      </x:c>
    </x:row>
    <x:row r="2521">
      <x:c r="A2521" s="2" t="str">
        <x:v>LiA3-Ref</x:v>
      </x:c>
      <x:c r="B2521" s="4" t="str">
        <x:v>LiCl</x:v>
      </x:c>
      <x:c r="C2521" s="23" t="n">
        <x:v>1.697312</x:v>
      </x:c>
      <x:c r="D2521" s="23" t="n">
        <x:v>-18.8144</x:v>
      </x:c>
      <x:c r="E2521" s="23" t="n">
        <x:f>'Parameters'!$B$2*'Parameters'!$B$3*LN(4*PI()*C2521^2)</x:f>
        <x:v>8.897264073988882</x:v>
      </x:c>
      <x:c r="F2521" s="23" t="n">
        <x:f>D2521+E2521</x:f>
        <x:v>-9.917135926011117</x:v>
      </x:c>
      <x:c r="G2521" s="23" t="n">
        <x:f>AVERAGE($F$2545:$F$2568)</x:f>
        <x:v>-9.62303365813066</x:v>
      </x:c>
      <x:c r="H2521" s="24" t="n">
        <x:f>F2521-G2521</x:f>
        <x:v>-0.2941022678804561</x:v>
      </x:c>
    </x:row>
    <x:row r="2522">
      <x:c r="A2522" s="2" t="str">
        <x:v>LiA3-Ref</x:v>
      </x:c>
      <x:c r="B2522" s="4" t="str">
        <x:v>LiCl</x:v>
      </x:c>
      <x:c r="C2522" s="23" t="n">
        <x:v>1.709674</x:v>
      </x:c>
      <x:c r="D2522" s="23" t="n">
        <x:v>-18.94748</x:v>
      </x:c>
      <x:c r="E2522" s="23" t="n">
        <x:f>'Parameters'!$B$2*'Parameters'!$B$3*LN(4*PI()*C2522^2)</x:f>
        <x:v>8.933243090381467</x:v>
      </x:c>
      <x:c r="F2522" s="23" t="n">
        <x:f>D2522+E2522</x:f>
        <x:v>-10.014236909618532</x:v>
      </x:c>
      <x:c r="G2522" s="23" t="n">
        <x:f>AVERAGE($F$2545:$F$2568)</x:f>
        <x:v>-9.62303365813066</x:v>
      </x:c>
      <x:c r="H2522" s="24" t="n">
        <x:f>F2522-G2522</x:f>
        <x:v>-0.3912032514878714</x:v>
      </x:c>
    </x:row>
    <x:row r="2523">
      <x:c r="A2523" s="2" t="str">
        <x:v>LiA3-Ref</x:v>
      </x:c>
      <x:c r="B2523" s="4" t="str">
        <x:v>LiCl</x:v>
      </x:c>
      <x:c r="C2523" s="23" t="n">
        <x:v>1.722036</x:v>
      </x:c>
      <x:c r="D2523" s="23" t="n">
        <x:v>-19.1209</x:v>
      </x:c>
      <x:c r="E2523" s="23" t="n">
        <x:f>'Parameters'!$B$2*'Parameters'!$B$3*LN(4*PI()*C2523^2)</x:f>
        <x:v>8.968962891127992</x:v>
      </x:c>
      <x:c r="F2523" s="23" t="n">
        <x:f>D2523+E2523</x:f>
        <x:v>-10.151937108872007</x:v>
      </x:c>
      <x:c r="G2523" s="23" t="n">
        <x:f>AVERAGE($F$2545:$F$2568)</x:f>
        <x:v>-9.62303365813066</x:v>
      </x:c>
      <x:c r="H2523" s="24" t="n">
        <x:f>F2523-G2523</x:f>
        <x:v>-0.5289034507413461</x:v>
      </x:c>
    </x:row>
    <x:row r="2524">
      <x:c r="A2524" s="2" t="str">
        <x:v>LiA3-Ref</x:v>
      </x:c>
      <x:c r="B2524" s="4" t="str">
        <x:v>LiCl</x:v>
      </x:c>
      <x:c r="C2524" s="23" t="n">
        <x:v>1.734398</x:v>
      </x:c>
      <x:c r="D2524" s="23" t="n">
        <x:v>-19.26438</x:v>
      </x:c>
      <x:c r="E2524" s="23" t="n">
        <x:f>'Parameters'!$B$2*'Parameters'!$B$3*LN(4*PI()*C2524^2)</x:f>
        <x:v>9.004427184634412</x:v>
      </x:c>
      <x:c r="F2524" s="23" t="n">
        <x:f>D2524+E2524</x:f>
        <x:v>-10.259952815365587</x:v>
      </x:c>
      <x:c r="G2524" s="23" t="n">
        <x:f>AVERAGE($F$2545:$F$2568)</x:f>
        <x:v>-9.62303365813066</x:v>
      </x:c>
      <x:c r="H2524" s="24" t="n">
        <x:f>F2524-G2524</x:f>
        <x:v>-0.6369191572349262</x:v>
      </x:c>
    </x:row>
    <x:row r="2525">
      <x:c r="A2525" s="2" t="str">
        <x:v>LiA3-Ref</x:v>
      </x:c>
      <x:c r="B2525" s="4" t="str">
        <x:v>LiCl</x:v>
      </x:c>
      <x:c r="C2525" s="23" t="n">
        <x:v>1.74676</x:v>
      </x:c>
      <x:c r="D2525" s="23" t="n">
        <x:v>-19.15314</x:v>
      </x:c>
      <x:c r="E2525" s="23" t="n">
        <x:f>'Parameters'!$B$2*'Parameters'!$B$3*LN(4*PI()*C2525^2)</x:f>
        <x:v>9.039639600291427</x:v>
      </x:c>
      <x:c r="F2525" s="23" t="n">
        <x:f>D2525+E2525</x:f>
        <x:v>-10.113500399708574</x:v>
      </x:c>
      <x:c r="G2525" s="23" t="n">
        <x:f>AVERAGE($F$2545:$F$2568)</x:f>
        <x:v>-9.62303365813066</x:v>
      </x:c>
      <x:c r="H2525" s="24" t="n">
        <x:f>F2525-G2525</x:f>
        <x:v>-0.49046674157791337</x:v>
      </x:c>
    </x:row>
    <x:row r="2526">
      <x:c r="A2526" s="2" t="str">
        <x:v>LiA3-Ref</x:v>
      </x:c>
      <x:c r="B2526" s="4" t="str">
        <x:v>LiCl</x:v>
      </x:c>
      <x:c r="C2526" s="23" t="n">
        <x:v>1.759122</x:v>
      </x:c>
      <x:c r="D2526" s="23" t="n">
        <x:v>-19.2798</x:v>
      </x:c>
      <x:c r="E2526" s="23" t="n">
        <x:f>'Parameters'!$B$2*'Parameters'!$B$3*LN(4*PI()*C2526^2)</x:f>
        <x:v>9.074603690703448</x:v>
      </x:c>
      <x:c r="F2526" s="23" t="n">
        <x:f>D2526+E2526</x:f>
        <x:v>-10.205196309296554</x:v>
      </x:c>
      <x:c r="G2526" s="23" t="n">
        <x:f>AVERAGE($F$2545:$F$2568)</x:f>
        <x:v>-9.62303365813066</x:v>
      </x:c>
      <x:c r="H2526" s="24" t="n">
        <x:f>F2526-G2526</x:f>
        <x:v>-0.582162651165893</x:v>
      </x:c>
    </x:row>
    <x:row r="2527">
      <x:c r="A2527" s="2" t="str">
        <x:v>LiA3-Ref</x:v>
      </x:c>
      <x:c r="B2527" s="4" t="str">
        <x:v>LiCl</x:v>
      </x:c>
      <x:c r="C2527" s="23" t="n">
        <x:v>1.771484</x:v>
      </x:c>
      <x:c r="D2527" s="23" t="n">
        <x:v>-19.32431</x:v>
      </x:c>
      <x:c r="E2527" s="23" t="n">
        <x:f>'Parameters'!$B$2*'Parameters'!$B$3*LN(4*PI()*C2527^2)</x:f>
        <x:v>9.109322933839504</x:v>
      </x:c>
      <x:c r="F2527" s="23" t="n">
        <x:f>D2527+E2527</x:f>
        <x:v>-10.214987066160496</x:v>
      </x:c>
      <x:c r="G2527" s="23" t="n">
        <x:f>AVERAGE($F$2545:$F$2568)</x:f>
        <x:v>-9.62303365813066</x:v>
      </x:c>
      <x:c r="H2527" s="24" t="n">
        <x:f>F2527-G2527</x:f>
        <x:v>-0.5919534080298359</x:v>
      </x:c>
    </x:row>
    <x:row r="2528">
      <x:c r="A2528" s="2" t="str">
        <x:v>LiA3-Ref</x:v>
      </x:c>
      <x:c r="B2528" s="4" t="str">
        <x:v>LiCl</x:v>
      </x:c>
      <x:c r="C2528" s="23" t="n">
        <x:v>1.783846</x:v>
      </x:c>
      <x:c r="D2528" s="23" t="n">
        <x:v>-19.25982</x:v>
      </x:c>
      <x:c r="E2528" s="23" t="n">
        <x:f>'Parameters'!$B$2*'Parameters'!$B$3*LN(4*PI()*C2528^2)</x:f>
        <x:v>9.143800735109362</x:v>
      </x:c>
      <x:c r="F2528" s="23" t="n">
        <x:f>D2528+E2528</x:f>
        <x:v>-10.116019264890639</x:v>
      </x:c>
      <x:c r="G2528" s="23" t="n">
        <x:f>AVERAGE($F$2545:$F$2568)</x:f>
        <x:v>-9.62303365813066</x:v>
      </x:c>
      <x:c r="H2528" s="24" t="n">
        <x:f>F2528-G2528</x:f>
        <x:v>-0.49298560675997827</x:v>
      </x:c>
    </x:row>
    <x:row r="2529">
      <x:c r="A2529" s="2" t="str">
        <x:v>LiA3-Ref</x:v>
      </x:c>
      <x:c r="B2529" s="4" t="str">
        <x:v>LiCl</x:v>
      </x:c>
      <x:c r="C2529" s="23" t="n">
        <x:v>1.796208</x:v>
      </x:c>
      <x:c r="D2529" s="23" t="n">
        <x:v>-19.36782</x:v>
      </x:c>
      <x:c r="E2529" s="23" t="n">
        <x:f>'Parameters'!$B$2*'Parameters'!$B$3*LN(4*PI()*C2529^2)</x:f>
        <x:v>9.17804042936796</x:v>
      </x:c>
      <x:c r="F2529" s="23" t="n">
        <x:f>D2529+E2529</x:f>
        <x:v>-10.189779570632039</x:v>
      </x:c>
      <x:c r="G2529" s="23" t="n">
        <x:f>AVERAGE($F$2545:$F$2568)</x:f>
        <x:v>-9.62303365813066</x:v>
      </x:c>
      <x:c r="H2529" s="24" t="n">
        <x:f>F2529-G2529</x:f>
        <x:v>-0.5667459125013785</x:v>
      </x:c>
    </x:row>
    <x:row r="2530">
      <x:c r="A2530" s="2" t="str">
        <x:v>LiA3-Ref</x:v>
      </x:c>
      <x:c r="B2530" s="4" t="str">
        <x:v>LiCl</x:v>
      </x:c>
      <x:c r="C2530" s="23" t="n">
        <x:v>1.80857</x:v>
      </x:c>
      <x:c r="D2530" s="23" t="n">
        <x:v>-19.30327</x:v>
      </x:c>
      <x:c r="E2530" s="23" t="n">
        <x:f>'Parameters'!$B$2*'Parameters'!$B$3*LN(4*PI()*C2530^2)</x:f>
        <x:v>9.212045282851081</x:v>
      </x:c>
      <x:c r="F2530" s="23" t="n">
        <x:f>D2530+E2530</x:f>
        <x:v>-10.09122471714892</x:v>
      </x:c>
      <x:c r="G2530" s="23" t="n">
        <x:f>AVERAGE($F$2545:$F$2568)</x:f>
        <x:v>-9.62303365813066</x:v>
      </x:c>
      <x:c r="H2530" s="24" t="n">
        <x:f>F2530-G2530</x:f>
        <x:v>-0.46819105901825964</x:v>
      </x:c>
    </x:row>
    <x:row r="2531">
      <x:c r="A2531" s="2" t="str">
        <x:v>LiA3-Ref</x:v>
      </x:c>
      <x:c r="B2531" s="4" t="str">
        <x:v>LiCl</x:v>
      </x:c>
      <x:c r="C2531" s="23" t="n">
        <x:v>1.820932</x:v>
      </x:c>
      <x:c r="D2531" s="23" t="n">
        <x:v>-19.33856</x:v>
      </x:c>
      <x:c r="E2531" s="23" t="n">
        <x:f>'Parameters'!$B$2*'Parameters'!$B$3*LN(4*PI()*C2531^2)</x:f>
        <x:v>9.245818495045137</x:v>
      </x:c>
      <x:c r="F2531" s="23" t="n">
        <x:f>D2531+E2531</x:f>
        <x:v>-10.092741504954864</x:v>
      </x:c>
      <x:c r="G2531" s="23" t="n">
        <x:f>AVERAGE($F$2545:$F$2568)</x:f>
        <x:v>-9.62303365813066</x:v>
      </x:c>
      <x:c r="H2531" s="24" t="n">
        <x:f>F2531-G2531</x:f>
        <x:v>-0.4697078468242033</x:v>
      </x:c>
    </x:row>
    <x:row r="2532">
      <x:c r="A2532" s="2" t="str">
        <x:v>LiA3-Ref</x:v>
      </x:c>
      <x:c r="B2532" s="4" t="str">
        <x:v>LiCl</x:v>
      </x:c>
      <x:c r="C2532" s="23" t="n">
        <x:v>1.833294</x:v>
      </x:c>
      <x:c r="D2532" s="23" t="n">
        <x:v>-19.45512</x:v>
      </x:c>
      <x:c r="E2532" s="23" t="n">
        <x:f>'Parameters'!$B$2*'Parameters'!$B$3*LN(4*PI()*C2532^2)</x:f>
        <x:v>9.27936320049365</x:v>
      </x:c>
      <x:c r="F2532" s="23" t="n">
        <x:f>D2532+E2532</x:f>
        <x:v>-10.17575679950635</x:v>
      </x:c>
      <x:c r="G2532" s="23" t="n">
        <x:f>AVERAGE($F$2545:$F$2568)</x:f>
        <x:v>-9.62303365813066</x:v>
      </x:c>
      <x:c r="H2532" s="24" t="n">
        <x:f>F2532-G2532</x:f>
        <x:v>-0.5527231413756901</x:v>
      </x:c>
    </x:row>
    <x:row r="2533">
      <x:c r="A2533" s="2" t="str">
        <x:v>LiA3-Ref</x:v>
      </x:c>
      <x:c r="B2533" s="4" t="str">
        <x:v>LiCl</x:v>
      </x:c>
      <x:c r="C2533" s="23" t="n">
        <x:v>1.845656</x:v>
      </x:c>
      <x:c r="D2533" s="23" t="n">
        <x:v>-19.45375</x:v>
      </x:c>
      <x:c r="E2533" s="23" t="n">
        <x:f>'Parameters'!$B$2*'Parameters'!$B$3*LN(4*PI()*C2533^2)</x:f>
        <x:v>9.312682470543065</x:v>
      </x:c>
      <x:c r="F2533" s="23" t="n">
        <x:f>D2533+E2533</x:f>
        <x:v>-10.141067529456935</x:v>
      </x:c>
      <x:c r="G2533" s="23" t="n">
        <x:f>AVERAGE($F$2545:$F$2568)</x:f>
        <x:v>-9.62303365813066</x:v>
      </x:c>
      <x:c r="H2533" s="24" t="n">
        <x:f>F2533-G2533</x:f>
        <x:v>-0.5180338713262742</x:v>
      </x:c>
    </x:row>
    <x:row r="2534">
      <x:c r="A2534" s="2" t="str">
        <x:v>LiA3-Ref</x:v>
      </x:c>
      <x:c r="B2534" s="4" t="str">
        <x:v>LiCl</x:v>
      </x:c>
      <x:c r="C2534" s="23" t="n">
        <x:v>1.858018</x:v>
      </x:c>
      <x:c r="D2534" s="23" t="n">
        <x:v>-19.34133</x:v>
      </x:c>
      <x:c r="E2534" s="23" t="n">
        <x:f>'Parameters'!$B$2*'Parameters'!$B$3*LN(4*PI()*C2534^2)</x:f>
        <x:v>9.345779315030272</x:v>
      </x:c>
      <x:c r="F2534" s="23" t="n">
        <x:f>D2534+E2534</x:f>
        <x:v>-9.995550684969727</x:v>
      </x:c>
      <x:c r="G2534" s="23" t="n">
        <x:f>AVERAGE($F$2545:$F$2568)</x:f>
        <x:v>-9.62303365813066</x:v>
      </x:c>
      <x:c r="H2534" s="24" t="n">
        <x:f>F2534-G2534</x:f>
        <x:v>-0.3725170268390663</x:v>
      </x:c>
    </x:row>
    <x:row r="2535">
      <x:c r="A2535" s="2" t="str">
        <x:v>LiA3-Ref</x:v>
      </x:c>
      <x:c r="B2535" s="4" t="str">
        <x:v>LiCl</x:v>
      </x:c>
      <x:c r="C2535" s="23" t="n">
        <x:v>1.87038</x:v>
      </x:c>
      <x:c r="D2535" s="23" t="n">
        <x:v>-19.3609</x:v>
      </x:c>
      <x:c r="E2535" s="23" t="n">
        <x:f>'Parameters'!$B$2*'Parameters'!$B$3*LN(4*PI()*C2535^2)</x:f>
        <x:v>9.378656683914189</x:v>
      </x:c>
      <x:c r="F2535" s="23" t="n">
        <x:f>D2535+E2535</x:f>
        <x:v>-9.982243316085812</x:v>
      </x:c>
      <x:c r="G2535" s="23" t="n">
        <x:f>AVERAGE($F$2545:$F$2568)</x:f>
        <x:v>-9.62303365813066</x:v>
      </x:c>
      <x:c r="H2535" s="24" t="n">
        <x:f>F2535-G2535</x:f>
        <x:v>-0.3592096579551516</x:v>
      </x:c>
    </x:row>
    <x:row r="2536">
      <x:c r="A2536" s="2" t="str">
        <x:v>LiA3-Ref</x:v>
      </x:c>
      <x:c r="B2536" s="4" t="str">
        <x:v>LiCl</x:v>
      </x:c>
      <x:c r="C2536" s="23" t="n">
        <x:v>1.882742</x:v>
      </x:c>
      <x:c r="D2536" s="23" t="n">
        <x:v>-19.49901</x:v>
      </x:c>
      <x:c r="E2536" s="23" t="n">
        <x:f>'Parameters'!$B$2*'Parameters'!$B$3*LN(4*PI()*C2536^2)</x:f>
        <x:v>9.41131746885359</x:v>
      </x:c>
      <x:c r="F2536" s="23" t="n">
        <x:f>D2536+E2536</x:f>
        <x:v>-10.08769253114641</x:v>
      </x:c>
      <x:c r="G2536" s="23" t="n">
        <x:f>AVERAGE($F$2545:$F$2568)</x:f>
        <x:v>-9.62303365813066</x:v>
      </x:c>
      <x:c r="H2536" s="24" t="n">
        <x:f>F2536-G2536</x:f>
        <x:v>-0.4646588730157486</x:v>
      </x:c>
    </x:row>
    <x:row r="2537">
      <x:c r="A2537" s="2" t="str">
        <x:v>LiA3-Ref</x:v>
      </x:c>
      <x:c r="B2537" s="4" t="str">
        <x:v>LiCl</x:v>
      </x:c>
      <x:c r="C2537" s="23" t="n">
        <x:v>1.895104</x:v>
      </x:c>
      <x:c r="D2537" s="23" t="n">
        <x:v>-19.55964</x:v>
      </x:c>
      <x:c r="E2537" s="23" t="n">
        <x:f>'Parameters'!$B$2*'Parameters'!$B$3*LN(4*PI()*C2537^2)</x:f>
        <x:v>9.443764504733306</x:v>
      </x:c>
      <x:c r="F2537" s="23" t="n">
        <x:f>D2537+E2537</x:f>
        <x:v>-10.115875495266696</x:v>
      </x:c>
      <x:c r="G2537" s="23" t="n">
        <x:f>AVERAGE($F$2545:$F$2568)</x:f>
        <x:v>-9.62303365813066</x:v>
      </x:c>
      <x:c r="H2537" s="24" t="n">
        <x:f>F2537-G2537</x:f>
        <x:v>-0.49284183713603547</x:v>
      </x:c>
    </x:row>
    <x:row r="2538">
      <x:c r="A2538" s="2" t="str">
        <x:v>LiA3-Ref</x:v>
      </x:c>
      <x:c r="B2538" s="4" t="str">
        <x:v>LiCl</x:v>
      </x:c>
      <x:c r="C2538" s="23" t="n">
        <x:v>1.907465</x:v>
      </x:c>
      <x:c r="D2538" s="23" t="n">
        <x:v>-19.44077</x:v>
      </x:c>
      <x:c r="E2538" s="23" t="n">
        <x:f>'Parameters'!$B$2*'Parameters'!$B$3*LN(4*PI()*C2538^2)</x:f>
        <x:v>9.475997971925224</x:v>
      </x:c>
      <x:c r="F2538" s="23" t="n">
        <x:f>D2538+E2538</x:f>
        <x:v>-9.964772028074776</x:v>
      </x:c>
      <x:c r="G2538" s="23" t="n">
        <x:f>AVERAGE($F$2545:$F$2568)</x:f>
        <x:v>-9.62303365813066</x:v>
      </x:c>
      <x:c r="H2538" s="24" t="n">
        <x:f>F2538-G2538</x:f>
        <x:v>-0.34173836994411566</x:v>
      </x:c>
    </x:row>
    <x:row r="2539">
      <x:c r="A2539" s="2" t="str">
        <x:v>LiA3-Ref</x:v>
      </x:c>
      <x:c r="B2539" s="4" t="str">
        <x:v>LiCl</x:v>
      </x:c>
      <x:c r="C2539" s="23" t="n">
        <x:v>1.919827</x:v>
      </x:c>
      <x:c r="D2539" s="23" t="n">
        <x:v>-19.48324</x:v>
      </x:c>
      <x:c r="E2539" s="23" t="n">
        <x:f>'Parameters'!$B$2*'Parameters'!$B$3*LN(4*PI()*C2539^2)</x:f>
        <x:v>9.508025811316188</x:v>
      </x:c>
      <x:c r="F2539" s="23" t="n">
        <x:f>D2539+E2539</x:f>
        <x:v>-9.975214188683811</x:v>
      </x:c>
      <x:c r="G2539" s="23" t="n">
        <x:f>AVERAGE($F$2545:$F$2568)</x:f>
        <x:v>-9.62303365813066</x:v>
      </x:c>
      <x:c r="H2539" s="24" t="n">
        <x:f>F2539-G2539</x:f>
        <x:v>-0.35218053055315046</x:v>
      </x:c>
    </x:row>
    <x:row r="2540">
      <x:c r="A2540" s="2" t="str">
        <x:v>LiA3-Ref</x:v>
      </x:c>
      <x:c r="B2540" s="4" t="str">
        <x:v>LiCl</x:v>
      </x:c>
      <x:c r="C2540" s="23" t="n">
        <x:v>1.932189</x:v>
      </x:c>
      <x:c r="D2540" s="23" t="n">
        <x:v>-19.58003</x:v>
      </x:c>
      <x:c r="E2540" s="23" t="n">
        <x:f>'Parameters'!$B$2*'Parameters'!$B$3*LN(4*PI()*C2540^2)</x:f>
        <x:v>9.539848079973368</x:v>
      </x:c>
      <x:c r="F2540" s="23" t="n">
        <x:f>D2540+E2540</x:f>
        <x:v>-10.040181920026633</x:v>
      </x:c>
      <x:c r="G2540" s="23" t="n">
        <x:f>AVERAGE($F$2545:$F$2568)</x:f>
        <x:v>-9.62303365813066</x:v>
      </x:c>
      <x:c r="H2540" s="24" t="n">
        <x:f>F2540-G2540</x:f>
        <x:v>-0.41714826189597254</x:v>
      </x:c>
    </x:row>
    <x:row r="2541">
      <x:c r="A2541" s="2" t="str">
        <x:v>LiA3-Ref</x:v>
      </x:c>
      <x:c r="B2541" s="4" t="str">
        <x:v>LiCl</x:v>
      </x:c>
      <x:c r="C2541" s="23" t="n">
        <x:v>1.944551</x:v>
      </x:c>
      <x:c r="D2541" s="23" t="n">
        <x:v>-19.64063</x:v>
      </x:c>
      <x:c r="E2541" s="23" t="n">
        <x:f>'Parameters'!$B$2*'Parameters'!$B$3*LN(4*PI()*C2541^2)</x:f>
        <x:v>9.571467399987917</x:v>
      </x:c>
      <x:c r="F2541" s="23" t="n">
        <x:f>D2541+E2541</x:f>
        <x:v>-10.069162600012085</x:v>
      </x:c>
      <x:c r="G2541" s="23" t="n">
        <x:f>AVERAGE($F$2545:$F$2568)</x:f>
        <x:v>-9.62303365813066</x:v>
      </x:c>
      <x:c r="H2541" s="24" t="n">
        <x:f>F2541-G2541</x:f>
        <x:v>-0.44612894188142427</x:v>
      </x:c>
    </x:row>
    <x:row r="2542">
      <x:c r="A2542" s="2" t="str">
        <x:v>LiA3-Ref</x:v>
      </x:c>
      <x:c r="B2542" s="4" t="str">
        <x:v>LiCl</x:v>
      </x:c>
      <x:c r="C2542" s="23" t="n">
        <x:v>1.956913</x:v>
      </x:c>
      <x:c r="D2542" s="23" t="n">
        <x:v>-19.6188</x:v>
      </x:c>
      <x:c r="E2542" s="23" t="n">
        <x:f>'Parameters'!$B$2*'Parameters'!$B$3*LN(4*PI()*C2542^2)</x:f>
        <x:v>9.602886343600893</x:v>
      </x:c>
      <x:c r="F2542" s="23" t="n">
        <x:f>D2542+E2542</x:f>
        <x:v>-10.015913656399107</x:v>
      </x:c>
      <x:c r="G2542" s="23" t="n">
        <x:f>AVERAGE($F$2545:$F$2568)</x:f>
        <x:v>-9.62303365813066</x:v>
      </x:c>
      <x:c r="H2542" s="24" t="n">
        <x:f>F2542-G2542</x:f>
        <x:v>-0.39287999826844633</x:v>
      </x:c>
    </x:row>
    <x:row r="2543">
      <x:c r="A2543" s="2" t="str">
        <x:v>LiA3-Ref</x:v>
      </x:c>
      <x:c r="B2543" s="4" t="str">
        <x:v>LiCl</x:v>
      </x:c>
      <x:c r="C2543" s="23" t="n">
        <x:v>1.969275</x:v>
      </x:c>
      <x:c r="D2543" s="23" t="n">
        <x:v>-19.71564</x:v>
      </x:c>
      <x:c r="E2543" s="23" t="n">
        <x:f>'Parameters'!$B$2*'Parameters'!$B$3*LN(4*PI()*C2543^2)</x:f>
        <x:v>9.63410743445894</x:v>
      </x:c>
      <x:c r="F2543" s="23" t="n">
        <x:f>D2543+E2543</x:f>
        <x:v>-10.08153256554106</x:v>
      </x:c>
      <x:c r="G2543" s="23" t="n">
        <x:f>AVERAGE($F$2545:$F$2568)</x:f>
        <x:v>-9.62303365813066</x:v>
      </x:c>
      <x:c r="H2543" s="24" t="n">
        <x:f>F2543-G2543</x:f>
        <x:v>-0.4584989074103998</x:v>
      </x:c>
    </x:row>
    <x:row r="2544">
      <x:c r="A2544" s="2" t="str">
        <x:v>LiA3-Ref</x:v>
      </x:c>
      <x:c r="B2544" s="4" t="str">
        <x:v>LiCl</x:v>
      </x:c>
      <x:c r="C2544" s="23" t="n">
        <x:v>1.981637</x:v>
      </x:c>
      <x:c r="D2544" s="23" t="n">
        <x:v>-19.68056</x:v>
      </x:c>
      <x:c r="E2544" s="23" t="n">
        <x:f>'Parameters'!$B$2*'Parameters'!$B$3*LN(4*PI()*C2544^2)</x:f>
        <x:v>9.665133148830673</x:v>
      </x:c>
      <x:c r="F2544" s="23" t="n">
        <x:f>D2544+E2544</x:f>
        <x:v>-10.015426851169327</x:v>
      </x:c>
      <x:c r="G2544" s="23" t="n">
        <x:f>AVERAGE($F$2545:$F$2568)</x:f>
        <x:v>-9.62303365813066</x:v>
      </x:c>
      <x:c r="H2544" s="24" t="n">
        <x:f>F2544-G2544</x:f>
        <x:v>-0.39239319303866615</x:v>
      </x:c>
    </x:row>
    <x:row r="2545">
      <x:c r="A2545" s="2" t="str">
        <x:v>LiA3-Ref</x:v>
      </x:c>
      <x:c r="B2545" s="4" t="str">
        <x:v>LiCl</x:v>
      </x:c>
      <x:c r="C2545" s="23" t="n">
        <x:v>1.993999</x:v>
      </x:c>
      <x:c r="D2545" s="23" t="n">
        <x:v>-19.67589</x:v>
      </x:c>
      <x:c r="E2545" s="23" t="n">
        <x:f>'Parameters'!$B$2*'Parameters'!$B$3*LN(4*PI()*C2545^2)</x:f>
        <x:v>9.695965916785271</x:v>
      </x:c>
      <x:c r="F2545" s="23" t="n">
        <x:f>D2545+E2545</x:f>
        <x:v>-9.979924083214728</x:v>
      </x:c>
      <x:c r="G2545" s="23" t="n">
        <x:f>AVERAGE($F$2545:$F$2568)</x:f>
        <x:v>-9.62303365813066</x:v>
      </x:c>
      <x:c r="H2545" s="24" t="n">
        <x:f>F2545-G2545</x:f>
        <x:v>-0.35689042508406743</x:v>
      </x:c>
    </x:row>
    <x:row r="2546">
      <x:c r="A2546" s="2" t="str">
        <x:v>LiA3-Ref</x:v>
      </x:c>
      <x:c r="B2546" s="4" t="str">
        <x:v>LiCl</x:v>
      </x:c>
      <x:c r="C2546" s="23" t="n">
        <x:v>2.006361</x:v>
      </x:c>
      <x:c r="D2546" s="23" t="n">
        <x:v>-19.62341</x:v>
      </x:c>
      <x:c r="E2546" s="23" t="n">
        <x:f>'Parameters'!$B$2*'Parameters'!$B$3*LN(4*PI()*C2546^2)</x:f>
        <x:v>9.72660812333461</x:v>
      </x:c>
      <x:c r="F2546" s="23" t="n">
        <x:f>D2546+E2546</x:f>
        <x:v>-9.89680187666539</x:v>
      </x:c>
      <x:c r="G2546" s="23" t="n">
        <x:f>AVERAGE($F$2545:$F$2568)</x:f>
        <x:v>-9.62303365813066</x:v>
      </x:c>
      <x:c r="H2546" s="24" t="n">
        <x:f>F2546-G2546</x:f>
        <x:v>-0.27376821853472855</x:v>
      </x:c>
    </x:row>
    <x:row r="2547">
      <x:c r="A2547" s="2" t="str">
        <x:v>LiA3-Ref</x:v>
      </x:c>
      <x:c r="B2547" s="4" t="str">
        <x:v>LiCl</x:v>
      </x:c>
      <x:c r="C2547" s="23" t="n">
        <x:v>2.018723</x:v>
      </x:c>
      <x:c r="D2547" s="23" t="n">
        <x:v>-19.7305</x:v>
      </x:c>
      <x:c r="E2547" s="23" t="n">
        <x:f>'Parameters'!$B$2*'Parameters'!$B$3*LN(4*PI()*C2547^2)</x:f>
        <x:v>9.757062109540344</x:v>
      </x:c>
      <x:c r="F2547" s="23" t="n">
        <x:f>D2547+E2547</x:f>
        <x:v>-9.973437890459655</x:v>
      </x:c>
      <x:c r="G2547" s="23" t="n">
        <x:f>AVERAGE($F$2545:$F$2568)</x:f>
        <x:v>-9.62303365813066</x:v>
      </x:c>
      <x:c r="H2547" s="24" t="n">
        <x:f>F2547-G2547</x:f>
        <x:v>-0.3504042323289944</x:v>
      </x:c>
    </x:row>
    <x:row r="2548">
      <x:c r="A2548" s="2" t="str">
        <x:v>LiA3-Ref</x:v>
      </x:c>
      <x:c r="B2548" s="4" t="str">
        <x:v>LiCl</x:v>
      </x:c>
      <x:c r="C2548" s="23" t="n">
        <x:v>2.031085</x:v>
      </x:c>
      <x:c r="D2548" s="23" t="n">
        <x:v>-19.55226</x:v>
      </x:c>
      <x:c r="E2548" s="23" t="n">
        <x:f>'Parameters'!$B$2*'Parameters'!$B$3*LN(4*PI()*C2548^2)</x:f>
        <x:v>9.787330173587176</x:v>
      </x:c>
      <x:c r="F2548" s="23" t="n">
        <x:f>D2548+E2548</x:f>
        <x:v>-9.764929826412825</x:v>
      </x:c>
      <x:c r="G2548" s="23" t="n">
        <x:f>AVERAGE($F$2545:$F$2568)</x:f>
        <x:v>-9.62303365813066</x:v>
      </x:c>
      <x:c r="H2548" s="24" t="n">
        <x:f>F2548-G2548</x:f>
        <x:v>-0.14189616828216423</x:v>
      </x:c>
    </x:row>
    <x:row r="2549">
      <x:c r="A2549" s="2" t="str">
        <x:v>LiA3-Ref</x:v>
      </x:c>
      <x:c r="B2549" s="4" t="str">
        <x:v>LiCl</x:v>
      </x:c>
      <x:c r="C2549" s="23" t="n">
        <x:v>2.043447</x:v>
      </x:c>
      <x:c r="D2549" s="23" t="n">
        <x:v>-19.71748</x:v>
      </x:c>
      <x:c r="E2549" s="23" t="n">
        <x:f>'Parameters'!$B$2*'Parameters'!$B$3*LN(4*PI()*C2549^2)</x:f>
        <x:v>9.817414571823582</x:v>
      </x:c>
      <x:c r="F2549" s="23" t="n">
        <x:f>D2549+E2549</x:f>
        <x:v>-9.900065428176417</x:v>
      </x:c>
      <x:c r="G2549" s="23" t="n">
        <x:f>AVERAGE($F$2545:$F$2568)</x:f>
        <x:v>-9.62303365813066</x:v>
      </x:c>
      <x:c r="H2549" s="24" t="n">
        <x:f>F2549-G2549</x:f>
        <x:v>-0.2770317700457561</x:v>
      </x:c>
    </x:row>
    <x:row r="2550">
      <x:c r="A2550" s="2" t="str">
        <x:v>LiA3-Ref</x:v>
      </x:c>
      <x:c r="B2550" s="4" t="str">
        <x:v>LiCl</x:v>
      </x:c>
      <x:c r="C2550" s="23" t="n">
        <x:v>2.055809</x:v>
      </x:c>
      <x:c r="D2550" s="23" t="n">
        <x:v>-19.65111</x:v>
      </x:c>
      <x:c r="E2550" s="23" t="n">
        <x:f>'Parameters'!$B$2*'Parameters'!$B$3*LN(4*PI()*C2550^2)</x:f>
        <x:v>9.847317519771131</x:v>
      </x:c>
      <x:c r="F2550" s="23" t="n">
        <x:f>D2550+E2550</x:f>
        <x:v>-9.803792480228868</x:v>
      </x:c>
      <x:c r="G2550" s="23" t="n">
        <x:f>AVERAGE($F$2545:$F$2568)</x:f>
        <x:v>-9.62303365813066</x:v>
      </x:c>
      <x:c r="H2550" s="24" t="n">
        <x:f>F2550-G2550</x:f>
        <x:v>-0.18075882209820726</x:v>
      </x:c>
    </x:row>
    <x:row r="2551">
      <x:c r="A2551" s="2" t="str">
        <x:v>LiA3-Ref</x:v>
      </x:c>
      <x:c r="B2551" s="4" t="str">
        <x:v>LiCl</x:v>
      </x:c>
      <x:c r="C2551" s="23" t="n">
        <x:v>2.068171</x:v>
      </x:c>
      <x:c r="D2551" s="23" t="n">
        <x:v>-19.66068</x:v>
      </x:c>
      <x:c r="E2551" s="23" t="n">
        <x:f>'Parameters'!$B$2*'Parameters'!$B$3*LN(4*PI()*C2551^2)</x:f>
        <x:v>9.877041193103565</x:v>
      </x:c>
      <x:c r="F2551" s="23" t="n">
        <x:f>D2551+E2551</x:f>
        <x:v>-9.783638806896434</x:v>
      </x:c>
      <x:c r="G2551" s="23" t="n">
        <x:f>AVERAGE($F$2545:$F$2568)</x:f>
        <x:v>-9.62303365813066</x:v>
      </x:c>
      <x:c r="H2551" s="24" t="n">
        <x:f>F2551-G2551</x:f>
        <x:v>-0.16060514876577336</x:v>
      </x:c>
    </x:row>
    <x:row r="2552">
      <x:c r="A2552" s="2" t="str">
        <x:v>LiA3-Ref</x:v>
      </x:c>
      <x:c r="B2552" s="4" t="str">
        <x:v>LiCl</x:v>
      </x:c>
      <x:c r="C2552" s="23" t="n">
        <x:v>2.080533</x:v>
      </x:c>
      <x:c r="D2552" s="23" t="n">
        <x:v>-19.66274</x:v>
      </x:c>
      <x:c r="E2552" s="23" t="n">
        <x:f>'Parameters'!$B$2*'Parameters'!$B$3*LN(4*PI()*C2552^2)</x:f>
        <x:v>9.906587728596694</x:v>
      </x:c>
      <x:c r="F2552" s="23" t="n">
        <x:f>D2552+E2552</x:f>
        <x:v>-9.756152271403305</x:v>
      </x:c>
      <x:c r="G2552" s="23" t="n">
        <x:f>AVERAGE($F$2545:$F$2568)</x:f>
        <x:v>-9.62303365813066</x:v>
      </x:c>
      <x:c r="H2552" s="24" t="n">
        <x:f>F2552-G2552</x:f>
        <x:v>-0.13311861327264474</x:v>
      </x:c>
    </x:row>
    <x:row r="2553">
      <x:c r="A2553" s="2" t="str">
        <x:v>LiA3-Ref</x:v>
      </x:c>
      <x:c r="B2553" s="4" t="str">
        <x:v>LiCl</x:v>
      </x:c>
      <x:c r="C2553" s="23" t="n">
        <x:v>2.092895</x:v>
      </x:c>
      <x:c r="D2553" s="23" t="n">
        <x:v>-19.71043</x:v>
      </x:c>
      <x:c r="E2553" s="23" t="n">
        <x:f>'Parameters'!$B$2*'Parameters'!$B$3*LN(4*PI()*C2553^2)</x:f>
        <x:v>9.93595922505016</x:v>
      </x:c>
      <x:c r="F2553" s="23" t="n">
        <x:f>D2553+E2553</x:f>
        <x:v>-9.774470774949839</x:v>
      </x:c>
      <x:c r="G2553" s="23" t="n">
        <x:f>AVERAGE($F$2545:$F$2568)</x:f>
        <x:v>-9.62303365813066</x:v>
      </x:c>
      <x:c r="H2553" s="24" t="n">
        <x:f>F2553-G2553</x:f>
        <x:v>-0.15143711681917793</x:v>
      </x:c>
    </x:row>
    <x:row r="2554">
      <x:c r="A2554" s="2" t="str">
        <x:v>LiA3-Ref</x:v>
      </x:c>
      <x:c r="B2554" s="4" t="str">
        <x:v>LiCl</x:v>
      </x:c>
      <x:c r="C2554" s="23" t="n">
        <x:v>2.105257</x:v>
      </x:c>
      <x:c r="D2554" s="23" t="n">
        <x:v>-19.60615</x:v>
      </x:c>
      <x:c r="E2554" s="23" t="n">
        <x:f>'Parameters'!$B$2*'Parameters'!$B$3*LN(4*PI()*C2554^2)</x:f>
        <x:v>9.965157744182054</x:v>
      </x:c>
      <x:c r="F2554" s="23" t="n">
        <x:f>D2554+E2554</x:f>
        <x:v>-9.640992255817945</x:v>
      </x:c>
      <x:c r="G2554" s="23" t="n">
        <x:f>AVERAGE($F$2545:$F$2568)</x:f>
        <x:v>-9.62303365813066</x:v>
      </x:c>
      <x:c r="H2554" s="24" t="n">
        <x:f>F2554-G2554</x:f>
        <x:v>-0.017958597687284694</x:v>
      </x:c>
    </x:row>
    <x:row r="2555">
      <x:c r="A2555" s="2" t="str">
        <x:v>LiA3-Ref</x:v>
      </x:c>
      <x:c r="B2555" s="4" t="str">
        <x:v>LiCl</x:v>
      </x:c>
      <x:c r="C2555" s="23" t="n">
        <x:v>2.117619</x:v>
      </x:c>
      <x:c r="D2555" s="23" t="n">
        <x:v>-19.78551</x:v>
      </x:c>
      <x:c r="E2555" s="23" t="n">
        <x:f>'Parameters'!$B$2*'Parameters'!$B$3*LN(4*PI()*C2555^2)</x:f>
        <x:v>9.994185311497345</x:v>
      </x:c>
      <x:c r="F2555" s="23" t="n">
        <x:f>D2555+E2555</x:f>
        <x:v>-9.791324688502653</x:v>
      </x:c>
      <x:c r="G2555" s="23" t="n">
        <x:f>AVERAGE($F$2545:$F$2568)</x:f>
        <x:v>-9.62303365813066</x:v>
      </x:c>
      <x:c r="H2555" s="24" t="n">
        <x:f>F2555-G2555</x:f>
        <x:v>-0.1682910303719929</x:v>
      </x:c>
    </x:row>
    <x:row r="2556">
      <x:c r="A2556" s="2" t="str">
        <x:v>LiA3-Ref</x:v>
      </x:c>
      <x:c r="B2556" s="4" t="str">
        <x:v>LiCl</x:v>
      </x:c>
      <x:c r="C2556" s="23" t="n">
        <x:v>2.12998</x:v>
      </x:c>
      <x:c r="D2556" s="23" t="n">
        <x:v>-19.66173</x:v>
      </x:c>
      <x:c r="E2556" s="23" t="n">
        <x:f>'Parameters'!$B$2*'Parameters'!$B$3*LN(4*PI()*C2556^2)</x:f>
        <x:v>10.023041589450548</x:v>
      </x:c>
      <x:c r="F2556" s="23" t="n">
        <x:f>D2556+E2556</x:f>
        <x:v>-9.63868841054945</x:v>
      </x:c>
      <x:c r="G2556" s="23" t="n">
        <x:f>AVERAGE($F$2545:$F$2568)</x:f>
        <x:v>-9.62303365813066</x:v>
      </x:c>
      <x:c r="H2556" s="24" t="n">
        <x:f>F2556-G2556</x:f>
        <x:v>-0.015654752418789997</x:v>
      </x:c>
    </x:row>
    <x:row r="2557">
      <x:c r="A2557" s="2" t="str">
        <x:v>LiA3-Ref</x:v>
      </x:c>
      <x:c r="B2557" s="4" t="str">
        <x:v>LiCl</x:v>
      </x:c>
      <x:c r="C2557" s="23" t="n">
        <x:v>2.142342</x:v>
      </x:c>
      <x:c r="D2557" s="23" t="n">
        <x:v>-19.77446</x:v>
      </x:c>
      <x:c r="E2557" s="23" t="n">
        <x:f>'Parameters'!$B$2*'Parameters'!$B$3*LN(4*PI()*C2557^2)</x:f>
        <x:v>10.051733202417907</x:v>
      </x:c>
      <x:c r="F2557" s="23" t="n">
        <x:f>D2557+E2557</x:f>
        <x:v>-9.722726797582094</x:v>
      </x:c>
      <x:c r="G2557" s="23" t="n">
        <x:f>AVERAGE($F$2545:$F$2568)</x:f>
        <x:v>-9.62303365813066</x:v>
      </x:c>
      <x:c r="H2557" s="24" t="n">
        <x:f>F2557-G2557</x:f>
        <x:v>-0.09969313945143377</x:v>
      </x:c>
    </x:row>
    <x:row r="2558">
      <x:c r="A2558" s="2" t="str">
        <x:v>LiA3-Ref</x:v>
      </x:c>
      <x:c r="B2558" s="4" t="str">
        <x:v>LiCl</x:v>
      </x:c>
      <x:c r="C2558" s="23" t="n">
        <x:v>2.154704</x:v>
      </x:c>
      <x:c r="D2558" s="23" t="n">
        <x:v>-19.60712</x:v>
      </x:c>
      <x:c r="E2558" s="23" t="n">
        <x:f>'Parameters'!$B$2*'Parameters'!$B$3*LN(4*PI()*C2558^2)</x:f>
        <x:v>10.080259730961137</x:v>
      </x:c>
      <x:c r="F2558" s="23" t="n">
        <x:f>D2558+E2558</x:f>
        <x:v>-9.526860269038862</x:v>
      </x:c>
      <x:c r="G2558" s="23" t="n">
        <x:f>AVERAGE($F$2545:$F$2568)</x:f>
        <x:v>-9.62303365813066</x:v>
      </x:c>
      <x:c r="H2558" s="24" t="n">
        <x:f>F2558-G2558</x:f>
        <x:v>0.09617338909179907</x:v>
      </x:c>
    </x:row>
    <x:row r="2559">
      <x:c r="A2559" s="2" t="str">
        <x:v>LiA3-Ref</x:v>
      </x:c>
      <x:c r="B2559" s="4" t="str">
        <x:v>LiCl</x:v>
      </x:c>
      <x:c r="C2559" s="23" t="n">
        <x:v>2.167066</x:v>
      </x:c>
      <x:c r="D2559" s="23" t="n">
        <x:v>-19.60133</x:v>
      </x:c>
      <x:c r="E2559" s="23" t="n">
        <x:f>'Parameters'!$B$2*'Parameters'!$B$3*LN(4*PI()*C2559^2)</x:f>
        <x:v>10.108623063927125</x:v>
      </x:c>
      <x:c r="F2559" s="23" t="n">
        <x:f>D2559+E2559</x:f>
        <x:v>-9.492706936072876</x:v>
      </x:c>
      <x:c r="G2559" s="23" t="n">
        <x:f>AVERAGE($F$2545:$F$2568)</x:f>
        <x:v>-9.62303365813066</x:v>
      </x:c>
      <x:c r="H2559" s="24" t="n">
        <x:f>F2559-G2559</x:f>
        <x:v>0.1303267220577844</x:v>
      </x:c>
    </x:row>
    <x:row r="2560">
      <x:c r="A2560" s="2" t="str">
        <x:v>LiA3-Ref</x:v>
      </x:c>
      <x:c r="B2560" s="4" t="str">
        <x:v>LiCl</x:v>
      </x:c>
      <x:c r="C2560" s="23" t="n">
        <x:v>2.179428</x:v>
      </x:c>
      <x:c r="D2560" s="23" t="n">
        <x:v>-19.6314</x:v>
      </x:c>
      <x:c r="E2560" s="23" t="n">
        <x:f>'Parameters'!$B$2*'Parameters'!$B$3*LN(4*PI()*C2560^2)</x:f>
        <x:v>10.13682505792962</x:v>
      </x:c>
      <x:c r="F2560" s="23" t="n">
        <x:f>D2560+E2560</x:f>
        <x:v>-9.494574942070379</x:v>
      </x:c>
      <x:c r="G2560" s="23" t="n">
        <x:f>AVERAGE($F$2545:$F$2568)</x:f>
        <x:v>-9.62303365813066</x:v>
      </x:c>
      <x:c r="H2560" s="24" t="n">
        <x:f>F2560-G2560</x:f>
        <x:v>0.12845871606028147</x:v>
      </x:c>
    </x:row>
    <x:row r="2561">
      <x:c r="A2561" s="2" t="str">
        <x:v>LiA3-Ref</x:v>
      </x:c>
      <x:c r="B2561" s="4" t="str">
        <x:v>LiCl</x:v>
      </x:c>
      <x:c r="C2561" s="23" t="n">
        <x:v>2.19179</x:v>
      </x:c>
      <x:c r="D2561" s="23" t="n">
        <x:v>-19.57977</x:v>
      </x:c>
      <x:c r="E2561" s="23" t="n">
        <x:f>'Parameters'!$B$2*'Parameters'!$B$3*LN(4*PI()*C2561^2)</x:f>
        <x:v>10.164867538078528</x:v>
      </x:c>
      <x:c r="F2561" s="23" t="n">
        <x:f>D2561+E2561</x:f>
        <x:v>-9.414902461921471</x:v>
      </x:c>
      <x:c r="G2561" s="23" t="n">
        <x:f>AVERAGE($F$2545:$F$2568)</x:f>
        <x:v>-9.62303365813066</x:v>
      </x:c>
      <x:c r="H2561" s="24" t="n">
        <x:f>F2561-G2561</x:f>
        <x:v>0.20813119620918918</x:v>
      </x:c>
    </x:row>
    <x:row r="2562">
      <x:c r="A2562" s="2" t="str">
        <x:v>LiA3-Ref</x:v>
      </x:c>
      <x:c r="B2562" s="4" t="str">
        <x:v>LiCl</x:v>
      </x:c>
      <x:c r="C2562" s="23" t="n">
        <x:v>2.204152</x:v>
      </x:c>
      <x:c r="D2562" s="23" t="n">
        <x:v>-19.48812</x:v>
      </x:c>
      <x:c r="E2562" s="23" t="n">
        <x:f>'Parameters'!$B$2*'Parameters'!$B$3*LN(4*PI()*C2562^2)</x:f>
        <x:v>10.192752298688637</x:v>
      </x:c>
      <x:c r="F2562" s="23" t="n">
        <x:f>D2562+E2562</x:f>
        <x:v>-9.295367701311362</x:v>
      </x:c>
      <x:c r="G2562" s="23" t="n">
        <x:f>AVERAGE($F$2545:$F$2568)</x:f>
        <x:v>-9.62303365813066</x:v>
      </x:c>
      <x:c r="H2562" s="24" t="n">
        <x:f>F2562-G2562</x:f>
        <x:v>0.327665956819299</x:v>
      </x:c>
    </x:row>
    <x:row r="2563">
      <x:c r="A2563" s="2" t="str">
        <x:v>LiA3-Ref</x:v>
      </x:c>
      <x:c r="B2563" s="4" t="str">
        <x:v>LiCl</x:v>
      </x:c>
      <x:c r="C2563" s="23" t="n">
        <x:v>2.216514</x:v>
      </x:c>
      <x:c r="D2563" s="23" t="n">
        <x:v>-19.59887</x:v>
      </x:c>
      <x:c r="E2563" s="23" t="n">
        <x:f>'Parameters'!$B$2*'Parameters'!$B$3*LN(4*PI()*C2563^2)</x:f>
        <x:v>10.220481103968575</x:v>
      </x:c>
      <x:c r="F2563" s="23" t="n">
        <x:f>D2563+E2563</x:f>
        <x:v>-9.378388896031426</x:v>
      </x:c>
      <x:c r="G2563" s="23" t="n">
        <x:f>AVERAGE($F$2545:$F$2568)</x:f>
        <x:v>-9.62303365813066</x:v>
      </x:c>
      <x:c r="H2563" s="24" t="n">
        <x:f>F2563-G2563</x:f>
        <x:v>0.24464476209923447</x:v>
      </x:c>
    </x:row>
    <x:row r="2564">
      <x:c r="A2564" s="2" t="str">
        <x:v>LiA3-Ref</x:v>
      </x:c>
      <x:c r="B2564" s="4" t="str">
        <x:v>LiCl</x:v>
      </x:c>
      <x:c r="C2564" s="23" t="n">
        <x:v>2.228876</x:v>
      </x:c>
      <x:c r="D2564" s="23" t="n">
        <x:v>-19.66268</x:v>
      </x:c>
      <x:c r="E2564" s="23" t="n">
        <x:f>'Parameters'!$B$2*'Parameters'!$B$3*LN(4*PI()*C2564^2)</x:f>
        <x:v>10.248055688690576</x:v>
      </x:c>
      <x:c r="F2564" s="23" t="n">
        <x:f>D2564+E2564</x:f>
        <x:v>-9.414624311309426</x:v>
      </x:c>
      <x:c r="G2564" s="23" t="n">
        <x:f>AVERAGE($F$2545:$F$2568)</x:f>
        <x:v>-9.62303365813066</x:v>
      </x:c>
      <x:c r="H2564" s="24" t="n">
        <x:f>F2564-G2564</x:f>
        <x:v>0.20840934682123446</x:v>
      </x:c>
    </x:row>
    <x:row r="2565">
      <x:c r="A2565" s="2" t="str">
        <x:v>LiA3-Ref</x:v>
      </x:c>
      <x:c r="B2565" s="4" t="str">
        <x:v>LiCl</x:v>
      </x:c>
      <x:c r="C2565" s="23" t="n">
        <x:v>2.241238</x:v>
      </x:c>
      <x:c r="D2565" s="23" t="n">
        <x:v>-19.68495</x:v>
      </x:c>
      <x:c r="E2565" s="23" t="n">
        <x:f>'Parameters'!$B$2*'Parameters'!$B$3*LN(4*PI()*C2565^2)</x:f>
        <x:v>10.275477758841733</x:v>
      </x:c>
      <x:c r="F2565" s="23" t="n">
        <x:f>D2565+E2565</x:f>
        <x:v>-9.409472241158268</x:v>
      </x:c>
      <x:c r="G2565" s="23" t="n">
        <x:f>AVERAGE($F$2545:$F$2568)</x:f>
        <x:v>-9.62303365813066</x:v>
      </x:c>
      <x:c r="H2565" s="24" t="n">
        <x:f>F2565-G2565</x:f>
        <x:v>0.21356141697239295</x:v>
      </x:c>
    </x:row>
    <x:row r="2566">
      <x:c r="A2566" s="2" t="str">
        <x:v>LiA3-Ref</x:v>
      </x:c>
      <x:c r="B2566" s="4" t="str">
        <x:v>LiCl</x:v>
      </x:c>
      <x:c r="C2566" s="23" t="n">
        <x:v>2.2536</x:v>
      </x:c>
      <x:c r="D2566" s="23" t="n">
        <x:v>-19.71906</x:v>
      </x:c>
      <x:c r="E2566" s="23" t="n">
        <x:f>'Parameters'!$B$2*'Parameters'!$B$3*LN(4*PI()*C2566^2)</x:f>
        <x:v>10.302748992257346</x:v>
      </x:c>
      <x:c r="F2566" s="23" t="n">
        <x:f>D2566+E2566</x:f>
        <x:v>-9.416311007742653</x:v>
      </x:c>
      <x:c r="G2566" s="23" t="n">
        <x:f>AVERAGE($F$2545:$F$2568)</x:f>
        <x:v>-9.62303365813066</x:v>
      </x:c>
      <x:c r="H2566" s="24" t="n">
        <x:f>F2566-G2566</x:f>
        <x:v>0.20672265038800752</x:v>
      </x:c>
    </x:row>
    <x:row r="2567">
      <x:c r="A2567" s="2" t="str">
        <x:v>LiA3-Ref</x:v>
      </x:c>
      <x:c r="B2567" s="4" t="str">
        <x:v>LiCl</x:v>
      </x:c>
      <x:c r="C2567" s="23" t="n">
        <x:v>2.265962</x:v>
      </x:c>
      <x:c r="D2567" s="23" t="n">
        <x:v>-19.58191</x:v>
      </x:c>
      <x:c r="E2567" s="23" t="n">
        <x:f>'Parameters'!$B$2*'Parameters'!$B$3*LN(4*PI()*C2567^2)</x:f>
        <x:v>10.329871039236936</x:v>
      </x:c>
      <x:c r="F2567" s="23" t="n">
        <x:f>D2567+E2567</x:f>
        <x:v>-9.252038960763064</x:v>
      </x:c>
      <x:c r="G2567" s="23" t="n">
        <x:f>AVERAGE($F$2545:$F$2568)</x:f>
        <x:v>-9.62303365813066</x:v>
      </x:c>
      <x:c r="H2567" s="24" t="n">
        <x:f>F2567-G2567</x:f>
        <x:v>0.37099469736759616</x:v>
      </x:c>
    </x:row>
    <x:row r="2568">
      <x:c r="A2568" s="2" t="str">
        <x:v>LiA3-Ref</x:v>
      </x:c>
      <x:c r="B2568" s="4" t="str">
        <x:v>LiCl</x:v>
      </x:c>
      <x:c r="C2568" s="23" t="n">
        <x:v>2.278324</x:v>
      </x:c>
      <x:c r="D2568" s="23" t="n">
        <x:v>-19.78746</x:v>
      </x:c>
      <x:c r="E2568" s="23" t="n">
        <x:f>'Parameters'!$B$2*'Parameters'!$B$3*LN(4*PI()*C2568^2)</x:f>
        <x:v>10.356845523143507</x:v>
      </x:c>
      <x:c r="F2568" s="23" t="n">
        <x:f>D2568+E2568</x:f>
        <x:v>-9.430614476856492</x:v>
      </x:c>
      <x:c r="G2568" s="23" t="n">
        <x:f>AVERAGE($F$2545:$F$2568)</x:f>
        <x:v>-9.62303365813066</x:v>
      </x:c>
      <x:c r="H2568" s="24" t="n">
        <x:f>F2568-G2568</x:f>
        <x:v>0.19241918127416824</x:v>
      </x:c>
    </x:row>
    <x:row r="2569">
      <x:c r="A2569" s="2" t="str">
        <x:v>LiA3-Ref</x:v>
      </x:c>
      <x:c r="B2569" s="4" t="str">
        <x:v>LiCl</x:v>
      </x:c>
      <x:c r="C2569" s="23" t="n">
        <x:v>2.290686</x:v>
      </x:c>
      <x:c r="D2569" s="23" t="n">
        <x:v>-19.71182</x:v>
      </x:c>
      <x:c r="E2569" s="23" t="n">
        <x:f>'Parameters'!$B$2*'Parameters'!$B$3*LN(4*PI()*C2569^2)</x:f>
        <x:v>10.3836740409866</x:v>
      </x:c>
      <x:c r="F2569" s="23" t="n">
        <x:f>D2569+E2569</x:f>
        <x:v>-9.3281459590134</x:v>
      </x:c>
      <x:c r="G2569" s="23" t="n">
        <x:f>AVERAGE($F$2545:$F$2568)</x:f>
        <x:v>-9.62303365813066</x:v>
      </x:c>
      <x:c r="H2569" s="24" t="n">
        <x:f>F2569-G2569</x:f>
        <x:v>0.2948876991172611</x:v>
      </x:c>
    </x:row>
    <x:row r="2570">
      <x:c r="A2570" s="2" t="str">
        <x:v>LiA3-Ref</x:v>
      </x:c>
      <x:c r="B2570" s="4" t="str">
        <x:v>LiCl</x:v>
      </x:c>
      <x:c r="C2570" s="23" t="n">
        <x:v>2.303048</x:v>
      </x:c>
      <x:c r="D2570" s="23" t="n">
        <x:v>-19.76319</x:v>
      </x:c>
      <x:c r="E2570" s="23" t="n">
        <x:f>'Parameters'!$B$2*'Parameters'!$B$3*LN(4*PI()*C2570^2)</x:f>
        <x:v>10.410358163989637</x:v>
      </x:c>
      <x:c r="F2570" s="23" t="n">
        <x:f>D2570+E2570</x:f>
        <x:v>-9.352831836010365</x:v>
      </x:c>
      <x:c r="G2570" s="23" t="n">
        <x:f>AVERAGE($F$2545:$F$2568)</x:f>
        <x:v>-9.62303365813066</x:v>
      </x:c>
      <x:c r="H2570" s="24" t="n">
        <x:f>F2570-G2570</x:f>
        <x:v>0.27020182212029553</x:v>
      </x:c>
    </x:row>
    <x:row r="2571">
      <x:c r="A2571" s="2" t="str">
        <x:v>LiA3-Ref</x:v>
      </x:c>
      <x:c r="B2571" s="4" t="str">
        <x:v>LiCl</x:v>
      </x:c>
      <x:c r="C2571" s="23" t="n">
        <x:v>2.31541</x:v>
      </x:c>
      <x:c r="D2571" s="23" t="n">
        <x:v>-19.74638</x:v>
      </x:c>
      <x:c r="E2571" s="23" t="n">
        <x:f>'Parameters'!$B$2*'Parameters'!$B$3*LN(4*PI()*C2571^2)</x:f>
        <x:v>10.436899438142094</x:v>
      </x:c>
      <x:c r="F2571" s="23" t="n">
        <x:f>D2571+E2571</x:f>
        <x:v>-9.309480561857905</x:v>
      </x:c>
      <x:c r="G2571" s="23" t="n">
        <x:f>AVERAGE($F$2545:$F$2568)</x:f>
        <x:v>-9.62303365813066</x:v>
      </x:c>
      <x:c r="H2571" s="24" t="n">
        <x:f>F2571-G2571</x:f>
        <x:v>0.31355309627275574</x:v>
      </x:c>
    </x:row>
    <x:row r="2572">
      <x:c r="A2572" s="2" t="str">
        <x:v>LiA3-Ref</x:v>
      </x:c>
      <x:c r="B2572" s="4" t="str">
        <x:v>LiCl</x:v>
      </x:c>
      <x:c r="C2572" s="23" t="n">
        <x:v>2.327772</x:v>
      </x:c>
      <x:c r="D2572" s="23" t="n">
        <x:v>-19.76437</x:v>
      </x:c>
      <x:c r="E2572" s="23" t="n">
        <x:f>'Parameters'!$B$2*'Parameters'!$B$3*LN(4*PI()*C2572^2)</x:f>
        <x:v>10.46329938473698</x:v>
      </x:c>
      <x:c r="F2572" s="23" t="n">
        <x:f>D2572+E2572</x:f>
        <x:v>-9.30107061526302</x:v>
      </x:c>
      <x:c r="G2572" s="23" t="n">
        <x:f>AVERAGE($F$2545:$F$2568)</x:f>
        <x:v>-9.62303365813066</x:v>
      </x:c>
      <x:c r="H2572" s="24" t="n">
        <x:f>F2572-G2572</x:f>
        <x:v>0.3219630428676403</x:v>
      </x:c>
    </x:row>
    <x:row r="2573">
      <x:c r="A2573" s="2" t="str">
        <x:v>LiA3-Ref</x:v>
      </x:c>
      <x:c r="B2573" s="4" t="str">
        <x:v>LiCl</x:v>
      </x:c>
      <x:c r="C2573" s="23" t="n">
        <x:v>2.340134</x:v>
      </x:c>
      <x:c r="D2573" s="23" t="n">
        <x:v>-19.79091</x:v>
      </x:c>
      <x:c r="E2573" s="23" t="n">
        <x:f>'Parameters'!$B$2*'Parameters'!$B$3*LN(4*PI()*C2573^2)</x:f>
        <x:v>10.489559500894062</x:v>
      </x:c>
      <x:c r="F2573" s="23" t="n">
        <x:f>D2573+E2573</x:f>
        <x:v>-9.301350499105938</x:v>
      </x:c>
      <x:c r="G2573" s="23" t="n">
        <x:f>AVERAGE($F$2545:$F$2568)</x:f>
        <x:v>-9.62303365813066</x:v>
      </x:c>
      <x:c r="H2573" s="24" t="n">
        <x:f>F2573-G2573</x:f>
        <x:v>0.32168315902472244</x:v>
      </x:c>
    </x:row>
    <x:row r="2574">
      <x:c r="A2574" s="2" t="str">
        <x:v>LiA3-Ref</x:v>
      </x:c>
      <x:c r="B2574" s="4" t="str">
        <x:v>LiCl</x:v>
      </x:c>
      <x:c r="C2574" s="23" t="n">
        <x:v>2.352496</x:v>
      </x:c>
      <x:c r="D2574" s="23" t="n">
        <x:v>-19.81389</x:v>
      </x:c>
      <x:c r="E2574" s="23" t="n">
        <x:f>'Parameters'!$B$2*'Parameters'!$B$3*LN(4*PI()*C2574^2)</x:f>
        <x:v>10.51568126006932</x:v>
      </x:c>
      <x:c r="F2574" s="23" t="n">
        <x:f>D2574+E2574</x:f>
        <x:v>-9.298208739930681</x:v>
      </x:c>
      <x:c r="G2574" s="23" t="n">
        <x:f>AVERAGE($F$2545:$F$2568)</x:f>
        <x:v>-9.62303365813066</x:v>
      </x:c>
      <x:c r="H2574" s="24" t="n">
        <x:f>F2574-G2574</x:f>
        <x:v>0.3248249181999796</x:v>
      </x:c>
    </x:row>
    <x:row r="2575">
      <x:c r="A2575" s="2" t="str">
        <x:v>LiA3-Ref</x:v>
      </x:c>
      <x:c r="B2575" s="4" t="str">
        <x:v>LiCl</x:v>
      </x:c>
      <x:c r="C2575" s="23" t="n">
        <x:v>2.364857</x:v>
      </x:c>
      <x:c r="D2575" s="23" t="n">
        <x:v>-19.74474</x:v>
      </x:c>
      <x:c r="E2575" s="23" t="n">
        <x:f>'Parameters'!$B$2*'Parameters'!$B$3*LN(4*PI()*C2575^2)</x:f>
        <x:v>10.541664016055137</x:v>
      </x:c>
      <x:c r="F2575" s="23" t="n">
        <x:f>D2575+E2575</x:f>
        <x:v>-9.203075983944863</x:v>
      </x:c>
      <x:c r="G2575" s="23" t="n">
        <x:f>AVERAGE($F$2545:$F$2568)</x:f>
        <x:v>-9.62303365813066</x:v>
      </x:c>
      <x:c r="H2575" s="24" t="n">
        <x:f>F2575-G2575</x:f>
        <x:v>0.4199576741857971</x:v>
      </x:c>
    </x:row>
    <x:row r="2576">
      <x:c r="A2576" s="2" t="str">
        <x:v>LiA3-Ref</x:v>
      </x:c>
      <x:c r="B2576" s="4" t="str">
        <x:v>LiCl</x:v>
      </x:c>
      <x:c r="C2576" s="23" t="n">
        <x:v>2.377219</x:v>
      </x:c>
      <x:c r="D2576" s="23" t="n">
        <x:v>-19.83965</x:v>
      </x:c>
      <x:c r="E2576" s="23" t="n">
        <x:f>'Parameters'!$B$2*'Parameters'!$B$3*LN(4*PI()*C2576^2)</x:f>
        <x:v>10.567513400349277</x:v>
      </x:c>
      <x:c r="F2576" s="23" t="n">
        <x:f>D2576+E2576</x:f>
        <x:v>-9.272136599650722</x:v>
      </x:c>
      <x:c r="G2576" s="23" t="n">
        <x:f>AVERAGE($F$2545:$F$2568)</x:f>
        <x:v>-9.62303365813066</x:v>
      </x:c>
      <x:c r="H2576" s="24" t="n">
        <x:f>F2576-G2576</x:f>
        <x:v>0.3508970584799389</x:v>
      </x:c>
    </x:row>
    <x:row r="2577">
      <x:c r="A2577" s="2" t="str">
        <x:v>LiA3-Ref</x:v>
      </x:c>
      <x:c r="B2577" s="4" t="str">
        <x:v>LiCl</x:v>
      </x:c>
      <x:c r="C2577" s="23" t="n">
        <x:v>2.389581</x:v>
      </x:c>
      <x:c r="D2577" s="23" t="n">
        <x:v>-19.66392</x:v>
      </x:c>
      <x:c r="E2577" s="23" t="n">
        <x:f>'Parameters'!$B$2*'Parameters'!$B$3*LN(4*PI()*C2577^2)</x:f>
        <x:v>10.593228710830735</x:v>
      </x:c>
      <x:c r="F2577" s="23" t="n">
        <x:f>D2577+E2577</x:f>
        <x:v>-9.070691289169266</x:v>
      </x:c>
      <x:c r="G2577" s="23" t="n">
        <x:f>AVERAGE($F$2545:$F$2568)</x:f>
        <x:v>-9.62303365813066</x:v>
      </x:c>
      <x:c r="H2577" s="24" t="n">
        <x:f>F2577-G2577</x:f>
        <x:v>0.5523423689613942</x:v>
      </x:c>
    </x:row>
    <x:row r="2578">
      <x:c r="A2578" s="2" t="str">
        <x:v>LiA3-Ref</x:v>
      </x:c>
      <x:c r="B2578" s="4" t="str">
        <x:v>LiCl</x:v>
      </x:c>
      <x:c r="C2578" s="23" t="n">
        <x:v>2.401943</x:v>
      </x:c>
      <x:c r="D2578" s="23" t="n">
        <x:v>-19.74458</x:v>
      </x:c>
      <x:c r="E2578" s="23" t="n">
        <x:f>'Parameters'!$B$2*'Parameters'!$B$3*LN(4*PI()*C2578^2)</x:f>
        <x:v>10.618811331135753</x:v>
      </x:c>
      <x:c r="F2578" s="23" t="n">
        <x:f>D2578+E2578</x:f>
        <x:v>-9.125768668864247</x:v>
      </x:c>
      <x:c r="G2578" s="23" t="n">
        <x:f>AVERAGE($F$2545:$F$2568)</x:f>
        <x:v>-9.62303365813066</x:v>
      </x:c>
      <x:c r="H2578" s="24" t="n">
        <x:f>F2578-G2578</x:f>
        <x:v>0.49726498926641405</x:v>
      </x:c>
    </x:row>
    <x:row r="2579">
      <x:c r="A2579" s="2" t="str">
        <x:v>LiA3-Ref</x:v>
      </x:c>
      <x:c r="B2579" s="4" t="str">
        <x:v>LiCl</x:v>
      </x:c>
      <x:c r="C2579" s="23" t="n">
        <x:v>2.414305</x:v>
      </x:c>
      <x:c r="D2579" s="23" t="n">
        <x:v>-19.73871</x:v>
      </x:c>
      <x:c r="E2579" s="23" t="n">
        <x:f>'Parameters'!$B$2*'Parameters'!$B$3*LN(4*PI()*C2579^2)</x:f>
        <x:v>10.644262623591873</x:v>
      </x:c>
      <x:c r="F2579" s="23" t="n">
        <x:f>D2579+E2579</x:f>
        <x:v>-9.094447376408128</x:v>
      </x:c>
      <x:c r="G2579" s="23" t="n">
        <x:f>AVERAGE($F$2545:$F$2568)</x:f>
        <x:v>-9.62303365813066</x:v>
      </x:c>
      <x:c r="H2579" s="24" t="n">
        <x:f>F2579-G2579</x:f>
        <x:v>0.5285862817225322</x:v>
      </x:c>
    </x:row>
    <x:row r="2580">
      <x:c r="A2580" s="2" t="str">
        <x:v>LiA3-Ref</x:v>
      </x:c>
      <x:c r="B2580" s="4" t="str">
        <x:v>LiCl</x:v>
      </x:c>
      <x:c r="C2580" s="23" t="n">
        <x:v>2.426667</x:v>
      </x:c>
      <x:c r="D2580" s="23" t="n">
        <x:v>-19.74447</x:v>
      </x:c>
      <x:c r="E2580" s="23" t="n">
        <x:f>'Parameters'!$B$2*'Parameters'!$B$3*LN(4*PI()*C2580^2)</x:f>
        <x:v>10.669583929653253</x:v>
      </x:c>
      <x:c r="F2580" s="23" t="n">
        <x:f>D2580+E2580</x:f>
        <x:v>-9.074886070346746</x:v>
      </x:c>
      <x:c r="G2580" s="23" t="n">
        <x:f>AVERAGE($F$2545:$F$2568)</x:f>
        <x:v>-9.62303365813066</x:v>
      </x:c>
      <x:c r="H2580" s="24" t="n">
        <x:f>F2580-G2580</x:f>
        <x:v>0.5481475877839141</x:v>
      </x:c>
    </x:row>
    <x:row r="2581">
      <x:c r="A2581" s="2" t="str">
        <x:v>LiA3-Ref</x:v>
      </x:c>
      <x:c r="B2581" s="4" t="str">
        <x:v>LiCl</x:v>
      </x:c>
      <x:c r="C2581" s="23" t="n">
        <x:v>2.439029</x:v>
      </x:c>
      <x:c r="D2581" s="23" t="n">
        <x:v>-19.85425</x:v>
      </x:c>
      <x:c r="E2581" s="23" t="n">
        <x:f>'Parameters'!$B$2*'Parameters'!$B$3*LN(4*PI()*C2581^2)</x:f>
        <x:v>10.694776570324938</x:v>
      </x:c>
      <x:c r="F2581" s="23" t="n">
        <x:f>D2581+E2581</x:f>
        <x:v>-9.159473429675062</x:v>
      </x:c>
      <x:c r="G2581" s="23" t="n">
        <x:f>AVERAGE($F$2545:$F$2568)</x:f>
        <x:v>-9.62303365813066</x:v>
      </x:c>
      <x:c r="H2581" s="24" t="n">
        <x:f>F2581-G2581</x:f>
        <x:v>0.46356022845559863</x:v>
      </x:c>
    </x:row>
    <x:row r="2582">
      <x:c r="A2582" s="2" t="str">
        <x:v>LiA3-Ref</x:v>
      </x:c>
      <x:c r="B2582" s="4" t="str">
        <x:v>LiCl</x:v>
      </x:c>
      <x:c r="C2582" s="23" t="n">
        <x:v>2.451391</x:v>
      </x:c>
      <x:c r="D2582" s="23" t="n">
        <x:v>-19.76657</x:v>
      </x:c>
      <x:c r="E2582" s="23" t="n">
        <x:f>'Parameters'!$B$2*'Parameters'!$B$3*LN(4*PI()*C2582^2)</x:f>
        <x:v>10.719841846576388</x:v>
      </x:c>
      <x:c r="F2582" s="23" t="n">
        <x:f>D2582+E2582</x:f>
        <x:v>-9.046728153423613</x:v>
      </x:c>
      <x:c r="G2582" s="23" t="n">
        <x:f>AVERAGE($F$2545:$F$2568)</x:f>
        <x:v>-9.62303365813066</x:v>
      </x:c>
      <x:c r="H2582" s="24" t="n">
        <x:f>F2582-G2582</x:f>
        <x:v>0.5763055047070473</x:v>
      </x:c>
    </x:row>
    <x:row r="2583">
      <x:c r="A2583" s="2" t="str">
        <x:v>LiA3-Ref</x:v>
      </x:c>
      <x:c r="B2583" s="4" t="str">
        <x:v>LiCl</x:v>
      </x:c>
      <x:c r="C2583" s="23" t="n">
        <x:v>2.463753</x:v>
      </x:c>
      <x:c r="D2583" s="23" t="n">
        <x:v>-19.94039</x:v>
      </x:c>
      <x:c r="E2583" s="23" t="n">
        <x:f>'Parameters'!$B$2*'Parameters'!$B$3*LN(4*PI()*C2583^2)</x:f>
        <x:v>10.744781039744604</x:v>
      </x:c>
      <x:c r="F2583" s="23" t="n">
        <x:f>D2583+E2583</x:f>
        <x:v>-9.195608960255397</x:v>
      </x:c>
      <x:c r="G2583" s="23" t="n">
        <x:f>AVERAGE($F$2545:$F$2568)</x:f>
        <x:v>-9.62303365813066</x:v>
      </x:c>
      <x:c r="H2583" s="24" t="n">
        <x:f>F2583-G2583</x:f>
        <x:v>0.4274246978752636</x:v>
      </x:c>
    </x:row>
    <x:row r="2584">
      <x:c r="A2584" s="2" t="str">
        <x:v>LiA3-Ref</x:v>
      </x:c>
      <x:c r="B2584" s="4" t="str">
        <x:v>LiCl</x:v>
      </x:c>
      <x:c r="C2584" s="23" t="n">
        <x:v>2.476115</x:v>
      </x:c>
      <x:c r="D2584" s="23" t="n">
        <x:v>-19.91493</x:v>
      </x:c>
      <x:c r="E2584" s="23" t="n">
        <x:f>'Parameters'!$B$2*'Parameters'!$B$3*LN(4*PI()*C2584^2)</x:f>
        <x:v>10.769595411927185</x:v>
      </x:c>
      <x:c r="F2584" s="23" t="n">
        <x:f>D2584+E2584</x:f>
        <x:v>-9.145334588072814</x:v>
      </x:c>
      <x:c r="G2584" s="23" t="n">
        <x:f>AVERAGE($F$2545:$F$2568)</x:f>
        <x:v>-9.62303365813066</x:v>
      </x:c>
      <x:c r="H2584" s="24" t="n">
        <x:f>F2584-G2584</x:f>
        <x:v>0.47769907005784695</x:v>
      </x:c>
    </x:row>
    <x:row r="2585">
      <x:c r="A2585" s="2" t="str">
        <x:v>LiA3-Ref</x:v>
      </x:c>
      <x:c r="B2585" s="4" t="str">
        <x:v>LiCl</x:v>
      </x:c>
      <x:c r="C2585" s="23" t="n">
        <x:v>2.488477</x:v>
      </x:c>
      <x:c r="D2585" s="23" t="n">
        <x:v>-20.01425</x:v>
      </x:c>
      <x:c r="E2585" s="23" t="n">
        <x:f>'Parameters'!$B$2*'Parameters'!$B$3*LN(4*PI()*C2585^2)</x:f>
        <x:v>10.79428620636558</x:v>
      </x:c>
      <x:c r="F2585" s="23" t="n">
        <x:f>D2585+E2585</x:f>
        <x:v>-9.21996379363442</x:v>
      </x:c>
      <x:c r="G2585" s="23" t="n">
        <x:f>AVERAGE($F$2545:$F$2568)</x:f>
        <x:v>-9.62303365813066</x:v>
      </x:c>
      <x:c r="H2585" s="24" t="n">
        <x:f>F2585-G2585</x:f>
        <x:v>0.40306986449624027</x:v>
      </x:c>
    </x:row>
    <x:row r="2586">
      <x:c r="A2586" s="2" t="str">
        <x:v>LiA3-Ref</x:v>
      </x:c>
      <x:c r="B2586" s="4" t="str">
        <x:v>LiCl</x:v>
      </x:c>
      <x:c r="C2586" s="23" t="n">
        <x:v>2.500839</x:v>
      </x:c>
      <x:c r="D2586" s="23" t="n">
        <x:v>-20.01255</x:v>
      </x:c>
      <x:c r="E2586" s="23" t="n">
        <x:f>'Parameters'!$B$2*'Parameters'!$B$3*LN(4*PI()*C2586^2)</x:f>
        <x:v>10.818854647818856</x:v>
      </x:c>
      <x:c r="F2586" s="23" t="n">
        <x:f>D2586+E2586</x:f>
        <x:v>-9.193695352181145</x:v>
      </x:c>
      <x:c r="G2586" s="23" t="n">
        <x:f>AVERAGE($F$2545:$F$2568)</x:f>
        <x:v>-9.62303365813066</x:v>
      </x:c>
      <x:c r="H2586" s="24" t="n">
        <x:f>F2586-G2586</x:f>
        <x:v>0.42933830594951594</x:v>
      </x:c>
    </x:row>
    <x:row r="2587">
      <x:c r="A2587" s="2" t="str">
        <x:v>LiA3-Ref</x:v>
      </x:c>
      <x:c r="B2587" s="4" t="str">
        <x:v>LiCl</x:v>
      </x:c>
      <x:c r="C2587" s="23" t="n">
        <x:v>2.513201</x:v>
      </x:c>
      <x:c r="D2587" s="23" t="n">
        <x:v>-20.00142</x:v>
      </x:c>
      <x:c r="E2587" s="23" t="n">
        <x:f>'Parameters'!$B$2*'Parameters'!$B$3*LN(4*PI()*C2587^2)</x:f>
        <x:v>10.843301942928239</x:v>
      </x:c>
      <x:c r="F2587" s="23" t="n">
        <x:f>D2587+E2587</x:f>
        <x:v>-9.15811805707176</x:v>
      </x:c>
      <x:c r="G2587" s="23" t="n">
        <x:f>AVERAGE($F$2545:$F$2568)</x:f>
        <x:v>-9.62303365813066</x:v>
      </x:c>
      <x:c r="H2587" s="24" t="n">
        <x:f>F2587-G2587</x:f>
        <x:v>0.46491560105889995</x:v>
      </x:c>
    </x:row>
    <x:row r="2588">
      <x:c r="A2588" s="2" t="str">
        <x:v>LiA3-Ref</x:v>
      </x:c>
      <x:c r="B2588" s="4" t="str">
        <x:v>LiCl</x:v>
      </x:c>
      <x:c r="C2588" s="23" t="n">
        <x:v>2.525563</x:v>
      </x:c>
      <x:c r="D2588" s="23" t="n">
        <x:v>-19.96519</x:v>
      </x:c>
      <x:c r="E2588" s="23" t="n">
        <x:f>'Parameters'!$B$2*'Parameters'!$B$3*LN(4*PI()*C2588^2)</x:f>
        <x:v>10.867629280572713</x:v>
      </x:c>
      <x:c r="F2588" s="23" t="n">
        <x:f>D2588+E2588</x:f>
        <x:v>-9.097560719427287</x:v>
      </x:c>
      <x:c r="G2588" s="23" t="n">
        <x:f>AVERAGE($F$2545:$F$2568)</x:f>
        <x:v>-9.62303365813066</x:v>
      </x:c>
      <x:c r="H2588" s="24" t="n">
        <x:f>F2588-G2588</x:f>
        <x:v>0.5254729387033734</x:v>
      </x:c>
    </x:row>
    <x:row r="2589">
      <x:c r="A2589" s="2" t="str">
        <x:v>LiA3-Ref</x:v>
      </x:c>
      <x:c r="B2589" s="4" t="str">
        <x:v>LiCl</x:v>
      </x:c>
      <x:c r="C2589" s="23" t="n">
        <x:v>2.537925</x:v>
      </x:c>
      <x:c r="D2589" s="23" t="n">
        <x:v>-20.08662</x:v>
      </x:c>
      <x:c r="E2589" s="23" t="n">
        <x:f>'Parameters'!$B$2*'Parameters'!$B$3*LN(4*PI()*C2589^2)</x:f>
        <x:v>10.891837832215955</x:v>
      </x:c>
      <x:c r="F2589" s="23" t="n">
        <x:f>D2589+E2589</x:f>
        <x:v>-9.194782167784044</x:v>
      </x:c>
      <x:c r="G2589" s="23" t="n">
        <x:f>AVERAGE($F$2545:$F$2568)</x:f>
        <x:v>-9.62303365813066</x:v>
      </x:c>
      <x:c r="H2589" s="24" t="n">
        <x:f>F2589-G2589</x:f>
        <x:v>0.42825149034661614</x:v>
      </x:c>
    </x:row>
    <x:row r="2590">
      <x:c r="A2590" s="2" t="str">
        <x:v>LiA3-Ref</x:v>
      </x:c>
      <x:c r="B2590" s="4" t="str">
        <x:v>LiCl</x:v>
      </x:c>
      <x:c r="C2590" s="23" t="n">
        <x:v>2.550287</x:v>
      </x:c>
      <x:c r="D2590" s="23" t="n">
        <x:v>-20.05231</x:v>
      </x:c>
      <x:c r="E2590" s="23" t="n">
        <x:f>'Parameters'!$B$2*'Parameters'!$B$3*LN(4*PI()*C2590^2)</x:f>
        <x:v>10.915928752244817</x:v>
      </x:c>
      <x:c r="F2590" s="23" t="n">
        <x:f>D2590+E2590</x:f>
        <x:v>-9.136381247755182</x:v>
      </x:c>
      <x:c r="G2590" s="23" t="n">
        <x:f>AVERAGE($F$2545:$F$2568)</x:f>
        <x:v>-9.62303365813066</x:v>
      </x:c>
      <x:c r="H2590" s="24" t="n">
        <x:f>F2590-G2590</x:f>
        <x:v>0.4866524103754788</x:v>
      </x:c>
    </x:row>
    <x:row r="2591">
      <x:c r="A2591" s="2" t="str">
        <x:v>LiA3-Ref</x:v>
      </x:c>
      <x:c r="B2591" s="4" t="str">
        <x:v>LiCl</x:v>
      </x:c>
      <x:c r="C2591" s="23" t="n">
        <x:v>2.562649</x:v>
      </x:c>
      <x:c r="D2591" s="23" t="n">
        <x:v>-20.07318</x:v>
      </x:c>
      <x:c r="E2591" s="23" t="n">
        <x:f>'Parameters'!$B$2*'Parameters'!$B$3*LN(4*PI()*C2591^2)</x:f>
        <x:v>10.939903178299632</x:v>
      </x:c>
      <x:c r="F2591" s="23" t="n">
        <x:f>D2591+E2591</x:f>
        <x:v>-9.133276821700369</x:v>
      </x:c>
      <x:c r="G2591" s="23" t="n">
        <x:f>AVERAGE($F$2545:$F$2568)</x:f>
        <x:v>-9.62303365813066</x:v>
      </x:c>
      <x:c r="H2591" s="24" t="n">
        <x:f>F2591-G2591</x:f>
        <x:v>0.489756836430292</x:v>
      </x:c>
    </x:row>
    <x:row r="2592">
      <x:c r="A2592" s="2" t="str">
        <x:v>LiA3-Ref</x:v>
      </x:c>
      <x:c r="B2592" s="4" t="str">
        <x:v>LiCl</x:v>
      </x:c>
      <x:c r="C2592" s="23" t="n">
        <x:v>2.575011</x:v>
      </x:c>
      <x:c r="D2592" s="23" t="n">
        <x:v>-20.12316</x:v>
      </x:c>
      <x:c r="E2592" s="23" t="n">
        <x:f>'Parameters'!$B$2*'Parameters'!$B$3*LN(4*PI()*C2592^2)</x:f>
        <x:v>10.963762231596592</x:v>
      </x:c>
      <x:c r="F2592" s="23" t="n">
        <x:f>D2592+E2592</x:f>
        <x:v>-9.159397768403407</x:v>
      </x:c>
      <x:c r="G2592" s="23" t="n">
        <x:f>AVERAGE($F$2545:$F$2568)</x:f>
        <x:v>-9.62303365813066</x:v>
      </x:c>
      <x:c r="H2592" s="24" t="n">
        <x:f>F2592-G2592</x:f>
        <x:v>0.46363588972725367</x:v>
      </x:c>
    </x:row>
    <x:row r="2593">
      <x:c r="A2593" s="2" t="str">
        <x:v>LiA3-Ref</x:v>
      </x:c>
      <x:c r="B2593" s="4" t="str">
        <x:v>LiCl</x:v>
      </x:c>
      <x:c r="C2593" s="23" t="n">
        <x:v>2.587372</x:v>
      </x:c>
      <x:c r="D2593" s="23" t="n">
        <x:v>-19.94547</x:v>
      </x:c>
      <x:c r="E2593" s="23" t="n">
        <x:f>'Parameters'!$B$2*'Parameters'!$B$3*LN(4*PI()*C2593^2)</x:f>
        <x:v>10.987505101045889</x:v>
      </x:c>
      <x:c r="F2593" s="23" t="n">
        <x:f>D2593+E2593</x:f>
        <x:v>-8.957964898954112</x:v>
      </x:c>
      <x:c r="G2593" s="23" t="n">
        <x:f>AVERAGE($F$2545:$F$2568)</x:f>
        <x:v>-9.62303365813066</x:v>
      </x:c>
      <x:c r="H2593" s="24" t="n">
        <x:f>F2593-G2593</x:f>
        <x:v>0.665068759176549</x:v>
      </x:c>
    </x:row>
    <x:row r="2594">
      <x:c r="A2594" s="2" t="str">
        <x:v>LiA3-Ref</x:v>
      </x:c>
      <x:c r="B2594" s="4" t="str">
        <x:v>LiCl</x:v>
      </x:c>
      <x:c r="C2594" s="23" t="n">
        <x:v>2.599734</x:v>
      </x:c>
      <x:c r="D2594" s="23" t="n">
        <x:v>-19.98687</x:v>
      </x:c>
      <x:c r="E2594" s="23" t="n">
        <x:f>'Parameters'!$B$2*'Parameters'!$B$3*LN(4*PI()*C2594^2)</x:f>
        <x:v>11.011136717456482</x:v>
      </x:c>
      <x:c r="F2594" s="23" t="n">
        <x:f>D2594+E2594</x:f>
        <x:v>-8.975733282543517</x:v>
      </x:c>
      <x:c r="G2594" s="23" t="n">
        <x:f>AVERAGE($F$2545:$F$2568)</x:f>
        <x:v>-9.62303365813066</x:v>
      </x:c>
      <x:c r="H2594" s="24" t="n">
        <x:f>F2594-G2594</x:f>
        <x:v>0.6473003755871432</x:v>
      </x:c>
    </x:row>
    <x:row r="2595">
      <x:c r="A2595" s="2" t="str">
        <x:v>LiA3-Ref</x:v>
      </x:c>
      <x:c r="B2595" s="4" t="str">
        <x:v>LiCl</x:v>
      </x:c>
      <x:c r="C2595" s="23" t="n">
        <x:v>2.612096</x:v>
      </x:c>
      <x:c r="D2595" s="23" t="n">
        <x:v>-19.91999</x:v>
      </x:c>
      <x:c r="E2595" s="23" t="n">
        <x:f>'Parameters'!$B$2*'Parameters'!$B$3*LN(4*PI()*C2595^2)</x:f>
        <x:v>11.034656229235736</x:v>
      </x:c>
      <x:c r="F2595" s="23" t="n">
        <x:f>D2595+E2595</x:f>
        <x:v>-8.885333770764262</x:v>
      </x:c>
      <x:c r="G2595" s="23" t="n">
        <x:f>AVERAGE($F$2545:$F$2568)</x:f>
        <x:v>-9.62303365813066</x:v>
      </x:c>
      <x:c r="H2595" s="24" t="n">
        <x:f>F2595-G2595</x:f>
        <x:v>0.7376998873663982</x:v>
      </x:c>
    </x:row>
    <x:row r="2596">
      <x:c r="A2596" s="2" t="str">
        <x:v>LiA3-Ref</x:v>
      </x:c>
      <x:c r="B2596" s="4" t="str">
        <x:v>LiCl</x:v>
      </x:c>
      <x:c r="C2596" s="23" t="n">
        <x:v>2.624458</x:v>
      </x:c>
      <x:c r="D2596" s="23" t="n">
        <x:v>-19.77541</x:v>
      </x:c>
      <x:c r="E2596" s="23" t="n">
        <x:f>'Parameters'!$B$2*'Parameters'!$B$3*LN(4*PI()*C2596^2)</x:f>
        <x:v>11.058064694976926</x:v>
      </x:c>
      <x:c r="F2596" s="23" t="n">
        <x:f>D2596+E2596</x:f>
        <x:v>-8.717345305023075</x:v>
      </x:c>
      <x:c r="G2596" s="23" t="n">
        <x:f>AVERAGE($F$2545:$F$2568)</x:f>
        <x:v>-9.62303365813066</x:v>
      </x:c>
      <x:c r="H2596" s="24" t="n">
        <x:f>F2596-G2596</x:f>
        <x:v>0.9056883531075854</x:v>
      </x:c>
    </x:row>
    <x:row r="2597">
      <x:c r="A2597" s="2" t="str">
        <x:v>LiA3-Ref</x:v>
      </x:c>
      <x:c r="B2597" s="4" t="str">
        <x:v>LiCl</x:v>
      </x:c>
      <x:c r="C2597" s="23" t="n">
        <x:v>2.63682</x:v>
      </x:c>
      <x:c r="D2597" s="23" t="n">
        <x:v>-19.42463</x:v>
      </x:c>
      <x:c r="E2597" s="23" t="n">
        <x:f>'Parameters'!$B$2*'Parameters'!$B$3*LN(4*PI()*C2597^2)</x:f>
        <x:v>11.081363158349472</x:v>
      </x:c>
      <x:c r="F2597" s="23" t="n">
        <x:f>D2597+E2597</x:f>
        <x:v>-8.343266841650529</x:v>
      </x:c>
      <x:c r="G2597" s="23" t="n">
        <x:f>AVERAGE($F$2545:$F$2568)</x:f>
        <x:v>-9.62303365813066</x:v>
      </x:c>
      <x:c r="H2597" s="24" t="n">
        <x:f>F2597-G2597</x:f>
        <x:v>1.279766816480132</x:v>
      </x:c>
    </x:row>
    <x:row r="2598">
      <x:c r="A2598" s="2" t="str">
        <x:v>LiA3-Ref</x:v>
      </x:c>
      <x:c r="B2598" s="4" t="str">
        <x:v>LiCl</x:v>
      </x:c>
      <x:c r="C2598" s="23" t="n">
        <x:v>2.649182</x:v>
      </x:c>
      <x:c r="D2598" s="23" t="n">
        <x:v>-20.21273</x:v>
      </x:c>
      <x:c r="E2598" s="23" t="n">
        <x:f>'Parameters'!$B$2*'Parameters'!$B$3*LN(4*PI()*C2598^2)</x:f>
        <x:v>11.104552648378146</x:v>
      </x:c>
      <x:c r="F2598" s="23" t="n">
        <x:f>D2598+E2598</x:f>
        <x:v>-9.108177351621855</x:v>
      </x:c>
      <x:c r="G2598" s="23" t="n">
        <x:f>AVERAGE($F$2545:$F$2568)</x:f>
        <x:v>-9.62303365813066</x:v>
      </x:c>
      <x:c r="H2598" s="24" t="n">
        <x:f>F2598-G2598</x:f>
        <x:v>0.5148563065088059</x:v>
      </x:c>
    </x:row>
    <x:row r="2599">
      <x:c r="A2599" s="2" t="str">
        <x:v>LiA3-Ref</x:v>
      </x:c>
      <x:c r="B2599" s="4" t="str">
        <x:v>LiCl</x:v>
      </x:c>
      <x:c r="C2599" s="23" t="n">
        <x:v>2.661544</x:v>
      </x:c>
      <x:c r="D2599" s="23" t="n">
        <x:v>-20.16689</x:v>
      </x:c>
      <x:c r="E2599" s="23" t="n">
        <x:f>'Parameters'!$B$2*'Parameters'!$B$3*LN(4*PI()*C2599^2)</x:f>
        <x:v>11.127634179715793</x:v>
      </x:c>
      <x:c r="F2599" s="23" t="n">
        <x:f>D2599+E2599</x:f>
        <x:v>-9.039255820284206</x:v>
      </x:c>
      <x:c r="G2599" s="23" t="n">
        <x:f>AVERAGE($F$2545:$F$2568)</x:f>
        <x:v>-9.62303365813066</x:v>
      </x:c>
      <x:c r="H2599" s="24" t="n">
        <x:f>F2599-G2599</x:f>
        <x:v>0.5837778378464549</x:v>
      </x:c>
    </x:row>
    <x:row r="2600">
      <x:c r="A2600" s="2" t="str">
        <x:v>LiA3-Ref</x:v>
      </x:c>
      <x:c r="B2600" s="4" t="str">
        <x:v>LiCl</x:v>
      </x:c>
      <x:c r="C2600" s="23" t="n">
        <x:v>2.673906</x:v>
      </x:c>
      <x:c r="D2600" s="23" t="n">
        <x:v>-18.65628</x:v>
      </x:c>
      <x:c r="E2600" s="23" t="n">
        <x:f>'Parameters'!$B$2*'Parameters'!$B$3*LN(4*PI()*C2600^2)</x:f>
        <x:v>11.150608752909724</x:v>
      </x:c>
      <x:c r="F2600" s="23" t="n">
        <x:f>D2600+E2600</x:f>
        <x:v>-7.505671247090275</x:v>
      </x:c>
      <x:c r="G2600" s="23" t="n">
        <x:f>AVERAGE($F$2545:$F$2568)</x:f>
        <x:v>-9.62303365813066</x:v>
      </x:c>
      <x:c r="H2600" s="24" t="n">
        <x:f>F2600-G2600</x:f>
        <x:v>2.1173624110403857</x:v>
      </x:c>
    </x:row>
    <x:row r="2601">
      <x:c r="A2601" s="2" t="str">
        <x:v>LiA3-Ref</x:v>
      </x:c>
      <x:c r="B2601" s="4" t="str">
        <x:v>LiCl</x:v>
      </x:c>
      <x:c r="C2601" s="23" t="n">
        <x:v>2.686268</x:v>
      </x:c>
      <x:c r="D2601" s="23" t="n">
        <x:v>-18.01039</x:v>
      </x:c>
      <x:c r="E2601" s="23" t="n">
        <x:f>'Parameters'!$B$2*'Parameters'!$B$3*LN(4*PI()*C2601^2)</x:f>
        <x:v>11.173477354661966</x:v>
      </x:c>
      <x:c r="F2601" s="23" t="n">
        <x:f>D2601+E2601</x:f>
        <x:v>-6.836912645338035</x:v>
      </x:c>
      <x:c r="G2601" s="23" t="n">
        <x:f>AVERAGE($F$2545:$F$2568)</x:f>
        <x:v>-9.62303365813066</x:v>
      </x:c>
      <x:c r="H2601" s="24" t="n">
        <x:f>F2601-G2601</x:f>
        <x:v>2.7861210127926253</x:v>
      </x:c>
    </x:row>
    <x:row r="2602">
      <x:c r="A2602" s="2" t="str">
        <x:v>LiA3-Ref</x:v>
      </x:c>
      <x:c r="B2602" s="4" t="str">
        <x:v>NaCl</x:v>
      </x:c>
      <x:c r="C2602" s="23" t="n">
        <x:v>0.2565324</x:v>
      </x:c>
      <x:c r="D2602" s="23" t="n">
        <x:v>0</x:v>
      </x:c>
      <x:c r="E2602" s="23" t="n">
        <x:f>'Parameters'!$B$2*'Parameters'!$B$3*LN(4*PI()*C2602^2)</x:f>
        <x:v>-0.4709432483226935</x:v>
      </x:c>
      <x:c r="F2602" s="23" t="n">
        <x:f>D2602+E2602</x:f>
        <x:v>-0.4709432483226935</x:v>
      </x:c>
      <x:c r="G2602" s="23" t="n">
        <x:f>AVERAGE($F$2742:$F$2766)</x:f>
        <x:v>-9.504497208366006</x:v>
      </x:c>
      <x:c r="H2602" s="24" t="n">
        <x:f>F2602-G2602</x:f>
        <x:v>9.033553960043312</x:v>
      </x:c>
    </x:row>
    <x:row r="2603">
      <x:c r="A2603" s="2" t="str">
        <x:v>LiA3-Ref</x:v>
      </x:c>
      <x:c r="B2603" s="4" t="str">
        <x:v>NaCl</x:v>
      </x:c>
      <x:c r="C2603" s="23" t="n">
        <x:v>0.2688972</x:v>
      </x:c>
      <x:c r="D2603" s="23" t="n">
        <x:v>-2.736983</x:v>
      </x:c>
      <x:c r="E2603" s="23" t="n">
        <x:f>'Parameters'!$B$2*'Parameters'!$B$3*LN(4*PI()*C2603^2)</x:f>
        <x:v>-0.23755351936810246</x:v>
      </x:c>
      <x:c r="F2603" s="23" t="n">
        <x:f>D2603+E2603</x:f>
        <x:v>-2.9745365193681024</x:v>
      </x:c>
      <x:c r="G2603" s="23" t="n">
        <x:f>AVERAGE($F$2742:$F$2766)</x:f>
        <x:v>-9.504497208366006</x:v>
      </x:c>
      <x:c r="H2603" s="24" t="n">
        <x:f>F2603-G2603</x:f>
        <x:v>6.529960688997903</x:v>
      </x:c>
    </x:row>
    <x:row r="2604">
      <x:c r="A2604" s="2" t="str">
        <x:v>LiA3-Ref</x:v>
      </x:c>
      <x:c r="B2604" s="4" t="str">
        <x:v>NaCl</x:v>
      </x:c>
      <x:c r="C2604" s="23" t="n">
        <x:v>0.281262</x:v>
      </x:c>
      <x:c r="D2604" s="23" t="n">
        <x:v>-5.190583</x:v>
      </x:c>
      <x:c r="E2604" s="23" t="n">
        <x:f>'Parameters'!$B$2*'Parameters'!$B$3*LN(4*PI()*C2604^2)</x:f>
        <x:v>-0.01465825250354255</x:v>
      </x:c>
      <x:c r="F2604" s="23" t="n">
        <x:f>D2604+E2604</x:f>
        <x:v>-5.2052412525035425</x:v>
      </x:c>
      <x:c r="G2604" s="23" t="n">
        <x:f>AVERAGE($F$2742:$F$2766)</x:f>
        <x:v>-9.504497208366006</x:v>
      </x:c>
      <x:c r="H2604" s="24" t="n">
        <x:f>F2604-G2604</x:f>
        <x:v>4.2992559558624635</x:v>
      </x:c>
    </x:row>
    <x:row r="2605">
      <x:c r="A2605" s="2" t="str">
        <x:v>LiA3-Ref</x:v>
      </x:c>
      <x:c r="B2605" s="4" t="str">
        <x:v>NaCl</x:v>
      </x:c>
      <x:c r="C2605" s="23" t="n">
        <x:v>0.2936268</x:v>
      </x:c>
      <x:c r="D2605" s="23" t="n">
        <x:v>-6.506699</x:v>
      </x:c>
      <x:c r="E2605" s="23" t="n">
        <x:f>'Parameters'!$B$2*'Parameters'!$B$3*LN(4*PI()*C2605^2)</x:f>
        <x:v>0.1986458557704691</x:v>
      </x:c>
      <x:c r="F2605" s="23" t="n">
        <x:f>D2605+E2605</x:f>
        <x:v>-6.308053144229532</x:v>
      </x:c>
      <x:c r="G2605" s="23" t="n">
        <x:f>AVERAGE($F$2742:$F$2766)</x:f>
        <x:v>-9.504497208366006</x:v>
      </x:c>
      <x:c r="H2605" s="24" t="n">
        <x:f>F2605-G2605</x:f>
        <x:v>3.1964440641364744</x:v>
      </x:c>
    </x:row>
    <x:row r="2606">
      <x:c r="A2606" s="2" t="str">
        <x:v>LiA3-Ref</x:v>
      </x:c>
      <x:c r="B2606" s="4" t="str">
        <x:v>NaCl</x:v>
      </x:c>
      <x:c r="C2606" s="23" t="n">
        <x:v>0.3059916</x:v>
      </x:c>
      <x:c r="D2606" s="23" t="n">
        <x:v>-7.715801</x:v>
      </x:c>
      <x:c r="E2606" s="23" t="n">
        <x:f>'Parameters'!$B$2*'Parameters'!$B$3*LN(4*PI()*C2606^2)</x:f>
        <x:v>0.4031502784620833</x:v>
      </x:c>
      <x:c r="F2606" s="23" t="n">
        <x:f>D2606+E2606</x:f>
        <x:v>-7.312650721537917</x:v>
      </x:c>
      <x:c r="G2606" s="23" t="n">
        <x:f>AVERAGE($F$2742:$F$2766)</x:f>
        <x:v>-9.504497208366006</x:v>
      </x:c>
      <x:c r="H2606" s="24" t="n">
        <x:f>F2606-G2606</x:f>
        <x:v>2.191846486828089</x:v>
      </x:c>
    </x:row>
    <x:row r="2607">
      <x:c r="A2607" s="2" t="str">
        <x:v>LiA3-Ref</x:v>
      </x:c>
      <x:c r="B2607" s="4" t="str">
        <x:v>NaCl</x:v>
      </x:c>
      <x:c r="C2607" s="23" t="n">
        <x:v>0.3183564</x:v>
      </x:c>
      <x:c r="D2607" s="23" t="n">
        <x:v>-8.226228</x:v>
      </x:c>
      <x:c r="E2607" s="23" t="n">
        <x:f>'Parameters'!$B$2*'Parameters'!$B$3*LN(4*PI()*C2607^2)</x:f>
        <x:v>0.5995523885500968</x:v>
      </x:c>
      <x:c r="F2607" s="23" t="n">
        <x:f>D2607+E2607</x:f>
        <x:v>-7.626675611449904</x:v>
      </x:c>
      <x:c r="G2607" s="23" t="n">
        <x:f>AVERAGE($F$2742:$F$2766)</x:f>
        <x:v>-9.504497208366006</x:v>
      </x:c>
      <x:c r="H2607" s="24" t="n">
        <x:f>F2607-G2607</x:f>
        <x:v>1.8778215969161023</x:v>
      </x:c>
    </x:row>
    <x:row r="2608">
      <x:c r="A2608" s="2" t="str">
        <x:v>LiA3-Ref</x:v>
      </x:c>
      <x:c r="B2608" s="4" t="str">
        <x:v>NaCl</x:v>
      </x:c>
      <x:c r="C2608" s="23" t="n">
        <x:v>0.3307212</x:v>
      </x:c>
      <x:c r="D2608" s="23" t="n">
        <x:v>-8.249404</x:v>
      </x:c>
      <x:c r="E2608" s="23" t="n">
        <x:f>'Parameters'!$B$2*'Parameters'!$B$3*LN(4*PI()*C2608^2)</x:f>
        <x:v>0.7884698091037968</x:v>
      </x:c>
      <x:c r="F2608" s="23" t="n">
        <x:f>D2608+E2608</x:f>
        <x:v>-7.460934190896204</x:v>
      </x:c>
      <x:c r="G2608" s="23" t="n">
        <x:f>AVERAGE($F$2742:$F$2766)</x:f>
        <x:v>-9.504497208366006</x:v>
      </x:c>
      <x:c r="H2608" s="24" t="n">
        <x:f>F2608-G2608</x:f>
        <x:v>2.0435630174698023</x:v>
      </x:c>
    </x:row>
    <x:row r="2609">
      <x:c r="A2609" s="2" t="str">
        <x:v>LiA3-Ref</x:v>
      </x:c>
      <x:c r="B2609" s="4" t="str">
        <x:v>NaCl</x:v>
      </x:c>
      <x:c r="C2609" s="23" t="n">
        <x:v>0.343086</x:v>
      </x:c>
      <x:c r="D2609" s="23" t="n">
        <x:v>-7.717798</x:v>
      </x:c>
      <x:c r="E2609" s="23" t="n">
        <x:f>'Parameters'!$B$2*'Parameters'!$B$3*LN(4*PI()*C2609^2)</x:f>
        <x:v>0.9704521281001531</x:v>
      </x:c>
      <x:c r="F2609" s="23" t="n">
        <x:f>D2609+E2609</x:f>
        <x:v>-6.747345871899847</x:v>
      </x:c>
      <x:c r="G2609" s="23" t="n">
        <x:f>AVERAGE($F$2742:$F$2766)</x:f>
        <x:v>-9.504497208366006</x:v>
      </x:c>
      <x:c r="H2609" s="24" t="n">
        <x:f>F2609-G2609</x:f>
        <x:v>2.7571513364661593</x:v>
      </x:c>
    </x:row>
    <x:row r="2610">
      <x:c r="A2610" s="2" t="str">
        <x:v>LiA3-Ref</x:v>
      </x:c>
      <x:c r="B2610" s="4" t="str">
        <x:v>NaCl</x:v>
      </x:c>
      <x:c r="C2610" s="23" t="n">
        <x:v>0.3554508</x:v>
      </x:c>
      <x:c r="D2610" s="23" t="n">
        <x:v>-6.870207</x:v>
      </x:c>
      <x:c r="E2610" s="23" t="n">
        <x:f>'Parameters'!$B$2*'Parameters'!$B$3*LN(4*PI()*C2610^2)</x:f>
        <x:v>1.1459905381690234</x:v>
      </x:c>
      <x:c r="F2610" s="23" t="n">
        <x:f>D2610+E2610</x:f>
        <x:v>-5.724216461830976</x:v>
      </x:c>
      <x:c r="G2610" s="23" t="n">
        <x:f>AVERAGE($F$2742:$F$2766)</x:f>
        <x:v>-9.504497208366006</x:v>
      </x:c>
      <x:c r="H2610" s="24" t="n">
        <x:f>F2610-G2610</x:f>
        <x:v>3.7802807465350297</x:v>
      </x:c>
    </x:row>
    <x:row r="2611">
      <x:c r="A2611" s="2" t="str">
        <x:v>LiA3-Ref</x:v>
      </x:c>
      <x:c r="B2611" s="4" t="str">
        <x:v>NaCl</x:v>
      </x:c>
      <x:c r="C2611" s="23" t="n">
        <x:v>0.3678156</x:v>
      </x:c>
      <x:c r="D2611" s="23" t="n">
        <x:v>-6.075368</x:v>
      </x:c>
      <x:c r="E2611" s="23" t="n">
        <x:f>'Parameters'!$B$2*'Parameters'!$B$3*LN(4*PI()*C2611^2)</x:f>
        <x:v>1.3155258272913353</x:v>
      </x:c>
      <x:c r="F2611" s="23" t="n">
        <x:f>D2611+E2611</x:f>
        <x:v>-4.759842172708665</x:v>
      </x:c>
      <x:c r="G2611" s="23" t="n">
        <x:f>AVERAGE($F$2742:$F$2766)</x:f>
        <x:v>-9.504497208366006</x:v>
      </x:c>
      <x:c r="H2611" s="24" t="n">
        <x:f>F2611-G2611</x:f>
        <x:v>4.744655035657341</x:v>
      </x:c>
    </x:row>
    <x:row r="2612">
      <x:c r="A2612" s="2" t="str">
        <x:v>LiA3-Ref</x:v>
      </x:c>
      <x:c r="B2612" s="4" t="str">
        <x:v>NaCl</x:v>
      </x:c>
      <x:c r="C2612" s="23" t="n">
        <x:v>0.3801804</x:v>
      </x:c>
      <x:c r="D2612" s="23" t="n">
        <x:v>-5.109823</x:v>
      </x:c>
      <x:c r="E2612" s="23" t="n">
        <x:f>'Parameters'!$B$2*'Parameters'!$B$3*LN(4*PI()*C2612^2)</x:f>
        <x:v>1.4794550477992834</x:v>
      </x:c>
      <x:c r="F2612" s="23" t="n">
        <x:f>D2612+E2612</x:f>
        <x:v>-3.630367952200716</x:v>
      </x:c>
      <x:c r="G2612" s="23" t="n">
        <x:f>AVERAGE($F$2742:$F$2766)</x:f>
        <x:v>-9.504497208366006</x:v>
      </x:c>
      <x:c r="H2612" s="24" t="n">
        <x:f>F2612-G2612</x:f>
        <x:v>5.87412925616529</x:v>
      </x:c>
    </x:row>
    <x:row r="2613">
      <x:c r="A2613" s="2" t="str">
        <x:v>LiA3-Ref</x:v>
      </x:c>
      <x:c r="B2613" s="4" t="str">
        <x:v>NaCl</x:v>
      </x:c>
      <x:c r="C2613" s="23" t="n">
        <x:v>0.3925453</x:v>
      </x:c>
      <x:c r="D2613" s="23" t="n">
        <x:v>-4.806624</x:v>
      </x:c>
      <x:c r="E2613" s="23" t="n">
        <x:f>'Parameters'!$B$2*'Parameters'!$B$3*LN(4*PI()*C2613^2)</x:f>
        <x:v>1.638138380654768</x:v>
      </x:c>
      <x:c r="F2613" s="23" t="n">
        <x:f>D2613+E2613</x:f>
        <x:v>-3.1684856193452324</x:v>
      </x:c>
      <x:c r="G2613" s="23" t="n">
        <x:f>AVERAGE($F$2742:$F$2766)</x:f>
        <x:v>-9.504497208366006</x:v>
      </x:c>
      <x:c r="H2613" s="24" t="n">
        <x:f>F2613-G2613</x:f>
        <x:v>6.3360115890207735</x:v>
      </x:c>
    </x:row>
    <x:row r="2614">
      <x:c r="A2614" s="2" t="str">
        <x:v>LiA3-Ref</x:v>
      </x:c>
      <x:c r="B2614" s="4" t="str">
        <x:v>NaCl</x:v>
      </x:c>
      <x:c r="C2614" s="23" t="n">
        <x:v>0.4049101</x:v>
      </x:c>
      <x:c r="D2614" s="23" t="n">
        <x:v>-5.045656</x:v>
      </x:c>
      <x:c r="E2614" s="23" t="n">
        <x:f>'Parameters'!$B$2*'Parameters'!$B$3*LN(4*PI()*C2614^2)</x:f>
        <x:v>1.7918987771249721</x:v>
      </x:c>
      <x:c r="F2614" s="23" t="n">
        <x:f>D2614+E2614</x:f>
        <x:v>-3.253757222875028</x:v>
      </x:c>
      <x:c r="G2614" s="23" t="n">
        <x:f>AVERAGE($F$2742:$F$2766)</x:f>
        <x:v>-9.504497208366006</x:v>
      </x:c>
      <x:c r="H2614" s="24" t="n">
        <x:f>F2614-G2614</x:f>
        <x:v>6.250739985490978</x:v>
      </x:c>
    </x:row>
    <x:row r="2615">
      <x:c r="A2615" s="2" t="str">
        <x:v>LiA3-Ref</x:v>
      </x:c>
      <x:c r="B2615" s="4" t="str">
        <x:v>NaCl</x:v>
      </x:c>
      <x:c r="C2615" s="23" t="n">
        <x:v>0.4172749</x:v>
      </x:c>
      <x:c r="D2615" s="23" t="n">
        <x:v>-6.275749</x:v>
      </x:c>
      <x:c r="E2615" s="23" t="n">
        <x:f>'Parameters'!$B$2*'Parameters'!$B$3*LN(4*PI()*C2615^2)</x:f>
        <x:v>1.9410336751519082</x:v>
      </x:c>
      <x:c r="F2615" s="23" t="n">
        <x:f>D2615+E2615</x:f>
        <x:v>-4.3347153248480925</x:v>
      </x:c>
      <x:c r="G2615" s="23" t="n">
        <x:f>AVERAGE($F$2742:$F$2766)</x:f>
        <x:v>-9.504497208366006</x:v>
      </x:c>
      <x:c r="H2615" s="24" t="n">
        <x:f>F2615-G2615</x:f>
        <x:v>5.1697818835179135</x:v>
      </x:c>
    </x:row>
    <x:row r="2616">
      <x:c r="A2616" s="2" t="str">
        <x:v>LiA3-Ref</x:v>
      </x:c>
      <x:c r="B2616" s="4" t="str">
        <x:v>NaCl</x:v>
      </x:c>
      <x:c r="C2616" s="23" t="n">
        <x:v>0.4296397</x:v>
      </x:c>
      <x:c r="D2616" s="23" t="n">
        <x:v>-7.714698</x:v>
      </x:c>
      <x:c r="E2616" s="23" t="n">
        <x:f>'Parameters'!$B$2*'Parameters'!$B$3*LN(4*PI()*C2616^2)</x:f>
        <x:v>2.085813259857953</x:v>
      </x:c>
      <x:c r="F2616" s="23" t="n">
        <x:f>D2616+E2616</x:f>
        <x:v>-5.628884740142047</x:v>
      </x:c>
      <x:c r="G2616" s="23" t="n">
        <x:f>AVERAGE($F$2742:$F$2766)</x:f>
        <x:v>-9.504497208366006</x:v>
      </x:c>
      <x:c r="H2616" s="24" t="n">
        <x:f>F2616-G2616</x:f>
        <x:v>3.8756124682239586</x:v>
      </x:c>
    </x:row>
    <x:row r="2617">
      <x:c r="A2617" s="2" t="str">
        <x:v>LiA3-Ref</x:v>
      </x:c>
      <x:c r="B2617" s="4" t="str">
        <x:v>NaCl</x:v>
      </x:c>
      <x:c r="C2617" s="23" t="n">
        <x:v>0.4420045</x:v>
      </x:c>
      <x:c r="D2617" s="23" t="n">
        <x:v>-8.840306</x:v>
      </x:c>
      <x:c r="E2617" s="23" t="n">
        <x:f>'Parameters'!$B$2*'Parameters'!$B$3*LN(4*PI()*C2617^2)</x:f>
        <x:v>2.226484713476727</x:v>
      </x:c>
      <x:c r="F2617" s="23" t="n">
        <x:f>D2617+E2617</x:f>
        <x:v>-6.613821286523272</x:v>
      </x:c>
      <x:c r="G2617" s="23" t="n">
        <x:f>AVERAGE($F$2742:$F$2766)</x:f>
        <x:v>-9.504497208366006</x:v>
      </x:c>
      <x:c r="H2617" s="24" t="n">
        <x:f>F2617-G2617</x:f>
        <x:v>2.8906759218427336</x:v>
      </x:c>
    </x:row>
    <x:row r="2618">
      <x:c r="A2618" s="2" t="str">
        <x:v>LiA3-Ref</x:v>
      </x:c>
      <x:c r="B2618" s="4" t="str">
        <x:v>NaCl</x:v>
      </x:c>
      <x:c r="C2618" s="23" t="n">
        <x:v>0.4543693</x:v>
      </x:c>
      <x:c r="D2618" s="23" t="n">
        <x:v>-9.984922</x:v>
      </x:c>
      <x:c r="E2618" s="23" t="n">
        <x:f>'Parameters'!$B$2*'Parameters'!$B$3*LN(4*PI()*C2618^2)</x:f>
        <x:v>2.3632747546666475</x:v>
      </x:c>
      <x:c r="F2618" s="23" t="n">
        <x:f>D2618+E2618</x:f>
        <x:v>-7.621647245333351</x:v>
      </x:c>
      <x:c r="G2618" s="23" t="n">
        <x:f>AVERAGE($F$2742:$F$2766)</x:f>
        <x:v>-9.504497208366006</x:v>
      </x:c>
      <x:c r="H2618" s="24" t="n">
        <x:f>F2618-G2618</x:f>
        <x:v>1.8828499630326547</x:v>
      </x:c>
    </x:row>
    <x:row r="2619">
      <x:c r="A2619" s="2" t="str">
        <x:v>LiA3-Ref</x:v>
      </x:c>
      <x:c r="B2619" s="4" t="str">
        <x:v>NaCl</x:v>
      </x:c>
      <x:c r="C2619" s="23" t="n">
        <x:v>0.4667341</x:v>
      </x:c>
      <x:c r="D2619" s="23" t="n">
        <x:v>-10.97844</x:v>
      </x:c>
      <x:c r="E2619" s="23" t="n">
        <x:f>'Parameters'!$B$2*'Parameters'!$B$3*LN(4*PI()*C2619^2)</x:f>
        <x:v>2.4963918368175433</x:v>
      </x:c>
      <x:c r="F2619" s="23" t="n">
        <x:f>D2619+E2619</x:f>
        <x:v>-8.482048163182458</x:v>
      </x:c>
      <x:c r="G2619" s="23" t="n">
        <x:f>AVERAGE($F$2742:$F$2766)</x:f>
        <x:v>-9.504497208366006</x:v>
      </x:c>
      <x:c r="H2619" s="24" t="n">
        <x:f>F2619-G2619</x:f>
        <x:v>1.0224490451835475</x:v>
      </x:c>
    </x:row>
    <x:row r="2620">
      <x:c r="A2620" s="2" t="str">
        <x:v>LiA3-Ref</x:v>
      </x:c>
      <x:c r="B2620" s="4" t="str">
        <x:v>NaCl</x:v>
      </x:c>
      <x:c r="C2620" s="23" t="n">
        <x:v>0.4790989</x:v>
      </x:c>
      <x:c r="D2620" s="23" t="n">
        <x:v>-11.83317</x:v>
      </x:c>
      <x:c r="E2620" s="23" t="n">
        <x:f>'Parameters'!$B$2*'Parameters'!$B$3*LN(4*PI()*C2620^2)</x:f>
        <x:v>2.6260280588690343</x:v>
      </x:c>
      <x:c r="F2620" s="23" t="n">
        <x:f>D2620+E2620</x:f>
        <x:v>-9.207141941130967</x:v>
      </x:c>
      <x:c r="G2620" s="23" t="n">
        <x:f>AVERAGE($F$2742:$F$2766)</x:f>
        <x:v>-9.504497208366006</x:v>
      </x:c>
      <x:c r="H2620" s="24" t="n">
        <x:f>F2620-G2620</x:f>
        <x:v>0.297355267235039</x:v>
      </x:c>
    </x:row>
    <x:row r="2621">
      <x:c r="A2621" s="2" t="str">
        <x:v>LiA3-Ref</x:v>
      </x:c>
      <x:c r="B2621" s="4" t="str">
        <x:v>NaCl</x:v>
      </x:c>
      <x:c r="C2621" s="23" t="n">
        <x:v>0.4914637</x:v>
      </x:c>
      <x:c r="D2621" s="23" t="n">
        <x:v>-12.33541</x:v>
      </x:c>
      <x:c r="E2621" s="23" t="n">
        <x:f>'Parameters'!$B$2*'Parameters'!$B$3*LN(4*PI()*C2621^2)</x:f>
        <x:v>2.752360832609366</x:v>
      </x:c>
      <x:c r="F2621" s="23" t="n">
        <x:f>D2621+E2621</x:f>
        <x:v>-9.583049167390634</x:v>
      </x:c>
      <x:c r="G2621" s="23" t="n">
        <x:f>AVERAGE($F$2742:$F$2766)</x:f>
        <x:v>-9.504497208366006</x:v>
      </x:c>
      <x:c r="H2621" s="24" t="n">
        <x:f>F2621-G2621</x:f>
        <x:v>-0.07855195902462775</x:v>
      </x:c>
    </x:row>
    <x:row r="2622">
      <x:c r="A2622" s="2" t="str">
        <x:v>LiA3-Ref</x:v>
      </x:c>
      <x:c r="B2622" s="4" t="str">
        <x:v>NaCl</x:v>
      </x:c>
      <x:c r="C2622" s="23" t="n">
        <x:v>0.5038285</x:v>
      </x:c>
      <x:c r="D2622" s="23" t="n">
        <x:v>-12.7825</x:v>
      </x:c>
      <x:c r="E2622" s="23" t="n">
        <x:f>'Parameters'!$B$2*'Parameters'!$B$3*LN(4*PI()*C2622^2)</x:f>
        <x:v>2.875554342772611</x:v>
      </x:c>
      <x:c r="F2622" s="23" t="n">
        <x:f>D2622+E2622</x:f>
        <x:v>-9.90694565722739</x:v>
      </x:c>
      <x:c r="G2622" s="23" t="n">
        <x:f>AVERAGE($F$2742:$F$2766)</x:f>
        <x:v>-9.504497208366006</x:v>
      </x:c>
      <x:c r="H2622" s="24" t="n">
        <x:f>F2622-G2622</x:f>
        <x:v>-0.4024484488613833</x:v>
      </x:c>
    </x:row>
    <x:row r="2623">
      <x:c r="A2623" s="2" t="str">
        <x:v>LiA3-Ref</x:v>
      </x:c>
      <x:c r="B2623" s="4" t="str">
        <x:v>NaCl</x:v>
      </x:c>
      <x:c r="C2623" s="23" t="n">
        <x:v>0.5161933</x:v>
      </x:c>
      <x:c r="D2623" s="23" t="n">
        <x:v>-12.95264</x:v>
      </x:c>
      <x:c r="E2623" s="23" t="n">
        <x:f>'Parameters'!$B$2*'Parameters'!$B$3*LN(4*PI()*C2623^2)</x:f>
        <x:v>2.99576083008604</x:v>
      </x:c>
      <x:c r="F2623" s="23" t="n">
        <x:f>D2623+E2623</x:f>
        <x:v>-9.956879169913961</x:v>
      </x:c>
      <x:c r="G2623" s="23" t="n">
        <x:f>AVERAGE($F$2742:$F$2766)</x:f>
        <x:v>-9.504497208366006</x:v>
      </x:c>
      <x:c r="H2623" s="24" t="n">
        <x:f>F2623-G2623</x:f>
        <x:v>-0.45238196154795496</x:v>
      </x:c>
    </x:row>
    <x:row r="2624">
      <x:c r="A2624" s="2" t="str">
        <x:v>LiA3-Ref</x:v>
      </x:c>
      <x:c r="B2624" s="4" t="str">
        <x:v>NaCl</x:v>
      </x:c>
      <x:c r="C2624" s="23" t="n">
        <x:v>0.5285581</x:v>
      </x:c>
      <x:c r="D2624" s="23" t="n">
        <x:v>-13.02912</x:v>
      </x:c>
      <x:c r="E2624" s="23" t="n">
        <x:f>'Parameters'!$B$2*'Parameters'!$B$3*LN(4*PI()*C2624^2)</x:f>
        <x:v>3.1131217224214747</x:v>
      </x:c>
      <x:c r="F2624" s="23" t="n">
        <x:f>D2624+E2624</x:f>
        <x:v>-9.915998277578526</x:v>
      </x:c>
      <x:c r="G2624" s="23" t="n">
        <x:f>AVERAGE($F$2742:$F$2766)</x:f>
        <x:v>-9.504497208366006</x:v>
      </x:c>
      <x:c r="H2624" s="24" t="n">
        <x:f>F2624-G2624</x:f>
        <x:v>-0.4115010692125196</x:v>
      </x:c>
    </x:row>
    <x:row r="2625">
      <x:c r="A2625" s="2" t="str">
        <x:v>LiA3-Ref</x:v>
      </x:c>
      <x:c r="B2625" s="4" t="str">
        <x:v>NaCl</x:v>
      </x:c>
      <x:c r="C2625" s="23" t="n">
        <x:v>0.5409229</x:v>
      </x:c>
      <x:c r="D2625" s="23" t="n">
        <x:v>-12.99101</x:v>
      </x:c>
      <x:c r="E2625" s="23" t="n">
        <x:f>'Parameters'!$B$2*'Parameters'!$B$3*LN(4*PI()*C2625^2)</x:f>
        <x:v>3.2277686351314485</x:v>
      </x:c>
      <x:c r="F2625" s="23" t="n">
        <x:f>D2625+E2625</x:f>
        <x:v>-9.76324136486855</x:v>
      </x:c>
      <x:c r="G2625" s="23" t="n">
        <x:f>AVERAGE($F$2742:$F$2766)</x:f>
        <x:v>-9.504497208366006</x:v>
      </x:c>
      <x:c r="H2625" s="24" t="n">
        <x:f>F2625-G2625</x:f>
        <x:v>-0.25874415650254434</x:v>
      </x:c>
    </x:row>
    <x:row r="2626">
      <x:c r="A2626" s="2" t="str">
        <x:v>LiA3-Ref</x:v>
      </x:c>
      <x:c r="B2626" s="4" t="str">
        <x:v>NaCl</x:v>
      </x:c>
      <x:c r="C2626" s="23" t="n">
        <x:v>0.5532877</x:v>
      </x:c>
      <x:c r="D2626" s="23" t="n">
        <x:v>-12.74252</x:v>
      </x:c>
      <x:c r="E2626" s="23" t="n">
        <x:f>'Parameters'!$B$2*'Parameters'!$B$3*LN(4*PI()*C2626^2)</x:f>
        <x:v>3.339824258314727</x:v>
      </x:c>
      <x:c r="F2626" s="23" t="n">
        <x:f>D2626+E2626</x:f>
        <x:v>-9.402695741685275</x:v>
      </x:c>
      <x:c r="G2626" s="23" t="n">
        <x:f>AVERAGE($F$2742:$F$2766)</x:f>
        <x:v>-9.504497208366006</x:v>
      </x:c>
      <x:c r="H2626" s="24" t="n">
        <x:f>F2626-G2626</x:f>
        <x:v>0.10180146668073142</x:v>
      </x:c>
    </x:row>
    <x:row r="2627">
      <x:c r="A2627" s="2" t="str">
        <x:v>LiA3-Ref</x:v>
      </x:c>
      <x:c r="B2627" s="4" t="str">
        <x:v>NaCl</x:v>
      </x:c>
      <x:c r="C2627" s="23" t="n">
        <x:v>0.5656525</x:v>
      </x:c>
      <x:c r="D2627" s="23" t="n">
        <x:v>-12.47698</x:v>
      </x:c>
      <x:c r="E2627" s="23" t="n">
        <x:f>'Parameters'!$B$2*'Parameters'!$B$3*LN(4*PI()*C2627^2)</x:f>
        <x:v>3.4494031460095353</x:v>
      </x:c>
      <x:c r="F2627" s="23" t="n">
        <x:f>D2627+E2627</x:f>
        <x:v>-9.027576853990464</x:v>
      </x:c>
      <x:c r="G2627" s="23" t="n">
        <x:f>AVERAGE($F$2742:$F$2766)</x:f>
        <x:v>-9.504497208366006</x:v>
      </x:c>
      <x:c r="H2627" s="24" t="n">
        <x:f>F2627-G2627</x:f>
        <x:v>0.47692035437554203</x:v>
      </x:c>
    </x:row>
    <x:row r="2628">
      <x:c r="A2628" s="2" t="str">
        <x:v>LiA3-Ref</x:v>
      </x:c>
      <x:c r="B2628" s="4" t="str">
        <x:v>NaCl</x:v>
      </x:c>
      <x:c r="C2628" s="23" t="n">
        <x:v>0.5780173</x:v>
      </x:c>
      <x:c r="D2628" s="23" t="n">
        <x:v>-12.24722</x:v>
      </x:c>
      <x:c r="E2628" s="23" t="n">
        <x:f>'Parameters'!$B$2*'Parameters'!$B$3*LN(4*PI()*C2628^2)</x:f>
        <x:v>3.556612420041956</x:v>
      </x:c>
      <x:c r="F2628" s="23" t="n">
        <x:f>D2628+E2628</x:f>
        <x:v>-8.690607579958044</x:v>
      </x:c>
      <x:c r="G2628" s="23" t="n">
        <x:f>AVERAGE($F$2742:$F$2766)</x:f>
        <x:v>-9.504497208366006</x:v>
      </x:c>
      <x:c r="H2628" s="24" t="n">
        <x:f>F2628-G2628</x:f>
        <x:v>0.8138896284079618</x:v>
      </x:c>
    </x:row>
    <x:row r="2629">
      <x:c r="A2629" s="2" t="str">
        <x:v>LiA3-Ref</x:v>
      </x:c>
      <x:c r="B2629" s="4" t="str">
        <x:v>NaCl</x:v>
      </x:c>
      <x:c r="C2629" s="23" t="n">
        <x:v>0.5903821</x:v>
      </x:c>
      <x:c r="D2629" s="23" t="n">
        <x:v>-12.0336</x:v>
      </x:c>
      <x:c r="E2629" s="23" t="n">
        <x:f>'Parameters'!$B$2*'Parameters'!$B$3*LN(4*PI()*C2629^2)</x:f>
        <x:v>3.661552399370638</x:v>
      </x:c>
      <x:c r="F2629" s="23" t="n">
        <x:f>D2629+E2629</x:f>
        <x:v>-8.372047600629362</x:v>
      </x:c>
      <x:c r="G2629" s="23" t="n">
        <x:f>AVERAGE($F$2742:$F$2766)</x:f>
        <x:v>-9.504497208366006</x:v>
      </x:c>
      <x:c r="H2629" s="24" t="n">
        <x:f>F2629-G2629</x:f>
        <x:v>1.1324496077366444</x:v>
      </x:c>
    </x:row>
    <x:row r="2630">
      <x:c r="A2630" s="2" t="str">
        <x:v>LiA3-Ref</x:v>
      </x:c>
      <x:c r="B2630" s="4" t="str">
        <x:v>NaCl</x:v>
      </x:c>
      <x:c r="C2630" s="23" t="n">
        <x:v>0.6027469</x:v>
      </x:c>
      <x:c r="D2630" s="23" t="n">
        <x:v>-11.96082</x:v>
      </x:c>
      <x:c r="E2630" s="23" t="n">
        <x:f>'Parameters'!$B$2*'Parameters'!$B$3*LN(4*PI()*C2630^2)</x:f>
        <x:v>3.764317164195576</x:v>
      </x:c>
      <x:c r="F2630" s="23" t="n">
        <x:f>D2630+E2630</x:f>
        <x:v>-8.196502835804424</x:v>
      </x:c>
      <x:c r="G2630" s="23" t="n">
        <x:f>AVERAGE($F$2742:$F$2766)</x:f>
        <x:v>-9.504497208366006</x:v>
      </x:c>
      <x:c r="H2630" s="24" t="n">
        <x:f>F2630-G2630</x:f>
        <x:v>1.3079943725615824</x:v>
      </x:c>
    </x:row>
    <x:row r="2631">
      <x:c r="A2631" s="2" t="str">
        <x:v>LiA3-Ref</x:v>
      </x:c>
      <x:c r="B2631" s="4" t="str">
        <x:v>NaCl</x:v>
      </x:c>
      <x:c r="C2631" s="23" t="n">
        <x:v>0.6151117</x:v>
      </x:c>
      <x:c r="D2631" s="23" t="n">
        <x:v>-12.178</x:v>
      </x:c>
      <x:c r="E2631" s="23" t="n">
        <x:f>'Parameters'!$B$2*'Parameters'!$B$3*LN(4*PI()*C2631^2)</x:f>
        <x:v>3.864995062781035</x:v>
      </x:c>
      <x:c r="F2631" s="23" t="n">
        <x:f>D2631+E2631</x:f>
        <x:v>-8.313004937218967</x:v>
      </x:c>
      <x:c r="G2631" s="23" t="n">
        <x:f>AVERAGE($F$2742:$F$2766)</x:f>
        <x:v>-9.504497208366006</x:v>
      </x:c>
      <x:c r="H2631" s="24" t="n">
        <x:f>F2631-G2631</x:f>
        <x:v>1.1914922711470393</x:v>
      </x:c>
    </x:row>
    <x:row r="2632">
      <x:c r="A2632" s="2" t="str">
        <x:v>LiA3-Ref</x:v>
      </x:c>
      <x:c r="B2632" s="4" t="str">
        <x:v>NaCl</x:v>
      </x:c>
      <x:c r="C2632" s="23" t="n">
        <x:v>0.6274765</x:v>
      </x:c>
      <x:c r="D2632" s="23" t="n">
        <x:v>-12.37632</x:v>
      </x:c>
      <x:c r="E2632" s="23" t="n">
        <x:f>'Parameters'!$B$2*'Parameters'!$B$3*LN(4*PI()*C2632^2)</x:f>
        <x:v>3.963669167834781</x:v>
      </x:c>
      <x:c r="F2632" s="23" t="n">
        <x:f>D2632+E2632</x:f>
        <x:v>-8.41265083216522</x:v>
      </x:c>
      <x:c r="G2632" s="23" t="n">
        <x:f>AVERAGE($F$2742:$F$2766)</x:f>
        <x:v>-9.504497208366006</x:v>
      </x:c>
      <x:c r="H2632" s="24" t="n">
        <x:f>F2632-G2632</x:f>
        <x:v>1.0918463762007864</x:v>
      </x:c>
    </x:row>
    <x:row r="2633">
      <x:c r="A2633" s="2" t="str">
        <x:v>LiA3-Ref</x:v>
      </x:c>
      <x:c r="B2633" s="4" t="str">
        <x:v>NaCl</x:v>
      </x:c>
      <x:c r="C2633" s="23" t="n">
        <x:v>0.6398413</x:v>
      </x:c>
      <x:c r="D2633" s="23" t="n">
        <x:v>-12.65725</x:v>
      </x:c>
      <x:c r="E2633" s="23" t="n">
        <x:f>'Parameters'!$B$2*'Parameters'!$B$3*LN(4*PI()*C2633^2)</x:f>
        <x:v>4.060417688350985</x:v>
      </x:c>
      <x:c r="F2633" s="23" t="n">
        <x:f>D2633+E2633</x:f>
        <x:v>-8.596832311649013</x:v>
      </x:c>
      <x:c r="G2633" s="23" t="n">
        <x:f>AVERAGE($F$2742:$F$2766)</x:f>
        <x:v>-9.504497208366006</x:v>
      </x:c>
      <x:c r="H2633" s="24" t="n">
        <x:f>F2633-G2633</x:f>
        <x:v>0.9076648967169927</x:v>
      </x:c>
    </x:row>
    <x:row r="2634">
      <x:c r="A2634" s="2" t="str">
        <x:v>LiA3-Ref</x:v>
      </x:c>
      <x:c r="B2634" s="4" t="str">
        <x:v>NaCl</x:v>
      </x:c>
      <x:c r="C2634" s="23" t="n">
        <x:v>0.6522062</x:v>
      </x:c>
      <x:c r="D2634" s="23" t="n">
        <x:v>-13.03884</x:v>
      </x:c>
      <x:c r="E2634" s="23" t="n">
        <x:f>'Parameters'!$B$2*'Parameters'!$B$3*LN(4*PI()*C2634^2)</x:f>
        <x:v>4.1553151022083865</x:v>
      </x:c>
      <x:c r="F2634" s="23" t="n">
        <x:f>D2634+E2634</x:f>
        <x:v>-8.883524897791613</x:v>
      </x:c>
      <x:c r="G2634" s="23" t="n">
        <x:f>AVERAGE($F$2742:$F$2766)</x:f>
        <x:v>-9.504497208366006</x:v>
      </x:c>
      <x:c r="H2634" s="24" t="n">
        <x:f>F2634-G2634</x:f>
        <x:v>0.620972310574393</x:v>
      </x:c>
    </x:row>
    <x:row r="2635">
      <x:c r="A2635" s="2" t="str">
        <x:v>LiA3-Ref</x:v>
      </x:c>
      <x:c r="B2635" s="4" t="str">
        <x:v>NaCl</x:v>
      </x:c>
      <x:c r="C2635" s="23" t="n">
        <x:v>0.664571</x:v>
      </x:c>
      <x:c r="D2635" s="23" t="n">
        <x:v>-13.06994</x:v>
      </x:c>
      <x:c r="E2635" s="23" t="n">
        <x:f>'Parameters'!$B$2*'Parameters'!$B$3*LN(4*PI()*C2635^2)</x:f>
        <x:v>4.248429438767605</x:v>
      </x:c>
      <x:c r="F2635" s="23" t="n">
        <x:f>D2635+E2635</x:f>
        <x:v>-8.821510561232396</x:v>
      </x:c>
      <x:c r="G2635" s="23" t="n">
        <x:f>AVERAGE($F$2742:$F$2766)</x:f>
        <x:v>-9.504497208366006</x:v>
      </x:c>
      <x:c r="H2635" s="24" t="n">
        <x:f>F2635-G2635</x:f>
        <x:v>0.6829866471336103</x:v>
      </x:c>
    </x:row>
    <x:row r="2636">
      <x:c r="A2636" s="2" t="str">
        <x:v>LiA3-Ref</x:v>
      </x:c>
      <x:c r="B2636" s="4" t="str">
        <x:v>NaCl</x:v>
      </x:c>
      <x:c r="C2636" s="23" t="n">
        <x:v>0.6769358</x:v>
      </x:c>
      <x:c r="D2636" s="23" t="n">
        <x:v>-13.40418</x:v>
      </x:c>
      <x:c r="E2636" s="23" t="n">
        <x:f>'Parameters'!$B$2*'Parameters'!$B$3*LN(4*PI()*C2636^2)</x:f>
        <x:v>4.339827189210527</x:v>
      </x:c>
      <x:c r="F2636" s="23" t="n">
        <x:f>D2636+E2636</x:f>
        <x:v>-9.064352810789472</x:v>
      </x:c>
      <x:c r="G2636" s="23" t="n">
        <x:f>AVERAGE($F$2742:$F$2766)</x:f>
        <x:v>-9.504497208366006</x:v>
      </x:c>
      <x:c r="H2636" s="24" t="n">
        <x:f>F2636-G2636</x:f>
        <x:v>0.44014439757653356</x:v>
      </x:c>
    </x:row>
    <x:row r="2637">
      <x:c r="A2637" s="2" t="str">
        <x:v>LiA3-Ref</x:v>
      </x:c>
      <x:c r="B2637" s="4" t="str">
        <x:v>NaCl</x:v>
      </x:c>
      <x:c r="C2637" s="23" t="n">
        <x:v>0.6893006</x:v>
      </x:c>
      <x:c r="D2637" s="23" t="n">
        <x:v>-13.52045</x:v>
      </x:c>
      <x:c r="E2637" s="23" t="n">
        <x:f>'Parameters'!$B$2*'Parameters'!$B$3*LN(4*PI()*C2637^2)</x:f>
        <x:v>4.429570500952081</x:v>
      </x:c>
      <x:c r="F2637" s="23" t="n">
        <x:f>D2637+E2637</x:f>
        <x:v>-9.090879499047919</x:v>
      </x:c>
      <x:c r="G2637" s="23" t="n">
        <x:f>AVERAGE($F$2742:$F$2766)</x:f>
        <x:v>-9.504497208366006</x:v>
      </x:c>
      <x:c r="H2637" s="24" t="n">
        <x:f>F2637-G2637</x:f>
        <x:v>0.4136177093180873</x:v>
      </x:c>
    </x:row>
    <x:row r="2638">
      <x:c r="A2638" s="2" t="str">
        <x:v>LiA3-Ref</x:v>
      </x:c>
      <x:c r="B2638" s="4" t="str">
        <x:v>NaCl</x:v>
      </x:c>
      <x:c r="C2638" s="23" t="n">
        <x:v>0.7016654</x:v>
      </x:c>
      <x:c r="D2638" s="23" t="n">
        <x:v>-13.60174</x:v>
      </x:c>
      <x:c r="E2638" s="23" t="n">
        <x:f>'Parameters'!$B$2*'Parameters'!$B$3*LN(4*PI()*C2638^2)</x:f>
        <x:v>4.517718206343071</x:v>
      </x:c>
      <x:c r="F2638" s="23" t="n">
        <x:f>D2638+E2638</x:f>
        <x:v>-9.084021793656929</x:v>
      </x:c>
      <x:c r="G2638" s="23" t="n">
        <x:f>AVERAGE($F$2742:$F$2766)</x:f>
        <x:v>-9.504497208366006</x:v>
      </x:c>
      <x:c r="H2638" s="24" t="n">
        <x:f>F2638-G2638</x:f>
        <x:v>0.42047541470907746</x:v>
      </x:c>
    </x:row>
    <x:row r="2639">
      <x:c r="A2639" s="2" t="str">
        <x:v>LiA3-Ref</x:v>
      </x:c>
      <x:c r="B2639" s="4" t="str">
        <x:v>NaCl</x:v>
      </x:c>
      <x:c r="C2639" s="23" t="n">
        <x:v>0.7140302</x:v>
      </x:c>
      <x:c r="D2639" s="23" t="n">
        <x:v>-13.83671</x:v>
      </x:c>
      <x:c r="E2639" s="23" t="n">
        <x:f>'Parameters'!$B$2*'Parameters'!$B$3*LN(4*PI()*C2639^2)</x:f>
        <x:v>4.604326054333036</x:v>
      </x:c>
      <x:c r="F2639" s="23" t="n">
        <x:f>D2639+E2639</x:f>
        <x:v>-9.232383945666964</x:v>
      </x:c>
      <x:c r="G2639" s="23" t="n">
        <x:f>AVERAGE($F$2742:$F$2766)</x:f>
        <x:v>-9.504497208366006</x:v>
      </x:c>
      <x:c r="H2639" s="24" t="n">
        <x:f>F2639-G2639</x:f>
        <x:v>0.2721132626990421</x:v>
      </x:c>
    </x:row>
    <x:row r="2640">
      <x:c r="A2640" s="2" t="str">
        <x:v>LiA3-Ref</x:v>
      </x:c>
      <x:c r="B2640" s="4" t="str">
        <x:v>NaCl</x:v>
      </x:c>
      <x:c r="C2640" s="23" t="n">
        <x:v>0.726395</x:v>
      </x:c>
      <x:c r="D2640" s="23" t="n">
        <x:v>-14.02156</x:v>
      </x:c>
      <x:c r="E2640" s="23" t="n">
        <x:f>'Parameters'!$B$2*'Parameters'!$B$3*LN(4*PI()*C2640^2)</x:f>
        <x:v>4.689446922243773</x:v>
      </x:c>
      <x:c r="F2640" s="23" t="n">
        <x:f>D2640+E2640</x:f>
        <x:v>-9.332113077756226</x:v>
      </x:c>
      <x:c r="G2640" s="23" t="n">
        <x:f>AVERAGE($F$2742:$F$2766)</x:f>
        <x:v>-9.504497208366006</x:v>
      </x:c>
      <x:c r="H2640" s="24" t="n">
        <x:f>F2640-G2640</x:f>
        <x:v>0.17238413060977997</x:v>
      </x:c>
    </x:row>
    <x:row r="2641">
      <x:c r="A2641" s="2" t="str">
        <x:v>LiA3-Ref</x:v>
      </x:c>
      <x:c r="B2641" s="4" t="str">
        <x:v>NaCl</x:v>
      </x:c>
      <x:c r="C2641" s="23" t="n">
        <x:v>0.7387598</x:v>
      </x:c>
      <x:c r="D2641" s="23" t="n">
        <x:v>-14.04339</x:v>
      </x:c>
      <x:c r="E2641" s="23" t="n">
        <x:f>'Parameters'!$B$2*'Parameters'!$B$3*LN(4*PI()*C2641^2)</x:f>
        <x:v>4.77313100966813</x:v>
      </x:c>
      <x:c r="F2641" s="23" t="n">
        <x:f>D2641+E2641</x:f>
        <x:v>-9.270258990331872</x:v>
      </x:c>
      <x:c r="G2641" s="23" t="n">
        <x:f>AVERAGE($F$2742:$F$2766)</x:f>
        <x:v>-9.504497208366006</x:v>
      </x:c>
      <x:c r="H2641" s="24" t="n">
        <x:f>F2641-G2641</x:f>
        <x:v>0.23423821803413425</x:v>
      </x:c>
    </x:row>
    <x:row r="2642">
      <x:c r="A2642" s="2" t="str">
        <x:v>LiA3-Ref</x:v>
      </x:c>
      <x:c r="B2642" s="4" t="str">
        <x:v>NaCl</x:v>
      </x:c>
      <x:c r="C2642" s="23" t="n">
        <x:v>0.7511246</x:v>
      </x:c>
      <x:c r="D2642" s="23" t="n">
        <x:v>-14.31518</x:v>
      </x:c>
      <x:c r="E2642" s="23" t="n">
        <x:f>'Parameters'!$B$2*'Parameters'!$B$3*LN(4*PI()*C2642^2)</x:f>
        <x:v>4.855426016274496</x:v>
      </x:c>
      <x:c r="F2642" s="23" t="n">
        <x:f>D2642+E2642</x:f>
        <x:v>-9.459753983725504</x:v>
      </x:c>
      <x:c r="G2642" s="23" t="n">
        <x:f>AVERAGE($F$2742:$F$2766)</x:f>
        <x:v>-9.504497208366006</x:v>
      </x:c>
      <x:c r="H2642" s="24" t="n">
        <x:f>F2642-G2642</x:f>
        <x:v>0.04474322464050218</x:v>
      </x:c>
    </x:row>
    <x:row r="2643">
      <x:c r="A2643" s="2" t="str">
        <x:v>LiA3-Ref</x:v>
      </x:c>
      <x:c r="B2643" s="4" t="str">
        <x:v>NaCl</x:v>
      </x:c>
      <x:c r="C2643" s="23" t="n">
        <x:v>0.7634894</x:v>
      </x:c>
      <x:c r="D2643" s="23" t="n">
        <x:v>-14.49435</x:v>
      </x:c>
      <x:c r="E2643" s="23" t="n">
        <x:f>'Parameters'!$B$2*'Parameters'!$B$3*LN(4*PI()*C2643^2)</x:f>
        <x:v>4.936377305093908</x:v>
      </x:c>
      <x:c r="F2643" s="23" t="n">
        <x:f>D2643+E2643</x:f>
        <x:v>-9.557972694906093</x:v>
      </x:c>
      <x:c r="G2643" s="23" t="n">
        <x:f>AVERAGE($F$2742:$F$2766)</x:f>
        <x:v>-9.504497208366006</x:v>
      </x:c>
      <x:c r="H2643" s="24" t="n">
        <x:f>F2643-G2643</x:f>
        <x:v>-0.05347548654008705</x:v>
      </x:c>
    </x:row>
    <x:row r="2644">
      <x:c r="A2644" s="2" t="str">
        <x:v>LiA3-Ref</x:v>
      </x:c>
      <x:c r="B2644" s="4" t="str">
        <x:v>NaCl</x:v>
      </x:c>
      <x:c r="C2644" s="23" t="n">
        <x:v>0.7758542</x:v>
      </x:c>
      <x:c r="D2644" s="23" t="n">
        <x:v>-14.5424</x:v>
      </x:c>
      <x:c r="E2644" s="23" t="n">
        <x:f>'Parameters'!$B$2*'Parameters'!$B$3*LN(4*PI()*C2644^2)</x:f>
        <x:v>5.016028052689335</x:v>
      </x:c>
      <x:c r="F2644" s="23" t="n">
        <x:f>D2644+E2644</x:f>
        <x:v>-9.526371947310665</x:v>
      </x:c>
      <x:c r="G2644" s="23" t="n">
        <x:f>AVERAGE($F$2742:$F$2766)</x:f>
        <x:v>-9.504497208366006</x:v>
      </x:c>
      <x:c r="H2644" s="24" t="n">
        <x:f>F2644-G2644</x:f>
        <x:v>-0.021874738944658745</x:v>
      </x:c>
    </x:row>
    <x:row r="2645">
      <x:c r="A2645" s="2" t="str">
        <x:v>LiA3-Ref</x:v>
      </x:c>
      <x:c r="B2645" s="4" t="str">
        <x:v>NaCl</x:v>
      </x:c>
      <x:c r="C2645" s="23" t="n">
        <x:v>0.788219</x:v>
      </x:c>
      <x:c r="D2645" s="23" t="n">
        <x:v>-14.60287</x:v>
      </x:c>
      <x:c r="E2645" s="23" t="n">
        <x:f>'Parameters'!$B$2*'Parameters'!$B$3*LN(4*PI()*C2645^2)</x:f>
        <x:v>5.094419387451761</x:v>
      </x:c>
      <x:c r="F2645" s="23" t="n">
        <x:f>D2645+E2645</x:f>
        <x:v>-9.508450612548238</x:v>
      </x:c>
      <x:c r="G2645" s="23" t="n">
        <x:f>AVERAGE($F$2742:$F$2766)</x:f>
        <x:v>-9.504497208366006</x:v>
      </x:c>
      <x:c r="H2645" s="24" t="n">
        <x:f>F2645-G2645</x:f>
        <x:v>-0.003953404182231779</x:v>
      </x:c>
    </x:row>
    <x:row r="2646">
      <x:c r="A2646" s="2" t="str">
        <x:v>LiA3-Ref</x:v>
      </x:c>
      <x:c r="B2646" s="4" t="str">
        <x:v>NaCl</x:v>
      </x:c>
      <x:c r="C2646" s="23" t="n">
        <x:v>0.8005838</x:v>
      </x:c>
      <x:c r="D2646" s="23" t="n">
        <x:v>-14.90468</x:v>
      </x:c>
      <x:c r="E2646" s="23" t="n">
        <x:f>'Parameters'!$B$2*'Parameters'!$B$3*LN(4*PI()*C2646^2)</x:f>
        <x:v>5.171590517132072</x:v>
      </x:c>
      <x:c r="F2646" s="23" t="n">
        <x:f>D2646+E2646</x:f>
        <x:v>-9.733089482867928</x:v>
      </x:c>
      <x:c r="G2646" s="23" t="n">
        <x:f>AVERAGE($F$2742:$F$2766)</x:f>
        <x:v>-9.504497208366006</x:v>
      </x:c>
      <x:c r="H2646" s="24" t="n">
        <x:f>F2646-G2646</x:f>
        <x:v>-0.22859227450192243</x:v>
      </x:c>
    </x:row>
    <x:row r="2647">
      <x:c r="A2647" s="2" t="str">
        <x:v>LiA3-Ref</x:v>
      </x:c>
      <x:c r="B2647" s="4" t="str">
        <x:v>NaCl</x:v>
      </x:c>
      <x:c r="C2647" s="23" t="n">
        <x:v>0.8129486</x:v>
      </x:c>
      <x:c r="D2647" s="23" t="n">
        <x:v>-14.92147</x:v>
      </x:c>
      <x:c r="E2647" s="23" t="n">
        <x:f>'Parameters'!$B$2*'Parameters'!$B$3*LN(4*PI()*C2647^2)</x:f>
        <x:v>5.247578846598741</x:v>
      </x:c>
      <x:c r="F2647" s="23" t="n">
        <x:f>D2647+E2647</x:f>
        <x:v>-9.673891153401257</x:v>
      </x:c>
      <x:c r="G2647" s="23" t="n">
        <x:f>AVERAGE($F$2742:$F$2766)</x:f>
        <x:v>-9.504497208366006</x:v>
      </x:c>
      <x:c r="H2647" s="24" t="n">
        <x:f>F2647-G2647</x:f>
        <x:v>-0.1693939450352513</x:v>
      </x:c>
    </x:row>
    <x:row r="2648">
      <x:c r="A2648" s="2" t="str">
        <x:v>LiA3-Ref</x:v>
      </x:c>
      <x:c r="B2648" s="4" t="str">
        <x:v>NaCl</x:v>
      </x:c>
      <x:c r="C2648" s="23" t="n">
        <x:v>0.8253134</x:v>
      </x:c>
      <x:c r="D2648" s="23" t="n">
        <x:v>-14.95765</x:v>
      </x:c>
      <x:c r="E2648" s="23" t="n">
        <x:f>'Parameters'!$B$2*'Parameters'!$B$3*LN(4*PI()*C2648^2)</x:f>
        <x:v>5.322420086706682</x:v>
      </x:c>
      <x:c r="F2648" s="23" t="n">
        <x:f>D2648+E2648</x:f>
        <x:v>-9.635229913293317</x:v>
      </x:c>
      <x:c r="G2648" s="23" t="n">
        <x:f>AVERAGE($F$2742:$F$2766)</x:f>
        <x:v>-9.504497208366006</x:v>
      </x:c>
      <x:c r="H2648" s="24" t="n">
        <x:f>F2648-G2648</x:f>
        <x:v>-0.13073270492731126</x:v>
      </x:c>
    </x:row>
    <x:row r="2649">
      <x:c r="A2649" s="2" t="str">
        <x:v>LiA3-Ref</x:v>
      </x:c>
      <x:c r="B2649" s="4" t="str">
        <x:v>NaCl</x:v>
      </x:c>
      <x:c r="C2649" s="23" t="n">
        <x:v>0.8376782</x:v>
      </x:c>
      <x:c r="D2649" s="23" t="n">
        <x:v>-15.03523</x:v>
      </x:c>
      <x:c r="E2649" s="23" t="n">
        <x:f>'Parameters'!$B$2*'Parameters'!$B$3*LN(4*PI()*C2649^2)</x:f>
        <x:v>5.396148355070482</x:v>
      </x:c>
      <x:c r="F2649" s="23" t="n">
        <x:f>D2649+E2649</x:f>
        <x:v>-9.639081644929519</x:v>
      </x:c>
      <x:c r="G2649" s="23" t="n">
        <x:f>AVERAGE($F$2742:$F$2766)</x:f>
        <x:v>-9.504497208366006</x:v>
      </x:c>
      <x:c r="H2649" s="24" t="n">
        <x:f>F2649-G2649</x:f>
        <x:v>-0.1345844365635127</x:v>
      </x:c>
    </x:row>
    <x:row r="2650">
      <x:c r="A2650" s="2" t="str">
        <x:v>LiA3-Ref</x:v>
      </x:c>
      <x:c r="B2650" s="4" t="str">
        <x:v>NaCl</x:v>
      </x:c>
      <x:c r="C2650" s="23" t="n">
        <x:v>0.850043</x:v>
      </x:c>
      <x:c r="D2650" s="23" t="n">
        <x:v>-15.17602</x:v>
      </x:c>
      <x:c r="E2650" s="23" t="n">
        <x:f>'Parameters'!$B$2*'Parameters'!$B$3*LN(4*PI()*C2650^2)</x:f>
        <x:v>5.468796269453825</x:v>
      </x:c>
      <x:c r="F2650" s="23" t="n">
        <x:f>D2650+E2650</x:f>
        <x:v>-9.707223730546175</x:v>
      </x:c>
      <x:c r="G2650" s="23" t="n">
        <x:f>AVERAGE($F$2742:$F$2766)</x:f>
        <x:v>-9.504497208366006</x:v>
      </x:c>
      <x:c r="H2650" s="24" t="n">
        <x:f>F2650-G2650</x:f>
        <x:v>-0.2027265221801695</x:v>
      </x:c>
    </x:row>
    <x:row r="2651">
      <x:c r="A2651" s="2" t="str">
        <x:v>LiA3-Ref</x:v>
      </x:c>
      <x:c r="B2651" s="4" t="str">
        <x:v>NaCl</x:v>
      </x:c>
      <x:c r="C2651" s="23" t="n">
        <x:v>0.8624078</x:v>
      </x:c>
      <x:c r="D2651" s="23" t="n">
        <x:v>-15.18692</x:v>
      </x:c>
      <x:c r="E2651" s="23" t="n">
        <x:f>'Parameters'!$B$2*'Parameters'!$B$3*LN(4*PI()*C2651^2)</x:f>
        <x:v>5.540395034414979</x:v>
      </x:c>
      <x:c r="F2651" s="23" t="n">
        <x:f>D2651+E2651</x:f>
        <x:v>-9.646524965585023</x:v>
      </x:c>
      <x:c r="G2651" s="23" t="n">
        <x:f>AVERAGE($F$2742:$F$2766)</x:f>
        <x:v>-9.504497208366006</x:v>
      </x:c>
      <x:c r="H2651" s="24" t="n">
        <x:f>F2651-G2651</x:f>
        <x:v>-0.14202775721901695</x:v>
      </x:c>
    </x:row>
    <x:row r="2652">
      <x:c r="A2652" s="2" t="str">
        <x:v>LiA3-Ref</x:v>
      </x:c>
      <x:c r="B2652" s="4" t="str">
        <x:v>NaCl</x:v>
      </x:c>
      <x:c r="C2652" s="23" t="n">
        <x:v>0.8747726</x:v>
      </x:c>
      <x:c r="D2652" s="23" t="n">
        <x:v>-15.42116</x:v>
      </x:c>
      <x:c r="E2652" s="23" t="n">
        <x:f>'Parameters'!$B$2*'Parameters'!$B$3*LN(4*PI()*C2652^2)</x:f>
        <x:v>5.610974521784436</x:v>
      </x:c>
      <x:c r="F2652" s="23" t="n">
        <x:f>D2652+E2652</x:f>
        <x:v>-9.810185478215566</x:v>
      </x:c>
      <x:c r="G2652" s="23" t="n">
        <x:f>AVERAGE($F$2742:$F$2766)</x:f>
        <x:v>-9.504497208366006</x:v>
      </x:c>
      <x:c r="H2652" s="24" t="n">
        <x:f>F2652-G2652</x:f>
        <x:v>-0.30568826984955955</x:v>
      </x:c>
    </x:row>
    <x:row r="2653">
      <x:c r="A2653" s="2" t="str">
        <x:v>LiA3-Ref</x:v>
      </x:c>
      <x:c r="B2653" s="4" t="str">
        <x:v>NaCl</x:v>
      </x:c>
      <x:c r="C2653" s="23" t="n">
        <x:v>0.8871374</x:v>
      </x:c>
      <x:c r="D2653" s="23" t="n">
        <x:v>-15.43399</x:v>
      </x:c>
      <x:c r="E2653" s="23" t="n">
        <x:f>'Parameters'!$B$2*'Parameters'!$B$3*LN(4*PI()*C2653^2)</x:f>
        <x:v>5.680563345494181</x:v>
      </x:c>
      <x:c r="F2653" s="23" t="n">
        <x:f>D2653+E2653</x:f>
        <x:v>-9.75342665450582</x:v>
      </x:c>
      <x:c r="G2653" s="23" t="n">
        <x:f>AVERAGE($F$2742:$F$2766)</x:f>
        <x:v>-9.504497208366006</x:v>
      </x:c>
      <x:c r="H2653" s="24" t="n">
        <x:f>F2653-G2653</x:f>
        <x:v>-0.2489294461398135</x:v>
      </x:c>
    </x:row>
    <x:row r="2654">
      <x:c r="A2654" s="2" t="str">
        <x:v>LiA3-Ref</x:v>
      </x:c>
      <x:c r="B2654" s="4" t="str">
        <x:v>NaCl</x:v>
      </x:c>
      <x:c r="C2654" s="23" t="n">
        <x:v>0.8995022</x:v>
      </x:c>
      <x:c r="D2654" s="23" t="n">
        <x:v>-15.49898</x:v>
      </x:c>
      <x:c r="E2654" s="23" t="n">
        <x:f>'Parameters'!$B$2*'Parameters'!$B$3*LN(4*PI()*C2654^2)</x:f>
        <x:v>5.74918893122773</x:v>
      </x:c>
      <x:c r="F2654" s="23" t="n">
        <x:f>D2654+E2654</x:f>
        <x:v>-9.74979106877227</x:v>
      </x:c>
      <x:c r="G2654" s="23" t="n">
        <x:f>AVERAGE($F$2742:$F$2766)</x:f>
        <x:v>-9.504497208366006</x:v>
      </x:c>
      <x:c r="H2654" s="24" t="n">
        <x:f>F2654-G2654</x:f>
        <x:v>-0.24529386040626378</x:v>
      </x:c>
    </x:row>
    <x:row r="2655">
      <x:c r="A2655" s="2" t="str">
        <x:v>LiA3-Ref</x:v>
      </x:c>
      <x:c r="B2655" s="4" t="str">
        <x:v>NaCl</x:v>
      </x:c>
      <x:c r="C2655" s="23" t="n">
        <x:v>0.9118671</x:v>
      </x:c>
      <x:c r="D2655" s="23" t="n">
        <x:v>-15.60396</x:v>
      </x:c>
      <x:c r="E2655" s="23" t="n">
        <x:f>'Parameters'!$B$2*'Parameters'!$B$3*LN(4*PI()*C2655^2)</x:f>
        <x:v>5.8168781250254495</x:v>
      </x:c>
      <x:c r="F2655" s="23" t="n">
        <x:f>D2655+E2655</x:f>
        <x:v>-9.78708187497455</x:v>
      </x:c>
      <x:c r="G2655" s="23" t="n">
        <x:f>AVERAGE($F$2742:$F$2766)</x:f>
        <x:v>-9.504497208366006</x:v>
      </x:c>
      <x:c r="H2655" s="24" t="n">
        <x:f>F2655-G2655</x:f>
        <x:v>-0.2825846666085443</x:v>
      </x:c>
    </x:row>
    <x:row r="2656">
      <x:c r="A2656" s="2" t="str">
        <x:v>LiA3-Ref</x:v>
      </x:c>
      <x:c r="B2656" s="4" t="str">
        <x:v>NaCl</x:v>
      </x:c>
      <x:c r="C2656" s="23" t="n">
        <x:v>0.9242319</x:v>
      </x:c>
      <x:c r="D2656" s="23" t="n">
        <x:v>-15.76948</x:v>
      </x:c>
      <x:c r="E2656" s="23" t="n">
        <x:f>'Parameters'!$B$2*'Parameters'!$B$3*LN(4*PI()*C2656^2)</x:f>
        <x:v>5.883655071694287</x:v>
      </x:c>
      <x:c r="F2656" s="23" t="n">
        <x:f>D2656+E2656</x:f>
        <x:v>-9.885824928305713</x:v>
      </x:c>
      <x:c r="G2656" s="23" t="n">
        <x:f>AVERAGE($F$2742:$F$2766)</x:f>
        <x:v>-9.504497208366006</x:v>
      </x:c>
      <x:c r="H2656" s="24" t="n">
        <x:f>F2656-G2656</x:f>
        <x:v>-0.3813277199397067</x:v>
      </x:c>
    </x:row>
    <x:row r="2657">
      <x:c r="A2657" s="2" t="str">
        <x:v>LiA3-Ref</x:v>
      </x:c>
      <x:c r="B2657" s="4" t="str">
        <x:v>NaCl</x:v>
      </x:c>
      <x:c r="C2657" s="23" t="n">
        <x:v>0.9365967</x:v>
      </x:c>
      <x:c r="D2657" s="23" t="n">
        <x:v>-15.79793</x:v>
      </x:c>
      <x:c r="E2657" s="23" t="n">
        <x:f>'Parameters'!$B$2*'Parameters'!$B$3*LN(4*PI()*C2657^2)</x:f>
        <x:v>5.949544555585383</x:v>
      </x:c>
      <x:c r="F2657" s="23" t="n">
        <x:f>D2657+E2657</x:f>
        <x:v>-9.848385444414616</x:v>
      </x:c>
      <x:c r="G2657" s="23" t="n">
        <x:f>AVERAGE($F$2742:$F$2766)</x:f>
        <x:v>-9.504497208366006</x:v>
      </x:c>
      <x:c r="H2657" s="24" t="n">
        <x:f>F2657-G2657</x:f>
        <x:v>-0.34388823604860974</x:v>
      </x:c>
    </x:row>
    <x:row r="2658">
      <x:c r="A2658" s="2" t="str">
        <x:v>LiA3-Ref</x:v>
      </x:c>
      <x:c r="B2658" s="4" t="str">
        <x:v>NaCl</x:v>
      </x:c>
      <x:c r="C2658" s="23" t="n">
        <x:v>0.9489615</x:v>
      </x:c>
      <x:c r="D2658" s="23" t="n">
        <x:v>-15.84816</x:v>
      </x:c>
      <x:c r="E2658" s="23" t="n">
        <x:f>'Parameters'!$B$2*'Parameters'!$B$3*LN(4*PI()*C2658^2)</x:f>
        <x:v>6.014569856336531</x:v>
      </x:c>
      <x:c r="F2658" s="23" t="n">
        <x:f>D2658+E2658</x:f>
        <x:v>-9.833590143663468</x:v>
      </x:c>
      <x:c r="G2658" s="23" t="n">
        <x:f>AVERAGE($F$2742:$F$2766)</x:f>
        <x:v>-9.504497208366006</x:v>
      </x:c>
      <x:c r="H2658" s="24" t="n">
        <x:f>F2658-G2658</x:f>
        <x:v>-0.32909293529746186</x:v>
      </x:c>
    </x:row>
    <x:row r="2659">
      <x:c r="A2659" s="2" t="str">
        <x:v>LiA3-Ref</x:v>
      </x:c>
      <x:c r="B2659" s="4" t="str">
        <x:v>NaCl</x:v>
      </x:c>
      <x:c r="C2659" s="23" t="n">
        <x:v>0.9613263</x:v>
      </x:c>
      <x:c r="D2659" s="23" t="n">
        <x:v>-15.8388</x:v>
      </x:c>
      <x:c r="E2659" s="23" t="n">
        <x:f>'Parameters'!$B$2*'Parameters'!$B$3*LN(4*PI()*C2659^2)</x:f>
        <x:v>6.078753349435471</x:v>
      </x:c>
      <x:c r="F2659" s="23" t="n">
        <x:f>D2659+E2659</x:f>
        <x:v>-9.76004665056453</x:v>
      </x:c>
      <x:c r="G2659" s="23" t="n">
        <x:f>AVERAGE($F$2742:$F$2766)</x:f>
        <x:v>-9.504497208366006</x:v>
      </x:c>
      <x:c r="H2659" s="24" t="n">
        <x:f>F2659-G2659</x:f>
        <x:v>-0.2555494421985234</x:v>
      </x:c>
    </x:row>
    <x:row r="2660">
      <x:c r="A2660" s="2" t="str">
        <x:v>LiA3-Ref</x:v>
      </x:c>
      <x:c r="B2660" s="4" t="str">
        <x:v>NaCl</x:v>
      </x:c>
      <x:c r="C2660" s="23" t="n">
        <x:v>0.9736911</x:v>
      </x:c>
      <x:c r="D2660" s="23" t="n">
        <x:v>-16.01824</x:v>
      </x:c>
      <x:c r="E2660" s="23" t="n">
        <x:f>'Parameters'!$B$2*'Parameters'!$B$3*LN(4*PI()*C2660^2)</x:f>
        <x:v>6.142116552443422</x:v>
      </x:c>
      <x:c r="F2660" s="23" t="n">
        <x:f>D2660+E2660</x:f>
        <x:v>-9.876123447556576</x:v>
      </x:c>
      <x:c r="G2660" s="23" t="n">
        <x:f>AVERAGE($F$2742:$F$2766)</x:f>
        <x:v>-9.504497208366006</x:v>
      </x:c>
      <x:c r="H2660" s="24" t="n">
        <x:f>F2660-G2660</x:f>
        <x:v>-0.3716262391905705</x:v>
      </x:c>
    </x:row>
    <x:row r="2661">
      <x:c r="A2661" s="2" t="str">
        <x:v>LiA3-Ref</x:v>
      </x:c>
      <x:c r="B2661" s="4" t="str">
        <x:v>NaCl</x:v>
      </x:c>
      <x:c r="C2661" s="23" t="n">
        <x:v>0.9860559</x:v>
      </x:c>
      <x:c r="D2661" s="23" t="n">
        <x:v>-16.00428</x:v>
      </x:c>
      <x:c r="E2661" s="23" t="n">
        <x:f>'Parameters'!$B$2*'Parameters'!$B$3*LN(4*PI()*C2661^2)</x:f>
        <x:v>6.2046801683019455</x:v>
      </x:c>
      <x:c r="F2661" s="23" t="n">
        <x:f>D2661+E2661</x:f>
        <x:v>-9.799599831698057</x:v>
      </x:c>
      <x:c r="G2661" s="23" t="n">
        <x:f>AVERAGE($F$2742:$F$2766)</x:f>
        <x:v>-9.504497208366006</x:v>
      </x:c>
      <x:c r="H2661" s="24" t="n">
        <x:f>F2661-G2661</x:f>
        <x:v>-0.29510262333205084</x:v>
      </x:c>
    </x:row>
    <x:row r="2662">
      <x:c r="A2662" s="2" t="str">
        <x:v>LiA3-Ref</x:v>
      </x:c>
      <x:c r="B2662" s="4" t="str">
        <x:v>NaCl</x:v>
      </x:c>
      <x:c r="C2662" s="23" t="n">
        <x:v>0.9984207</x:v>
      </x:c>
      <x:c r="D2662" s="23" t="n">
        <x:v>-16.05187</x:v>
      </x:c>
      <x:c r="E2662" s="23" t="n">
        <x:f>'Parameters'!$B$2*'Parameters'!$B$3*LN(4*PI()*C2662^2)</x:f>
        <x:v>6.266464125941242</x:v>
      </x:c>
      <x:c r="F2662" s="23" t="n">
        <x:f>D2662+E2662</x:f>
        <x:v>-9.785405874058759</x:v>
      </x:c>
      <x:c r="G2662" s="23" t="n">
        <x:f>AVERAGE($F$2742:$F$2766)</x:f>
        <x:v>-9.504497208366006</x:v>
      </x:c>
      <x:c r="H2662" s="24" t="n">
        <x:f>F2662-G2662</x:f>
        <x:v>-0.28090866569275263</x:v>
      </x:c>
    </x:row>
    <x:row r="2663">
      <x:c r="A2663" s="2" t="str">
        <x:v>LiA3-Ref</x:v>
      </x:c>
      <x:c r="B2663" s="4" t="str">
        <x:v>NaCl</x:v>
      </x:c>
      <x:c r="C2663" s="23" t="n">
        <x:v>1.010785</x:v>
      </x:c>
      <x:c r="D2663" s="23" t="n">
        <x:v>-16.19937</x:v>
      </x:c>
      <x:c r="E2663" s="23" t="n">
        <x:f>'Parameters'!$B$2*'Parameters'!$B$3*LN(4*PI()*C2663^2)</x:f>
        <x:v>6.327485165883057</x:v>
      </x:c>
      <x:c r="F2663" s="23" t="n">
        <x:f>D2663+E2663</x:f>
        <x:v>-9.87188483411694</x:v>
      </x:c>
      <x:c r="G2663" s="23" t="n">
        <x:f>AVERAGE($F$2742:$F$2766)</x:f>
        <x:v>-9.504497208366006</x:v>
      </x:c>
      <x:c r="H2663" s="24" t="n">
        <x:f>F2663-G2663</x:f>
        <x:v>-0.36738762575093453</x:v>
      </x:c>
    </x:row>
    <x:row r="2664">
      <x:c r="A2664" s="2" t="str">
        <x:v>LiA3-Ref</x:v>
      </x:c>
      <x:c r="B2664" s="4" t="str">
        <x:v>NaCl</x:v>
      </x:c>
      <x:c r="C2664" s="23" t="n">
        <x:v>1.02315</x:v>
      </x:c>
      <x:c r="D2664" s="23" t="n">
        <x:v>-16.03699</x:v>
      </x:c>
      <x:c r="E2664" s="23" t="n">
        <x:f>'Parameters'!$B$2*'Parameters'!$B$3*LN(4*PI()*C2664^2)</x:f>
        <x:v>6.387767684843119</x:v>
      </x:c>
      <x:c r="F2664" s="23" t="n">
        <x:f>D2664+E2664</x:f>
        <x:v>-9.64922231515688</x:v>
      </x:c>
      <x:c r="G2664" s="23" t="n">
        <x:f>AVERAGE($F$2742:$F$2766)</x:f>
        <x:v>-9.504497208366006</x:v>
      </x:c>
      <x:c r="H2664" s="24" t="n">
        <x:f>F2664-G2664</x:f>
        <x:v>-0.14472510679087414</x:v>
      </x:c>
    </x:row>
    <x:row r="2665">
      <x:c r="A2665" s="2" t="str">
        <x:v>LiA3-Ref</x:v>
      </x:c>
      <x:c r="B2665" s="4" t="str">
        <x:v>NaCl</x:v>
      </x:c>
      <x:c r="C2665" s="23" t="n">
        <x:v>1.035515</x:v>
      </x:c>
      <x:c r="D2665" s="23" t="n">
        <x:v>-16.00276</x:v>
      </x:c>
      <x:c r="E2665" s="23" t="n">
        <x:f>'Parameters'!$B$2*'Parameters'!$B$3*LN(4*PI()*C2665^2)</x:f>
        <x:v>6.44732603412658</x:v>
      </x:c>
      <x:c r="F2665" s="23" t="n">
        <x:f>D2665+E2665</x:f>
        <x:v>-9.55543396587342</x:v>
      </x:c>
      <x:c r="G2665" s="23" t="n">
        <x:f>AVERAGE($F$2742:$F$2766)</x:f>
        <x:v>-9.504497208366006</x:v>
      </x:c>
      <x:c r="H2665" s="24" t="n">
        <x:f>F2665-G2665</x:f>
        <x:v>-0.05093675750741333</x:v>
      </x:c>
    </x:row>
    <x:row r="2666">
      <x:c r="A2666" s="2" t="str">
        <x:v>LiA3-Ref</x:v>
      </x:c>
      <x:c r="B2666" s="4" t="str">
        <x:v>NaCl</x:v>
      </x:c>
      <x:c r="C2666" s="23" t="n">
        <x:v>1.04788</x:v>
      </x:c>
      <x:c r="D2666" s="23" t="n">
        <x:v>-16.1235</x:v>
      </x:c>
      <x:c r="E2666" s="23" t="n">
        <x:f>'Parameters'!$B$2*'Parameters'!$B$3*LN(4*PI()*C2666^2)</x:f>
        <x:v>6.506177406204951</x:v>
      </x:c>
      <x:c r="F2666" s="23" t="n">
        <x:f>D2666+E2666</x:f>
        <x:v>-9.617322593795048</x:v>
      </x:c>
      <x:c r="G2666" s="23" t="n">
        <x:f>AVERAGE($F$2742:$F$2766)</x:f>
        <x:v>-9.504497208366006</x:v>
      </x:c>
      <x:c r="H2666" s="24" t="n">
        <x:f>F2666-G2666</x:f>
        <x:v>-0.11282538542904241</x:v>
      </x:c>
    </x:row>
    <x:row r="2667">
      <x:c r="A2667" s="2" t="str">
        <x:v>LiA3-Ref</x:v>
      </x:c>
      <x:c r="B2667" s="4" t="str">
        <x:v>NaCl</x:v>
      </x:c>
      <x:c r="C2667" s="23" t="n">
        <x:v>1.060245</x:v>
      </x:c>
      <x:c r="D2667" s="23" t="n">
        <x:v>-16.1833</x:v>
      </x:c>
      <x:c r="E2667" s="23" t="n">
        <x:f>'Parameters'!$B$2*'Parameters'!$B$3*LN(4*PI()*C2667^2)</x:f>
        <x:v>6.564338388476971</x:v>
      </x:c>
      <x:c r="F2667" s="23" t="n">
        <x:f>D2667+E2667</x:f>
        <x:v>-9.618961611523028</x:v>
      </x:c>
      <x:c r="G2667" s="23" t="n">
        <x:f>AVERAGE($F$2742:$F$2766)</x:f>
        <x:v>-9.504497208366006</x:v>
      </x:c>
      <x:c r="H2667" s="24" t="n">
        <x:f>F2667-G2667</x:f>
        <x:v>-0.11446440315702233</x:v>
      </x:c>
    </x:row>
    <x:row r="2668">
      <x:c r="A2668" s="2" t="str">
        <x:v>LiA3-Ref</x:v>
      </x:c>
      <x:c r="B2668" s="4" t="str">
        <x:v>NaCl</x:v>
      </x:c>
      <x:c r="C2668" s="23" t="n">
        <x:v>1.07261</x:v>
      </x:c>
      <x:c r="D2668" s="23" t="n">
        <x:v>-16.13378</x:v>
      </x:c>
      <x:c r="E2668" s="23" t="n">
        <x:f>'Parameters'!$B$2*'Parameters'!$B$3*LN(4*PI()*C2668^2)</x:f>
        <x:v>6.621824991332982</x:v>
      </x:c>
      <x:c r="F2668" s="23" t="n">
        <x:f>D2668+E2668</x:f>
        <x:v>-9.51195500866702</x:v>
      </x:c>
      <x:c r="G2668" s="23" t="n">
        <x:f>AVERAGE($F$2742:$F$2766)</x:f>
        <x:v>-9.504497208366006</x:v>
      </x:c>
      <x:c r="H2668" s="24" t="n">
        <x:f>F2668-G2668</x:f>
        <x:v>-0.007457800301013506</x:v>
      </x:c>
    </x:row>
    <x:row r="2669">
      <x:c r="A2669" s="2" t="str">
        <x:v>LiA3-Ref</x:v>
      </x:c>
      <x:c r="B2669" s="4" t="str">
        <x:v>NaCl</x:v>
      </x:c>
      <x:c r="C2669" s="23" t="n">
        <x:v>1.084974</x:v>
      </x:c>
      <x:c r="D2669" s="23" t="n">
        <x:v>-16.05547</x:v>
      </x:c>
      <x:c r="E2669" s="23" t="n">
        <x:f>'Parameters'!$B$2*'Parameters'!$B$3*LN(4*PI()*C2669^2)</x:f>
        <x:v>6.678648104997394</x:v>
      </x:c>
      <x:c r="F2669" s="23" t="n">
        <x:f>D2669+E2669</x:f>
        <x:v>-9.376821895002607</x:v>
      </x:c>
      <x:c r="G2669" s="23" t="n">
        <x:f>AVERAGE($F$2742:$F$2766)</x:f>
        <x:v>-9.504497208366006</x:v>
      </x:c>
      <x:c r="H2669" s="24" t="n">
        <x:f>F2669-G2669</x:f>
        <x:v>0.1276753133633992</x:v>
      </x:c>
    </x:row>
    <x:row r="2670">
      <x:c r="A2670" s="2" t="str">
        <x:v>LiA3-Ref</x:v>
      </x:c>
      <x:c r="B2670" s="4" t="str">
        <x:v>NaCl</x:v>
      </x:c>
      <x:c r="C2670" s="23" t="n">
        <x:v>1.097339</x:v>
      </x:c>
      <x:c r="D2670" s="23" t="n">
        <x:v>-16.13056</x:v>
      </x:c>
      <x:c r="E2670" s="23" t="n">
        <x:f>'Parameters'!$B$2*'Parameters'!$B$3*LN(4*PI()*C2670^2)</x:f>
        <x:v>6.734831854430414</x:v>
      </x:c>
      <x:c r="F2670" s="23" t="n">
        <x:f>D2670+E2670</x:f>
        <x:v>-9.395728145569585</x:v>
      </x:c>
      <x:c r="G2670" s="23" t="n">
        <x:f>AVERAGE($F$2742:$F$2766)</x:f>
        <x:v>-9.504497208366006</x:v>
      </x:c>
      <x:c r="H2670" s="24" t="n">
        <x:f>F2670-G2670</x:f>
        <x:v>0.10876906279642107</x:v>
      </x:c>
    </x:row>
    <x:row r="2671">
      <x:c r="A2671" s="2" t="str">
        <x:v>LiA3-Ref</x:v>
      </x:c>
      <x:c r="B2671" s="4" t="str">
        <x:v>NaCl</x:v>
      </x:c>
      <x:c r="C2671" s="23" t="n">
        <x:v>1.109704</x:v>
      </x:c>
      <x:c r="D2671" s="23" t="n">
        <x:v>-16.06594</x:v>
      </x:c>
      <x:c r="E2671" s="23" t="n">
        <x:f>'Parameters'!$B$2*'Parameters'!$B$3*LN(4*PI()*C2671^2)</x:f>
        <x:v>6.790386049584983</x:v>
      </x:c>
      <x:c r="F2671" s="23" t="n">
        <x:f>D2671+E2671</x:f>
        <x:v>-9.275553950415018</x:v>
      </x:c>
      <x:c r="G2671" s="23" t="n">
        <x:f>AVERAGE($F$2742:$F$2766)</x:f>
        <x:v>-9.504497208366006</x:v>
      </x:c>
      <x:c r="H2671" s="24" t="n">
        <x:f>F2671-G2671</x:f>
        <x:v>0.2289432579509878</x:v>
      </x:c>
    </x:row>
    <x:row r="2672">
      <x:c r="A2672" s="2" t="str">
        <x:v>LiA3-Ref</x:v>
      </x:c>
      <x:c r="B2672" s="4" t="str">
        <x:v>NaCl</x:v>
      </x:c>
      <x:c r="C2672" s="23" t="n">
        <x:v>1.122069</x:v>
      </x:c>
      <x:c r="D2672" s="23" t="n">
        <x:v>-16.13795</x:v>
      </x:c>
      <x:c r="E2672" s="23" t="n">
        <x:f>'Parameters'!$B$2*'Parameters'!$B$3*LN(4*PI()*C2672^2)</x:f>
        <x:v>6.845324642920085</x:v>
      </x:c>
      <x:c r="F2672" s="23" t="n">
        <x:f>D2672+E2672</x:f>
        <x:v>-9.292625357079915</x:v>
      </x:c>
      <x:c r="G2672" s="23" t="n">
        <x:f>AVERAGE($F$2742:$F$2766)</x:f>
        <x:v>-9.504497208366006</x:v>
      </x:c>
      <x:c r="H2672" s="24" t="n">
        <x:f>F2672-G2672</x:f>
        <x:v>0.21187185128609087</x:v>
      </x:c>
    </x:row>
    <x:row r="2673">
      <x:c r="A2673" s="2" t="str">
        <x:v>LiA3-Ref</x:v>
      </x:c>
      <x:c r="B2673" s="4" t="str">
        <x:v>NaCl</x:v>
      </x:c>
      <x:c r="C2673" s="23" t="n">
        <x:v>1.134434</x:v>
      </x:c>
      <x:c r="D2673" s="23" t="n">
        <x:v>-16.15212</x:v>
      </x:c>
      <x:c r="E2673" s="23" t="n">
        <x:f>'Parameters'!$B$2*'Parameters'!$B$3*LN(4*PI()*C2673^2)</x:f>
        <x:v>6.899661128142792</x:v>
      </x:c>
      <x:c r="F2673" s="23" t="n">
        <x:f>D2673+E2673</x:f>
        <x:v>-9.252458871857208</x:v>
      </x:c>
      <x:c r="G2673" s="23" t="n">
        <x:f>AVERAGE($F$2742:$F$2766)</x:f>
        <x:v>-9.504497208366006</x:v>
      </x:c>
      <x:c r="H2673" s="24" t="n">
        <x:f>F2673-G2673</x:f>
        <x:v>0.25203833650879837</x:v>
      </x:c>
    </x:row>
    <x:row r="2674">
      <x:c r="A2674" s="2" t="str">
        <x:v>LiA3-Ref</x:v>
      </x:c>
      <x:c r="B2674" s="4" t="str">
        <x:v>NaCl</x:v>
      </x:c>
      <x:c r="C2674" s="23" t="n">
        <x:v>1.146798</x:v>
      </x:c>
      <x:c r="D2674" s="23" t="n">
        <x:v>-16.21926</x:v>
      </x:c>
      <x:c r="E2674" s="23" t="n">
        <x:f>'Parameters'!$B$2*'Parameters'!$B$3*LN(4*PI()*C2674^2)</x:f>
        <x:v>6.953404236836683</x:v>
      </x:c>
      <x:c r="F2674" s="23" t="n">
        <x:f>D2674+E2674</x:f>
        <x:v>-9.265855763163316</x:v>
      </x:c>
      <x:c r="G2674" s="23" t="n">
        <x:f>AVERAGE($F$2742:$F$2766)</x:f>
        <x:v>-9.504497208366006</x:v>
      </x:c>
      <x:c r="H2674" s="24" t="n">
        <x:f>F2674-G2674</x:f>
        <x:v>0.23864144520269015</x:v>
      </x:c>
    </x:row>
    <x:row r="2675">
      <x:c r="A2675" s="2" t="str">
        <x:v>LiA3-Ref</x:v>
      </x:c>
      <x:c r="B2675" s="4" t="str">
        <x:v>NaCl</x:v>
      </x:c>
      <x:c r="C2675" s="23" t="n">
        <x:v>1.159163</x:v>
      </x:c>
      <x:c r="D2675" s="23" t="n">
        <x:v>-16.24597</x:v>
      </x:c>
      <x:c r="E2675" s="23" t="n">
        <x:f>'Parameters'!$B$2*'Parameters'!$B$3*LN(4*PI()*C2675^2)</x:f>
        <x:v>7.006575296466543</x:v>
      </x:c>
      <x:c r="F2675" s="23" t="n">
        <x:f>D2675+E2675</x:f>
        <x:v>-9.239394703533456</x:v>
      </x:c>
      <x:c r="G2675" s="23" t="n">
        <x:f>AVERAGE($F$2742:$F$2766)</x:f>
        <x:v>-9.504497208366006</x:v>
      </x:c>
      <x:c r="H2675" s="24" t="n">
        <x:f>F2675-G2675</x:f>
        <x:v>0.2651025048325497</x:v>
      </x:c>
    </x:row>
    <x:row r="2676">
      <x:c r="A2676" s="2" t="str">
        <x:v>LiA3-Ref</x:v>
      </x:c>
      <x:c r="B2676" s="4" t="str">
        <x:v>NaCl</x:v>
      </x:c>
      <x:c r="C2676" s="23" t="n">
        <x:v>1.171528</x:v>
      </x:c>
      <x:c r="D2676" s="23" t="n">
        <x:v>-16.22956</x:v>
      </x:c>
      <x:c r="E2676" s="23" t="n">
        <x:f>'Parameters'!$B$2*'Parameters'!$B$3*LN(4*PI()*C2676^2)</x:f>
        <x:v>7.059182169290496</x:v>
      </x:c>
      <x:c r="F2676" s="23" t="n">
        <x:f>D2676+E2676</x:f>
        <x:v>-9.170377830709503</x:v>
      </x:c>
      <x:c r="G2676" s="23" t="n">
        <x:f>AVERAGE($F$2742:$F$2766)</x:f>
        <x:v>-9.504497208366006</x:v>
      </x:c>
      <x:c r="H2676" s="24" t="n">
        <x:f>F2676-G2676</x:f>
        <x:v>0.3341193776565028</x:v>
      </x:c>
    </x:row>
    <x:row r="2677">
      <x:c r="A2677" s="2" t="str">
        <x:v>LiA3-Ref</x:v>
      </x:c>
      <x:c r="B2677" s="4" t="str">
        <x:v>NaCl</x:v>
      </x:c>
      <x:c r="C2677" s="23" t="n">
        <x:v>1.183893</x:v>
      </x:c>
      <x:c r="D2677" s="23" t="n">
        <x:v>-16.53895</x:v>
      </x:c>
      <x:c r="E2677" s="23" t="n">
        <x:f>'Parameters'!$B$2*'Parameters'!$B$3*LN(4*PI()*C2677^2)</x:f>
        <x:v>7.111236702641426</x:v>
      </x:c>
      <x:c r="F2677" s="23" t="n">
        <x:f>D2677+E2677</x:f>
        <x:v>-9.427713297358574</x:v>
      </x:c>
      <x:c r="G2677" s="23" t="n">
        <x:f>AVERAGE($F$2742:$F$2766)</x:f>
        <x:v>-9.504497208366006</x:v>
      </x:c>
      <x:c r="H2677" s="24" t="n">
        <x:f>F2677-G2677</x:f>
        <x:v>0.07678391100743198</x:v>
      </x:c>
    </x:row>
    <x:row r="2678">
      <x:c r="A2678" s="2" t="str">
        <x:v>LiA3-Ref</x:v>
      </x:c>
      <x:c r="B2678" s="4" t="str">
        <x:v>NaCl</x:v>
      </x:c>
      <x:c r="C2678" s="23" t="n">
        <x:v>1.196258</x:v>
      </x:c>
      <x:c r="D2678" s="23" t="n">
        <x:v>-16.56267</x:v>
      </x:c>
      <x:c r="E2678" s="23" t="n">
        <x:f>'Parameters'!$B$2*'Parameters'!$B$3*LN(4*PI()*C2678^2)</x:f>
        <x:v>7.162750374553892</x:v>
      </x:c>
      <x:c r="F2678" s="23" t="n">
        <x:f>D2678+E2678</x:f>
        <x:v>-9.39991962544611</x:v>
      </x:c>
      <x:c r="G2678" s="23" t="n">
        <x:f>AVERAGE($F$2742:$F$2766)</x:f>
        <x:v>-9.504497208366006</x:v>
      </x:c>
      <x:c r="H2678" s="24" t="n">
        <x:f>F2678-G2678</x:f>
        <x:v>0.10457758291989627</x:v>
      </x:c>
    </x:row>
    <x:row r="2679">
      <x:c r="A2679" s="2" t="str">
        <x:v>LiA3-Ref</x:v>
      </x:c>
      <x:c r="B2679" s="4" t="str">
        <x:v>NaCl</x:v>
      </x:c>
      <x:c r="C2679" s="23" t="n">
        <x:v>1.208622</x:v>
      </x:c>
      <x:c r="D2679" s="23" t="n">
        <x:v>-16.64584</x:v>
      </x:c>
      <x:c r="E2679" s="23" t="n">
        <x:f>'Parameters'!$B$2*'Parameters'!$B$3*LN(4*PI()*C2679^2)</x:f>
        <x:v>7.213730206835567</x:v>
      </x:c>
      <x:c r="F2679" s="23" t="n">
        <x:f>D2679+E2679</x:f>
        <x:v>-9.432109793164432</x:v>
      </x:c>
      <x:c r="G2679" s="23" t="n">
        <x:f>AVERAGE($F$2742:$F$2766)</x:f>
        <x:v>-9.504497208366006</x:v>
      </x:c>
      <x:c r="H2679" s="24" t="n">
        <x:f>F2679-G2679</x:f>
        <x:v>0.07238741520157355</x:v>
      </x:c>
    </x:row>
    <x:row r="2680">
      <x:c r="A2680" s="2" t="str">
        <x:v>LiA3-Ref</x:v>
      </x:c>
      <x:c r="B2680" s="4" t="str">
        <x:v>NaCl</x:v>
      </x:c>
      <x:c r="C2680" s="23" t="n">
        <x:v>1.220987</x:v>
      </x:c>
      <x:c r="D2680" s="23" t="n">
        <x:v>-16.738</x:v>
      </x:c>
      <x:c r="E2680" s="23" t="n">
        <x:f>'Parameters'!$B$2*'Parameters'!$B$3*LN(4*PI()*C2680^2)</x:f>
        <x:v>7.264195229505913</x:v>
      </x:c>
      <x:c r="F2680" s="23" t="n">
        <x:f>D2680+E2680</x:f>
        <x:v>-9.473804770494088</x:v>
      </x:c>
      <x:c r="G2680" s="23" t="n">
        <x:f>AVERAGE($F$2742:$F$2766)</x:f>
        <x:v>-9.504497208366006</x:v>
      </x:c>
      <x:c r="H2680" s="24" t="n">
        <x:f>F2680-G2680</x:f>
        <x:v>0.030692437871918443</x:v>
      </x:c>
    </x:row>
    <x:row r="2681">
      <x:c r="A2681" s="2" t="str">
        <x:v>LiA3-Ref</x:v>
      </x:c>
      <x:c r="B2681" s="4" t="str">
        <x:v>NaCl</x:v>
      </x:c>
      <x:c r="C2681" s="23" t="n">
        <x:v>1.233352</x:v>
      </x:c>
      <x:c r="D2681" s="23" t="n">
        <x:v>-16.83223</x:v>
      </x:c>
      <x:c r="E2681" s="23" t="n">
        <x:f>'Parameters'!$B$2*'Parameters'!$B$3*LN(4*PI()*C2681^2)</x:f>
        <x:v>7.314151756309926</x:v>
      </x:c>
      <x:c r="F2681" s="23" t="n">
        <x:f>D2681+E2681</x:f>
        <x:v>-9.518078243690073</x:v>
      </x:c>
      <x:c r="G2681" s="23" t="n">
        <x:f>AVERAGE($F$2742:$F$2766)</x:f>
        <x:v>-9.504497208366006</x:v>
      </x:c>
      <x:c r="H2681" s="24" t="n">
        <x:f>F2681-G2681</x:f>
        <x:v>-0.013581035324067514</x:v>
      </x:c>
    </x:row>
    <x:row r="2682">
      <x:c r="A2682" s="2" t="str">
        <x:v>LiA3-Ref</x:v>
      </x:c>
      <x:c r="B2682" s="4" t="str">
        <x:v>NaCl</x:v>
      </x:c>
      <x:c r="C2682" s="23" t="n">
        <x:v>1.245717</x:v>
      </x:c>
      <x:c r="D2682" s="23" t="n">
        <x:v>-17.01409</x:v>
      </x:c>
      <x:c r="E2682" s="23" t="n">
        <x:f>'Parameters'!$B$2*'Parameters'!$B$3*LN(4*PI()*C2682^2)</x:f>
        <x:v>7.363609932522946</x:v>
      </x:c>
      <x:c r="F2682" s="23" t="n">
        <x:f>D2682+E2682</x:f>
        <x:v>-9.650480067477053</x:v>
      </x:c>
      <x:c r="G2682" s="23" t="n">
        <x:f>AVERAGE($F$2742:$F$2766)</x:f>
        <x:v>-9.504497208366006</x:v>
      </x:c>
      <x:c r="H2682" s="24" t="n">
        <x:f>F2682-G2682</x:f>
        <x:v>-0.14598285911104725</x:v>
      </x:c>
    </x:row>
    <x:row r="2683">
      <x:c r="A2683" s="2" t="str">
        <x:v>LiA3-Ref</x:v>
      </x:c>
      <x:c r="B2683" s="4" t="str">
        <x:v>NaCl</x:v>
      </x:c>
      <x:c r="C2683" s="23" t="n">
        <x:v>1.258082</x:v>
      </x:c>
      <x:c r="D2683" s="23" t="n">
        <x:v>-16.96024</x:v>
      </x:c>
      <x:c r="E2683" s="23" t="n">
        <x:f>'Parameters'!$B$2*'Parameters'!$B$3*LN(4*PI()*C2683^2)</x:f>
        <x:v>7.412579602796013</x:v>
      </x:c>
      <x:c r="F2683" s="23" t="n">
        <x:f>D2683+E2683</x:f>
        <x:v>-9.547660397203986</x:v>
      </x:c>
      <x:c r="G2683" s="23" t="n">
        <x:f>AVERAGE($F$2742:$F$2766)</x:f>
        <x:v>-9.504497208366006</x:v>
      </x:c>
      <x:c r="H2683" s="24" t="n">
        <x:f>F2683-G2683</x:f>
        <x:v>-0.04316318883797976</x:v>
      </x:c>
    </x:row>
    <x:row r="2684">
      <x:c r="A2684" s="2" t="str">
        <x:v>LiA3-Ref</x:v>
      </x:c>
      <x:c r="B2684" s="4" t="str">
        <x:v>NaCl</x:v>
      </x:c>
      <x:c r="C2684" s="23" t="n">
        <x:v>1.270446</x:v>
      </x:c>
      <x:c r="D2684" s="23" t="n">
        <x:v>-17.08418</x:v>
      </x:c>
      <x:c r="E2684" s="23" t="n">
        <x:f>'Parameters'!$B$2*'Parameters'!$B$3*LN(4*PI()*C2684^2)</x:f>
        <x:v>7.4610664204199155</x:v>
      </x:c>
      <x:c r="F2684" s="23" t="n">
        <x:f>D2684+E2684</x:f>
        <x:v>-9.623113579580085</x:v>
      </x:c>
      <x:c r="G2684" s="23" t="n">
        <x:f>AVERAGE($F$2742:$F$2766)</x:f>
        <x:v>-9.504497208366006</x:v>
      </x:c>
      <x:c r="H2684" s="24" t="n">
        <x:f>F2684-G2684</x:f>
        <x:v>-0.11861637121407931</x:v>
      </x:c>
    </x:row>
    <x:row r="2685">
      <x:c r="A2685" s="2" t="str">
        <x:v>LiA3-Ref</x:v>
      </x:c>
      <x:c r="B2685" s="4" t="str">
        <x:v>NaCl</x:v>
      </x:c>
      <x:c r="C2685" s="23" t="n">
        <x:v>1.282811</x:v>
      </x:c>
      <x:c r="D2685" s="23" t="n">
        <x:v>-16.8822</x:v>
      </x:c>
      <x:c r="E2685" s="23" t="n">
        <x:f>'Parameters'!$B$2*'Parameters'!$B$3*LN(4*PI()*C2685^2)</x:f>
        <x:v>7.509087506122336</x:v>
      </x:c>
      <x:c r="F2685" s="23" t="n">
        <x:f>D2685+E2685</x:f>
        <x:v>-9.373112493877665</x:v>
      </x:c>
      <x:c r="G2685" s="23" t="n">
        <x:f>AVERAGE($F$2742:$F$2766)</x:f>
        <x:v>-9.504497208366006</x:v>
      </x:c>
      <x:c r="H2685" s="24" t="n">
        <x:f>F2685-G2685</x:f>
        <x:v>0.1313847144883411</x:v>
      </x:c>
    </x:row>
    <x:row r="2686">
      <x:c r="A2686" s="2" t="str">
        <x:v>LiA3-Ref</x:v>
      </x:c>
      <x:c r="B2686" s="4" t="str">
        <x:v>NaCl</x:v>
      </x:c>
      <x:c r="C2686" s="23" t="n">
        <x:v>1.295176</x:v>
      </x:c>
      <x:c r="D2686" s="23" t="n">
        <x:v>-17.06745</x:v>
      </x:c>
      <x:c r="E2686" s="23" t="n">
        <x:f>'Parameters'!$B$2*'Parameters'!$B$3*LN(4*PI()*C2686^2)</x:f>
        <x:v>7.556647930172305</x:v>
      </x:c>
      <x:c r="F2686" s="23" t="n">
        <x:f>D2686+E2686</x:f>
        <x:v>-9.510802069827696</x:v>
      </x:c>
      <x:c r="G2686" s="23" t="n">
        <x:f>AVERAGE($F$2742:$F$2766)</x:f>
        <x:v>-9.504497208366006</x:v>
      </x:c>
      <x:c r="H2686" s="24" t="n">
        <x:f>F2686-G2686</x:f>
        <x:v>-0.006304861461689626</x:v>
      </x:c>
    </x:row>
    <x:row r="2687">
      <x:c r="A2687" s="2" t="str">
        <x:v>LiA3-Ref</x:v>
      </x:c>
      <x:c r="B2687" s="4" t="str">
        <x:v>NaCl</x:v>
      </x:c>
      <x:c r="C2687" s="23" t="n">
        <x:v>1.307541</x:v>
      </x:c>
      <x:c r="D2687" s="23" t="n">
        <x:v>-17.09002</x:v>
      </x:c>
      <x:c r="E2687" s="23" t="n">
        <x:f>'Parameters'!$B$2*'Parameters'!$B$3*LN(4*PI()*C2687^2)</x:f>
        <x:v>7.603756446823379</x:v>
      </x:c>
      <x:c r="F2687" s="23" t="n">
        <x:f>D2687+E2687</x:f>
        <x:v>-9.48626355317662</x:v>
      </x:c>
      <x:c r="G2687" s="23" t="n">
        <x:f>AVERAGE($F$2742:$F$2766)</x:f>
        <x:v>-9.504497208366006</x:v>
      </x:c>
      <x:c r="H2687" s="24" t="n">
        <x:f>F2687-G2687</x:f>
        <x:v>0.0182336551893858</x:v>
      </x:c>
    </x:row>
    <x:row r="2688">
      <x:c r="A2688" s="2" t="str">
        <x:v>LiA3-Ref</x:v>
      </x:c>
      <x:c r="B2688" s="4" t="str">
        <x:v>NaCl</x:v>
      </x:c>
      <x:c r="C2688" s="23" t="n">
        <x:v>1.319906</x:v>
      </x:c>
      <x:c r="D2688" s="23" t="n">
        <x:v>-17.11914</x:v>
      </x:c>
      <x:c r="E2688" s="23" t="n">
        <x:f>'Parameters'!$B$2*'Parameters'!$B$3*LN(4*PI()*C2688^2)</x:f>
        <x:v>7.6504215631319195</x:v>
      </x:c>
      <x:c r="F2688" s="23" t="n">
        <x:f>D2688+E2688</x:f>
        <x:v>-9.468718436868082</x:v>
      </x:c>
      <x:c r="G2688" s="23" t="n">
        <x:f>AVERAGE($F$2742:$F$2766)</x:f>
        <x:v>-9.504497208366006</x:v>
      </x:c>
      <x:c r="H2688" s="24" t="n">
        <x:f>F2688-G2688</x:f>
        <x:v>0.035778771497923856</x:v>
      </x:c>
    </x:row>
    <x:row r="2689">
      <x:c r="A2689" s="2" t="str">
        <x:v>LiA3-Ref</x:v>
      </x:c>
      <x:c r="B2689" s="4" t="str">
        <x:v>NaCl</x:v>
      </x:c>
      <x:c r="C2689" s="23" t="n">
        <x:v>1.33227</x:v>
      </x:c>
      <x:c r="D2689" s="23" t="n">
        <x:v>-17.25195</x:v>
      </x:c>
      <x:c r="E2689" s="23" t="n">
        <x:f>'Parameters'!$B$2*'Parameters'!$B$3*LN(4*PI()*C2689^2)</x:f>
        <x:v>7.696647826775343</x:v>
      </x:c>
      <x:c r="F2689" s="23" t="n">
        <x:f>D2689+E2689</x:f>
        <x:v>-9.555302173224657</x:v>
      </x:c>
      <x:c r="G2689" s="23" t="n">
        <x:f>AVERAGE($F$2742:$F$2766)</x:f>
        <x:v>-9.504497208366006</x:v>
      </x:c>
      <x:c r="H2689" s="24" t="n">
        <x:f>F2689-G2689</x:f>
        <x:v>-0.05080496485865105</x:v>
      </x:c>
    </x:row>
    <x:row r="2690">
      <x:c r="A2690" s="2" t="str">
        <x:v>LiA3-Ref</x:v>
      </x:c>
      <x:c r="B2690" s="4" t="str">
        <x:v>NaCl</x:v>
      </x:c>
      <x:c r="C2690" s="23" t="n">
        <x:v>1.344635</x:v>
      </x:c>
      <x:c r="D2690" s="23" t="n">
        <x:v>-17.34545</x:v>
      </x:c>
      <x:c r="E2690" s="23" t="n">
        <x:f>'Parameters'!$B$2*'Parameters'!$B$3*LN(4*PI()*C2690^2)</x:f>
        <x:v>7.742450754675565</x:v>
      </x:c>
      <x:c r="F2690" s="23" t="n">
        <x:f>D2690+E2690</x:f>
        <x:v>-9.602999245324433</x:v>
      </x:c>
      <x:c r="G2690" s="23" t="n">
        <x:f>AVERAGE($F$2742:$F$2766)</x:f>
        <x:v>-9.504497208366006</x:v>
      </x:c>
      <x:c r="H2690" s="24" t="n">
        <x:f>F2690-G2690</x:f>
        <x:v>-0.0985020369584273</x:v>
      </x:c>
    </x:row>
    <x:row r="2691">
      <x:c r="A2691" s="2" t="str">
        <x:v>LiA3-Ref</x:v>
      </x:c>
      <x:c r="B2691" s="4" t="str">
        <x:v>NaCl</x:v>
      </x:c>
      <x:c r="C2691" s="23" t="n">
        <x:v>1.357</x:v>
      </x:c>
      <x:c r="D2691" s="23" t="n">
        <x:v>-17.45085</x:v>
      </x:c>
      <x:c r="E2691" s="23" t="n">
        <x:f>'Parameters'!$B$2*'Parameters'!$B$3*LN(4*PI()*C2691^2)</x:f>
        <x:v>7.787834409691527</x:v>
      </x:c>
      <x:c r="F2691" s="23" t="n">
        <x:f>D2691+E2691</x:f>
        <x:v>-9.663015590308472</x:v>
      </x:c>
      <x:c r="G2691" s="23" t="n">
        <x:f>AVERAGE($F$2742:$F$2766)</x:f>
        <x:v>-9.504497208366006</x:v>
      </x:c>
      <x:c r="H2691" s="24" t="n">
        <x:f>F2691-G2691</x:f>
        <x:v>-0.15851838194246604</x:v>
      </x:c>
    </x:row>
    <x:row r="2692">
      <x:c r="A2692" s="2" t="str">
        <x:v>LiA3-Ref</x:v>
      </x:c>
      <x:c r="B2692" s="4" t="str">
        <x:v>NaCl</x:v>
      </x:c>
      <x:c r="C2692" s="23" t="n">
        <x:v>1.369365</x:v>
      </x:c>
      <x:c r="D2692" s="23" t="n">
        <x:v>-17.56301</x:v>
      </x:c>
      <x:c r="E2692" s="23" t="n">
        <x:f>'Parameters'!$B$2*'Parameters'!$B$3*LN(4*PI()*C2692^2)</x:f>
        <x:v>7.832806398166231</x:v>
      </x:c>
      <x:c r="F2692" s="23" t="n">
        <x:f>D2692+E2692</x:f>
        <x:v>-9.730203601833768</x:v>
      </x:c>
      <x:c r="G2692" s="23" t="n">
        <x:f>AVERAGE($F$2742:$F$2766)</x:f>
        <x:v>-9.504497208366006</x:v>
      </x:c>
      <x:c r="H2692" s="24" t="n">
        <x:f>F2692-G2692</x:f>
        <x:v>-0.2257063934677621</x:v>
      </x:c>
    </x:row>
    <x:row r="2693">
      <x:c r="A2693" s="2" t="str">
        <x:v>LiA3-Ref</x:v>
      </x:c>
      <x:c r="B2693" s="4" t="str">
        <x:v>NaCl</x:v>
      </x:c>
      <x:c r="C2693" s="23" t="n">
        <x:v>1.38173</x:v>
      </x:c>
      <x:c r="D2693" s="23" t="n">
        <x:v>-17.70378</x:v>
      </x:c>
      <x:c r="E2693" s="23" t="n">
        <x:f>'Parameters'!$B$2*'Parameters'!$B$3*LN(4*PI()*C2693^2)</x:f>
        <x:v>7.877374121313452</x:v>
      </x:c>
      <x:c r="F2693" s="23" t="n">
        <x:f>D2693+E2693</x:f>
        <x:v>-9.826405878686547</x:v>
      </x:c>
      <x:c r="G2693" s="23" t="n">
        <x:f>AVERAGE($F$2742:$F$2766)</x:f>
        <x:v>-9.504497208366006</x:v>
      </x:c>
      <x:c r="H2693" s="24" t="n">
        <x:f>F2693-G2693</x:f>
        <x:v>-0.32190867032054093</x:v>
      </x:c>
    </x:row>
    <x:row r="2694">
      <x:c r="A2694" s="2" t="str">
        <x:v>LiA3-Ref</x:v>
      </x:c>
      <x:c r="B2694" s="4" t="str">
        <x:v>NaCl</x:v>
      </x:c>
      <x:c r="C2694" s="23" t="n">
        <x:v>1.394094</x:v>
      </x:c>
      <x:c r="D2694" s="23" t="n">
        <x:v>-17.56836</x:v>
      </x:c>
      <x:c r="E2694" s="23" t="n">
        <x:f>'Parameters'!$B$2*'Parameters'!$B$3*LN(4*PI()*C2694^2)</x:f>
        <x:v>7.921541226159308</x:v>
      </x:c>
      <x:c r="F2694" s="23" t="n">
        <x:f>D2694+E2694</x:f>
        <x:v>-9.64681877384069</x:v>
      </x:c>
      <x:c r="G2694" s="23" t="n">
        <x:f>AVERAGE($F$2742:$F$2766)</x:f>
        <x:v>-9.504497208366006</x:v>
      </x:c>
      <x:c r="H2694" s="24" t="n">
        <x:f>F2694-G2694</x:f>
        <x:v>-0.14232156547468477</x:v>
      </x:c>
    </x:row>
    <x:row r="2695">
      <x:c r="A2695" s="2" t="str">
        <x:v>LiA3-Ref</x:v>
      </x:c>
      <x:c r="B2695" s="4" t="str">
        <x:v>NaCl</x:v>
      </x:c>
      <x:c r="C2695" s="23" t="n">
        <x:v>1.406459</x:v>
      </x:c>
      <x:c r="D2695" s="23" t="n">
        <x:v>-17.71237</x:v>
      </x:c>
      <x:c r="E2695" s="23" t="n">
        <x:f>'Parameters'!$B$2*'Parameters'!$B$3*LN(4*PI()*C2695^2)</x:f>
        <x:v>7.9653218692707055</x:v>
      </x:c>
      <x:c r="F2695" s="23" t="n">
        <x:f>D2695+E2695</x:f>
        <x:v>-9.747048130729294</x:v>
      </x:c>
      <x:c r="G2695" s="23" t="n">
        <x:f>AVERAGE($F$2742:$F$2766)</x:f>
        <x:v>-9.504497208366006</x:v>
      </x:c>
      <x:c r="H2695" s="24" t="n">
        <x:f>F2695-G2695</x:f>
        <x:v>-0.24255092236328757</x:v>
      </x:c>
    </x:row>
    <x:row r="2696">
      <x:c r="A2696" s="2" t="str">
        <x:v>LiA3-Ref</x:v>
      </x:c>
      <x:c r="B2696" s="4" t="str">
        <x:v>NaCl</x:v>
      </x:c>
      <x:c r="C2696" s="23" t="n">
        <x:v>1.418824</x:v>
      </x:c>
      <x:c r="D2696" s="23" t="n">
        <x:v>-17.7817</x:v>
      </x:c>
      <x:c r="E2696" s="23" t="n">
        <x:f>'Parameters'!$B$2*'Parameters'!$B$3*LN(4*PI()*C2696^2)</x:f>
        <x:v>8.008719290881508</x:v>
      </x:c>
      <x:c r="F2696" s="23" t="n">
        <x:f>D2696+E2696</x:f>
        <x:v>-9.772980709118492</x:v>
      </x:c>
      <x:c r="G2696" s="23" t="n">
        <x:f>AVERAGE($F$2742:$F$2766)</x:f>
        <x:v>-9.504497208366006</x:v>
      </x:c>
      <x:c r="H2696" s="24" t="n">
        <x:f>F2696-G2696</x:f>
        <x:v>-0.2684835007524864</x:v>
      </x:c>
    </x:row>
    <x:row r="2697">
      <x:c r="A2697" s="2" t="str">
        <x:v>LiA3-Ref</x:v>
      </x:c>
      <x:c r="B2697" s="4" t="str">
        <x:v>NaCl</x:v>
      </x:c>
      <x:c r="C2697" s="23" t="n">
        <x:v>1.431189</x:v>
      </x:c>
      <x:c r="D2697" s="23" t="n">
        <x:v>-17.74084</x:v>
      </x:c>
      <x:c r="E2697" s="23" t="n">
        <x:f>'Parameters'!$B$2*'Parameters'!$B$3*LN(4*PI()*C2697^2)</x:f>
        <x:v>8.051740141661499</x:v>
      </x:c>
      <x:c r="F2697" s="23" t="n">
        <x:f>D2697+E2697</x:f>
        <x:v>-9.6890998583385</x:v>
      </x:c>
      <x:c r="G2697" s="23" t="n">
        <x:f>AVERAGE($F$2742:$F$2766)</x:f>
        <x:v>-9.504497208366006</x:v>
      </x:c>
      <x:c r="H2697" s="24" t="n">
        <x:f>F2697-G2697</x:f>
        <x:v>-0.18460264997249354</x:v>
      </x:c>
    </x:row>
    <x:row r="2698">
      <x:c r="A2698" s="2" t="str">
        <x:v>LiA3-Ref</x:v>
      </x:c>
      <x:c r="B2698" s="4" t="str">
        <x:v>NaCl</x:v>
      </x:c>
      <x:c r="C2698" s="23" t="n">
        <x:v>1.443554</x:v>
      </x:c>
      <x:c r="D2698" s="23" t="n">
        <x:v>-17.67455</x:v>
      </x:c>
      <x:c r="E2698" s="23" t="n">
        <x:f>'Parameters'!$B$2*'Parameters'!$B$3*LN(4*PI()*C2698^2)</x:f>
        <x:v>8.09439090063885</x:v>
      </x:c>
      <x:c r="F2698" s="23" t="n">
        <x:f>D2698+E2698</x:f>
        <x:v>-9.58015909936115</x:v>
      </x:c>
      <x:c r="G2698" s="23" t="n">
        <x:f>AVERAGE($F$2742:$F$2766)</x:f>
        <x:v>-9.504497208366006</x:v>
      </x:c>
      <x:c r="H2698" s="24" t="n">
        <x:f>F2698-G2698</x:f>
        <x:v>-0.07566189099514453</x:v>
      </x:c>
    </x:row>
    <x:row r="2699">
      <x:c r="A2699" s="2" t="str">
        <x:v>LiA3-Ref</x:v>
      </x:c>
      <x:c r="B2699" s="4" t="str">
        <x:v>NaCl</x:v>
      </x:c>
      <x:c r="C2699" s="23" t="n">
        <x:v>1.455918</x:v>
      </x:c>
      <x:c r="D2699" s="23" t="n">
        <x:v>-17.7583</x:v>
      </x:c>
      <x:c r="E2699" s="23" t="n">
        <x:f>'Parameters'!$B$2*'Parameters'!$B$3*LN(4*PI()*C2699^2)</x:f>
        <x:v>8.136674475704753</x:v>
      </x:c>
      <x:c r="F2699" s="23" t="n">
        <x:f>D2699+E2699</x:f>
        <x:v>-9.621625524295245</x:v>
      </x:c>
      <x:c r="G2699" s="23" t="n">
        <x:f>AVERAGE($F$2742:$F$2766)</x:f>
        <x:v>-9.504497208366006</x:v>
      </x:c>
      <x:c r="H2699" s="24" t="n">
        <x:f>F2699-G2699</x:f>
        <x:v>-0.11712831592923933</x:v>
      </x:c>
    </x:row>
    <x:row r="2700">
      <x:c r="A2700" s="2" t="str">
        <x:v>LiA3-Ref</x:v>
      </x:c>
      <x:c r="B2700" s="4" t="str">
        <x:v>NaCl</x:v>
      </x:c>
      <x:c r="C2700" s="23" t="n">
        <x:v>1.468283</x:v>
      </x:c>
      <x:c r="D2700" s="23" t="n">
        <x:v>-17.94639</x:v>
      </x:c>
      <x:c r="E2700" s="23" t="n">
        <x:f>'Parameters'!$B$2*'Parameters'!$B$3*LN(4*PI()*C2700^2)</x:f>
        <x:v>8.178603859305083</x:v>
      </x:c>
      <x:c r="F2700" s="23" t="n">
        <x:f>D2700+E2700</x:f>
        <x:v>-9.767786140694918</x:v>
      </x:c>
      <x:c r="G2700" s="23" t="n">
        <x:f>AVERAGE($F$2742:$F$2766)</x:f>
        <x:v>-9.504497208366006</x:v>
      </x:c>
      <x:c r="H2700" s="24" t="n">
        <x:f>F2700-G2700</x:f>
        <x:v>-0.26328893232891204</x:v>
      </x:c>
    </x:row>
    <x:row r="2701">
      <x:c r="A2701" s="2" t="str">
        <x:v>LiA3-Ref</x:v>
      </x:c>
      <x:c r="B2701" s="4" t="str">
        <x:v>NaCl</x:v>
      </x:c>
      <x:c r="C2701" s="23" t="n">
        <x:v>1.480648</x:v>
      </x:c>
      <x:c r="D2701" s="23" t="n">
        <x:v>-17.92799</x:v>
      </x:c>
      <x:c r="E2701" s="23" t="n">
        <x:f>'Parameters'!$B$2*'Parameters'!$B$3*LN(4*PI()*C2701^2)</x:f>
        <x:v>8.22018161519294</x:v>
      </x:c>
      <x:c r="F2701" s="23" t="n">
        <x:f>D2701+E2701</x:f>
        <x:v>-9.70780838480706</x:v>
      </x:c>
      <x:c r="G2701" s="23" t="n">
        <x:f>AVERAGE($F$2742:$F$2766)</x:f>
        <x:v>-9.504497208366006</x:v>
      </x:c>
      <x:c r="H2701" s="24" t="n">
        <x:f>F2701-G2701</x:f>
        <x:v>-0.2033111764410549</x:v>
      </x:c>
    </x:row>
    <x:row r="2702">
      <x:c r="A2702" s="2" t="str">
        <x:v>LiA3-Ref</x:v>
      </x:c>
      <x:c r="B2702" s="4" t="str">
        <x:v>NaCl</x:v>
      </x:c>
      <x:c r="C2702" s="23" t="n">
        <x:v>1.493013</x:v>
      </x:c>
      <x:c r="D2702" s="23" t="n">
        <x:v>-17.84776</x:v>
      </x:c>
      <x:c r="E2702" s="23" t="n">
        <x:f>'Parameters'!$B$2*'Parameters'!$B$3*LN(4*PI()*C2702^2)</x:f>
        <x:v>8.26141359198722</x:v>
      </x:c>
      <x:c r="F2702" s="23" t="n">
        <x:f>D2702+E2702</x:f>
        <x:v>-9.586346408012782</x:v>
      </x:c>
      <x:c r="G2702" s="23" t="n">
        <x:f>AVERAGE($F$2742:$F$2766)</x:f>
        <x:v>-9.504497208366006</x:v>
      </x:c>
      <x:c r="H2702" s="24" t="n">
        <x:f>F2702-G2702</x:f>
        <x:v>-0.08184919964677562</x:v>
      </x:c>
    </x:row>
    <x:row r="2703">
      <x:c r="A2703" s="2" t="str">
        <x:v>LiA3-Ref</x:v>
      </x:c>
      <x:c r="B2703" s="4" t="str">
        <x:v>NaCl</x:v>
      </x:c>
      <x:c r="C2703" s="23" t="n">
        <x:v>1.505378</x:v>
      </x:c>
      <x:c r="D2703" s="23" t="n">
        <x:v>-17.95327</x:v>
      </x:c>
      <x:c r="E2703" s="23" t="n">
        <x:f>'Parameters'!$B$2*'Parameters'!$B$3*LN(4*PI()*C2703^2)</x:f>
        <x:v>8.30230549358953</x:v>
      </x:c>
      <x:c r="F2703" s="23" t="n">
        <x:f>D2703+E2703</x:f>
        <x:v>-9.65096450641047</x:v>
      </x:c>
      <x:c r="G2703" s="23" t="n">
        <x:f>AVERAGE($F$2742:$F$2766)</x:f>
        <x:v>-9.504497208366006</x:v>
      </x:c>
      <x:c r="H2703" s="24" t="n">
        <x:f>F2703-G2703</x:f>
        <x:v>-0.14646729804446323</x:v>
      </x:c>
    </x:row>
    <x:row r="2704">
      <x:c r="A2704" s="2" t="str">
        <x:v>LiA3-Ref</x:v>
      </x:c>
      <x:c r="B2704" s="4" t="str">
        <x:v>NaCl</x:v>
      </x:c>
      <x:c r="C2704" s="23" t="n">
        <x:v>1.517742</x:v>
      </x:c>
      <x:c r="D2704" s="23" t="n">
        <x:v>-18.04922</x:v>
      </x:c>
      <x:c r="E2704" s="23" t="n">
        <x:f>'Parameters'!$B$2*'Parameters'!$B$3*LN(4*PI()*C2704^2)</x:f>
        <x:v>8.342859617282484</x:v>
      </x:c>
      <x:c r="F2704" s="23" t="n">
        <x:f>D2704+E2704</x:f>
        <x:v>-9.706360382717515</x:v>
      </x:c>
      <x:c r="G2704" s="23" t="n">
        <x:f>AVERAGE($F$2742:$F$2766)</x:f>
        <x:v>-9.504497208366006</x:v>
      </x:c>
      <x:c r="H2704" s="24" t="n">
        <x:f>F2704-G2704</x:f>
        <x:v>-0.2018631743515087</x:v>
      </x:c>
    </x:row>
    <x:row r="2705">
      <x:c r="A2705" s="2" t="str">
        <x:v>LiA3-Ref</x:v>
      </x:c>
      <x:c r="B2705" s="4" t="str">
        <x:v>NaCl</x:v>
      </x:c>
      <x:c r="C2705" s="23" t="n">
        <x:v>1.530107</x:v>
      </x:c>
      <x:c r="D2705" s="23" t="n">
        <x:v>-17.99409</x:v>
      </x:c>
      <x:c r="E2705" s="23" t="n">
        <x:f>'Parameters'!$B$2*'Parameters'!$B$3*LN(4*PI()*C2705^2)</x:f>
        <x:v>8.383087951219812</x:v>
      </x:c>
      <x:c r="F2705" s="23" t="n">
        <x:f>D2705+E2705</x:f>
        <x:v>-9.611002048780188</x:v>
      </x:c>
      <x:c r="G2705" s="23" t="n">
        <x:f>AVERAGE($F$2742:$F$2766)</x:f>
        <x:v>-9.504497208366006</x:v>
      </x:c>
      <x:c r="H2705" s="24" t="n">
        <x:f>F2705-G2705</x:f>
        <x:v>-0.10650484041418196</x:v>
      </x:c>
    </x:row>
    <x:row r="2706">
      <x:c r="A2706" s="2" t="str">
        <x:v>LiA3-Ref</x:v>
      </x:c>
      <x:c r="B2706" s="4" t="str">
        <x:v>NaCl</x:v>
      </x:c>
      <x:c r="C2706" s="23" t="n">
        <x:v>1.542472</x:v>
      </x:c>
      <x:c r="D2706" s="23" t="n">
        <x:v>-18.19772</x:v>
      </x:c>
      <x:c r="E2706" s="23" t="n">
        <x:f>'Parameters'!$B$2*'Parameters'!$B$3*LN(4*PI()*C2706^2)</x:f>
        <x:v>8.422992499346243</x:v>
      </x:c>
      <x:c r="F2706" s="23" t="n">
        <x:f>D2706+E2706</x:f>
        <x:v>-9.774727500653757</x:v>
      </x:c>
      <x:c r="G2706" s="23" t="n">
        <x:f>AVERAGE($F$2742:$F$2766)</x:f>
        <x:v>-9.504497208366006</x:v>
      </x:c>
      <x:c r="H2706" s="24" t="n">
        <x:f>F2706-G2706</x:f>
        <x:v>-0.2702302922877511</x:v>
      </x:c>
    </x:row>
    <x:row r="2707">
      <x:c r="A2707" s="2" t="str">
        <x:v>LiA3-Ref</x:v>
      </x:c>
      <x:c r="B2707" s="4" t="str">
        <x:v>NaCl</x:v>
      </x:c>
      <x:c r="C2707" s="23" t="n">
        <x:v>1.554837</x:v>
      </x:c>
      <x:c r="D2707" s="23" t="n">
        <x:v>-18.22608</x:v>
      </x:c>
      <x:c r="E2707" s="23" t="n">
        <x:f>'Parameters'!$B$2*'Parameters'!$B$3*LN(4*PI()*C2707^2)</x:f>
        <x:v>8.462578432183516</x:v>
      </x:c>
      <x:c r="F2707" s="23" t="n">
        <x:f>D2707+E2707</x:f>
        <x:v>-9.763501567816483</x:v>
      </x:c>
      <x:c r="G2707" s="23" t="n">
        <x:f>AVERAGE($F$2742:$F$2766)</x:f>
        <x:v>-9.504497208366006</x:v>
      </x:c>
      <x:c r="H2707" s="24" t="n">
        <x:f>F2707-G2707</x:f>
        <x:v>-0.2590043594504774</x:v>
      </x:c>
    </x:row>
    <x:row r="2708">
      <x:c r="A2708" s="2" t="str">
        <x:v>LiA3-Ref</x:v>
      </x:c>
      <x:c r="B2708" s="4" t="str">
        <x:v>NaCl</x:v>
      </x:c>
      <x:c r="C2708" s="23" t="n">
        <x:v>1.567202</x:v>
      </x:c>
      <x:c r="D2708" s="23" t="n">
        <x:v>-18.28079</x:v>
      </x:c>
      <x:c r="E2708" s="23" t="n">
        <x:f>'Parameters'!$B$2*'Parameters'!$B$3*LN(4*PI()*C2708^2)</x:f>
        <x:v>8.50185079738202</x:v>
      </x:c>
      <x:c r="F2708" s="23" t="n">
        <x:f>D2708+E2708</x:f>
        <x:v>-9.77893920261798</x:v>
      </x:c>
      <x:c r="G2708" s="23" t="n">
        <x:f>AVERAGE($F$2742:$F$2766)</x:f>
        <x:v>-9.504497208366006</x:v>
      </x:c>
      <x:c r="H2708" s="24" t="n">
        <x:f>F2708-G2708</x:f>
        <x:v>-0.27444199425197446</x:v>
      </x:c>
    </x:row>
    <x:row r="2709">
      <x:c r="A2709" s="2" t="str">
        <x:v>LiA3-Ref</x:v>
      </x:c>
      <x:c r="B2709" s="4" t="str">
        <x:v>NaCl</x:v>
      </x:c>
      <x:c r="C2709" s="23" t="n">
        <x:v>1.579567</x:v>
      </x:c>
      <x:c r="D2709" s="23" t="n">
        <x:v>-18.33273</x:v>
      </x:c>
      <x:c r="E2709" s="23" t="n">
        <x:f>'Parameters'!$B$2*'Parameters'!$B$3*LN(4*PI()*C2709^2)</x:f>
        <x:v>8.540814523583416</x:v>
      </x:c>
      <x:c r="F2709" s="23" t="n">
        <x:f>D2709+E2709</x:f>
        <x:v>-9.791915476416586</x:v>
      </x:c>
      <x:c r="G2709" s="23" t="n">
        <x:f>AVERAGE($F$2742:$F$2766)</x:f>
        <x:v>-9.504497208366006</x:v>
      </x:c>
      <x:c r="H2709" s="24" t="n">
        <x:f>F2709-G2709</x:f>
        <x:v>-0.2874182680505797</x:v>
      </x:c>
    </x:row>
    <x:row r="2710">
      <x:c r="A2710" s="2" t="str">
        <x:v>LiA3-Ref</x:v>
      </x:c>
      <x:c r="B2710" s="4" t="str">
        <x:v>NaCl</x:v>
      </x:c>
      <x:c r="C2710" s="23" t="n">
        <x:v>1.591931</x:v>
      </x:c>
      <x:c r="D2710" s="23" t="n">
        <x:v>-18.35097</x:v>
      </x:c>
      <x:c r="E2710" s="23" t="n">
        <x:f>'Parameters'!$B$2*'Parameters'!$B$3*LN(4*PI()*C2710^2)</x:f>
        <x:v>8.579471309731016</x:v>
      </x:c>
      <x:c r="F2710" s="23" t="n">
        <x:f>D2710+E2710</x:f>
        <x:v>-9.771498690268984</x:v>
      </x:c>
      <x:c r="G2710" s="23" t="n">
        <x:f>AVERAGE($F$2742:$F$2766)</x:f>
        <x:v>-9.504497208366006</x:v>
      </x:c>
      <x:c r="H2710" s="24" t="n">
        <x:f>F2710-G2710</x:f>
        <x:v>-0.26700148190297845</x:v>
      </x:c>
    </x:row>
    <x:row r="2711">
      <x:c r="A2711" s="2" t="str">
        <x:v>LiA3-Ref</x:v>
      </x:c>
      <x:c r="B2711" s="4" t="str">
        <x:v>NaCl</x:v>
      </x:c>
      <x:c r="C2711" s="23" t="n">
        <x:v>1.604296</x:v>
      </x:c>
      <x:c r="D2711" s="23" t="n">
        <x:v>-18.2517</x:v>
      </x:c>
      <x:c r="E2711" s="23" t="n">
        <x:f>'Parameters'!$B$2*'Parameters'!$B$3*LN(4*PI()*C2711^2)</x:f>
        <x:v>8.617832110248742</x:v>
      </x:c>
      <x:c r="F2711" s="23" t="n">
        <x:f>D2711+E2711</x:f>
        <x:v>-9.633867889751258</x:v>
      </x:c>
      <x:c r="G2711" s="23" t="n">
        <x:f>AVERAGE($F$2742:$F$2766)</x:f>
        <x:v>-9.504497208366006</x:v>
      </x:c>
      <x:c r="H2711" s="24" t="n">
        <x:f>F2711-G2711</x:f>
        <x:v>-0.12937068138525198</x:v>
      </x:c>
    </x:row>
    <x:row r="2712">
      <x:c r="A2712" s="2" t="str">
        <x:v>LiA3-Ref</x:v>
      </x:c>
      <x:c r="B2712" s="4" t="str">
        <x:v>NaCl</x:v>
      </x:c>
      <x:c r="C2712" s="23" t="n">
        <x:v>1.616661</x:v>
      </x:c>
      <x:c r="D2712" s="23" t="n">
        <x:v>-18.49723</x:v>
      </x:c>
      <x:c r="E2712" s="23" t="n">
        <x:f>'Parameters'!$B$2*'Parameters'!$B$3*LN(4*PI()*C2712^2)</x:f>
        <x:v>8.655898379683476</x:v>
      </x:c>
      <x:c r="F2712" s="23" t="n">
        <x:f>D2712+E2712</x:f>
        <x:v>-9.841331620316522</x:v>
      </x:c>
      <x:c r="G2712" s="23" t="n">
        <x:f>AVERAGE($F$2742:$F$2766)</x:f>
        <x:v>-9.504497208366006</x:v>
      </x:c>
      <x:c r="H2712" s="24" t="n">
        <x:f>F2712-G2712</x:f>
        <x:v>-0.336834411950516</x:v>
      </x:c>
    </x:row>
    <x:row r="2713">
      <x:c r="A2713" s="2" t="str">
        <x:v>LiA3-Ref</x:v>
      </x:c>
      <x:c r="B2713" s="4" t="str">
        <x:v>NaCl</x:v>
      </x:c>
      <x:c r="C2713" s="23" t="n">
        <x:v>1.629026</x:v>
      </x:c>
      <x:c r="D2713" s="23" t="n">
        <x:v>-18.36475</x:v>
      </x:c>
      <x:c r="E2713" s="23" t="n">
        <x:f>'Parameters'!$B$2*'Parameters'!$B$3*LN(4*PI()*C2713^2)</x:f>
        <x:v>8.693674606367098</x:v>
      </x:c>
      <x:c r="F2713" s="23" t="n">
        <x:f>D2713+E2713</x:f>
        <x:v>-9.671075393632902</x:v>
      </x:c>
      <x:c r="G2713" s="23" t="n">
        <x:f>AVERAGE($F$2742:$F$2766)</x:f>
        <x:v>-9.504497208366006</x:v>
      </x:c>
      <x:c r="H2713" s="24" t="n">
        <x:f>F2713-G2713</x:f>
        <x:v>-0.16657818526689638</x:v>
      </x:c>
    </x:row>
    <x:row r="2714">
      <x:c r="A2714" s="2" t="str">
        <x:v>LiA3-Ref</x:v>
      </x:c>
      <x:c r="B2714" s="4" t="str">
        <x:v>NaCl</x:v>
      </x:c>
      <x:c r="C2714" s="23" t="n">
        <x:v>1.641391</x:v>
      </x:c>
      <x:c r="D2714" s="23" t="n">
        <x:v>-18.44764</x:v>
      </x:c>
      <x:c r="E2714" s="23" t="n">
        <x:f>'Parameters'!$B$2*'Parameters'!$B$3*LN(4*PI()*C2714^2)</x:f>
        <x:v>8.731165176810904</x:v>
      </x:c>
      <x:c r="F2714" s="23" t="n">
        <x:f>D2714+E2714</x:f>
        <x:v>-9.716474823189095</x:v>
      </x:c>
      <x:c r="G2714" s="23" t="n">
        <x:f>AVERAGE($F$2742:$F$2766)</x:f>
        <x:v>-9.504497208366006</x:v>
      </x:c>
      <x:c r="H2714" s="24" t="n">
        <x:f>F2714-G2714</x:f>
        <x:v>-0.2119776148230894</x:v>
      </x:c>
    </x:row>
    <x:row r="2715">
      <x:c r="A2715" s="2" t="str">
        <x:v>LiA3-Ref</x:v>
      </x:c>
      <x:c r="B2715" s="4" t="str">
        <x:v>NaCl</x:v>
      </x:c>
      <x:c r="C2715" s="23" t="n">
        <x:v>1.653755</x:v>
      </x:c>
      <x:c r="D2715" s="23" t="n">
        <x:v>-18.6126</x:v>
      </x:c>
      <x:c r="E2715" s="23" t="n">
        <x:f>'Parameters'!$B$2*'Parameters'!$B$3*LN(4*PI()*C2715^2)</x:f>
        <x:v>8.76837138078949</x:v>
      </x:c>
      <x:c r="F2715" s="23" t="n">
        <x:f>D2715+E2715</x:f>
        <x:v>-9.84422861921051</x:v>
      </x:c>
      <x:c r="G2715" s="23" t="n">
        <x:f>AVERAGE($F$2742:$F$2766)</x:f>
        <x:v>-9.504497208366006</x:v>
      </x:c>
      <x:c r="H2715" s="24" t="n">
        <x:f>F2715-G2715</x:f>
        <x:v>-0.33973141084450376</x:v>
      </x:c>
    </x:row>
    <x:row r="2716">
      <x:c r="A2716" s="2" t="str">
        <x:v>LiA3-Ref</x:v>
      </x:c>
      <x:c r="B2716" s="4" t="str">
        <x:v>NaCl</x:v>
      </x:c>
      <x:c r="C2716" s="23" t="n">
        <x:v>1.66612</x:v>
      </x:c>
      <x:c r="D2716" s="23" t="n">
        <x:v>-18.49848</x:v>
      </x:c>
      <x:c r="E2716" s="23" t="n">
        <x:f>'Parameters'!$B$2*'Parameters'!$B$3*LN(4*PI()*C2716^2)</x:f>
        <x:v>8.805303428424207</x:v>
      </x:c>
      <x:c r="F2716" s="23" t="n">
        <x:f>D2716+E2716</x:f>
        <x:v>-9.693176571575794</x:v>
      </x:c>
      <x:c r="G2716" s="23" t="n">
        <x:f>AVERAGE($F$2742:$F$2766)</x:f>
        <x:v>-9.504497208366006</x:v>
      </x:c>
      <x:c r="H2716" s="24" t="n">
        <x:f>F2716-G2716</x:f>
        <x:v>-0.18867936320978806</x:v>
      </x:c>
    </x:row>
    <x:row r="2717">
      <x:c r="A2717" s="2" t="str">
        <x:v>LiA3-Ref</x:v>
      </x:c>
      <x:c r="B2717" s="4" t="str">
        <x:v>NaCl</x:v>
      </x:c>
      <x:c r="C2717" s="23" t="n">
        <x:v>1.678485</x:v>
      </x:c>
      <x:c r="D2717" s="23" t="n">
        <x:v>-18.50368</x:v>
      </x:c>
      <x:c r="E2717" s="23" t="n">
        <x:f>'Parameters'!$B$2*'Parameters'!$B$3*LN(4*PI()*C2717^2)</x:f>
        <x:v>8.841962398104652</x:v>
      </x:c>
      <x:c r="F2717" s="23" t="n">
        <x:f>D2717+E2717</x:f>
        <x:v>-9.661717601895347</x:v>
      </x:c>
      <x:c r="G2717" s="23" t="n">
        <x:f>AVERAGE($F$2742:$F$2766)</x:f>
        <x:v>-9.504497208366006</x:v>
      </x:c>
      <x:c r="H2717" s="24" t="n">
        <x:f>F2717-G2717</x:f>
        <x:v>-0.15722039352934125</x:v>
      </x:c>
    </x:row>
    <x:row r="2718">
      <x:c r="A2718" s="2" t="str">
        <x:v>LiA3-Ref</x:v>
      </x:c>
      <x:c r="B2718" s="4" t="str">
        <x:v>NaCl</x:v>
      </x:c>
      <x:c r="C2718" s="23" t="n">
        <x:v>1.69085</x:v>
      </x:c>
      <x:c r="D2718" s="23" t="n">
        <x:v>-18.60639</x:v>
      </x:c>
      <x:c r="E2718" s="23" t="n">
        <x:f>'Parameters'!$B$2*'Parameters'!$B$3*LN(4*PI()*C2718^2)</x:f>
        <x:v>8.878352298520637</x:v>
      </x:c>
      <x:c r="F2718" s="23" t="n">
        <x:f>D2718+E2718</x:f>
        <x:v>-9.728037701479364</x:v>
      </x:c>
      <x:c r="G2718" s="23" t="n">
        <x:f>AVERAGE($F$2742:$F$2766)</x:f>
        <x:v>-9.504497208366006</x:v>
      </x:c>
      <x:c r="H2718" s="24" t="n">
        <x:f>F2718-G2718</x:f>
        <x:v>-0.223540493113358</x:v>
      </x:c>
    </x:row>
    <x:row r="2719">
      <x:c r="A2719" s="2" t="str">
        <x:v>LiA3-Ref</x:v>
      </x:c>
      <x:c r="B2719" s="4" t="str">
        <x:v>NaCl</x:v>
      </x:c>
      <x:c r="C2719" s="23" t="n">
        <x:v>1.703215</x:v>
      </x:c>
      <x:c r="D2719" s="23" t="n">
        <x:v>-18.55805</x:v>
      </x:c>
      <x:c r="E2719" s="23" t="n">
        <x:f>'Parameters'!$B$2*'Parameters'!$B$3*LN(4*PI()*C2719^2)</x:f>
        <x:v>8.914477050735474</x:v>
      </x:c>
      <x:c r="F2719" s="23" t="n">
        <x:f>D2719+E2719</x:f>
        <x:v>-9.643572949264527</x:v>
      </x:c>
      <x:c r="G2719" s="23" t="n">
        <x:f>AVERAGE($F$2742:$F$2766)</x:f>
        <x:v>-9.504497208366006</x:v>
      </x:c>
      <x:c r="H2719" s="24" t="n">
        <x:f>F2719-G2719</x:f>
        <x:v>-0.13907574089852126</x:v>
      </x:c>
    </x:row>
    <x:row r="2720">
      <x:c r="A2720" s="2" t="str">
        <x:v>LiA3-Ref</x:v>
      </x:c>
      <x:c r="B2720" s="4" t="str">
        <x:v>NaCl</x:v>
      </x:c>
      <x:c r="C2720" s="23" t="n">
        <x:v>1.715579</x:v>
      </x:c>
      <x:c r="D2720" s="23" t="n">
        <x:v>-18.58665</x:v>
      </x:c>
      <x:c r="E2720" s="23" t="n">
        <x:f>'Parameters'!$B$2*'Parameters'!$B$3*LN(4*PI()*C2720^2)</x:f>
        <x:v>8.950337600785964</x:v>
      </x:c>
      <x:c r="F2720" s="23" t="n">
        <x:f>D2720+E2720</x:f>
        <x:v>-9.636312399214034</x:v>
      </x:c>
      <x:c r="G2720" s="23" t="n">
        <x:f>AVERAGE($F$2742:$F$2766)</x:f>
        <x:v>-9.504497208366006</x:v>
      </x:c>
      <x:c r="H2720" s="24" t="n">
        <x:f>F2720-G2720</x:f>
        <x:v>-0.1318151908480285</x:v>
      </x:c>
    </x:row>
    <x:row r="2721">
      <x:c r="A2721" s="2" t="str">
        <x:v>LiA3-Ref</x:v>
      </x:c>
      <x:c r="B2721" s="4" t="str">
        <x:v>NaCl</x:v>
      </x:c>
      <x:c r="C2721" s="23" t="n">
        <x:v>1.727944</x:v>
      </x:c>
      <x:c r="D2721" s="23" t="n">
        <x:v>-18.68795</x:v>
      </x:c>
      <x:c r="E2721" s="23" t="n">
        <x:f>'Parameters'!$B$2*'Parameters'!$B$3*LN(4*PI()*C2721^2)</x:f>
        <x:v>8.985943502548801</x:v>
      </x:c>
      <x:c r="F2721" s="23" t="n">
        <x:f>D2721+E2721</x:f>
        <x:v>-9.7020064974512</x:v>
      </x:c>
      <x:c r="G2721" s="23" t="n">
        <x:f>AVERAGE($F$2742:$F$2766)</x:f>
        <x:v>-9.504497208366006</x:v>
      </x:c>
      <x:c r="H2721" s="24" t="n">
        <x:f>F2721-G2721</x:f>
        <x:v>-0.19750928908519327</x:v>
      </x:c>
    </x:row>
    <x:row r="2722">
      <x:c r="A2722" s="2" t="str">
        <x:v>LiA3-Ref</x:v>
      </x:c>
      <x:c r="B2722" s="4" t="str">
        <x:v>NaCl</x:v>
      </x:c>
      <x:c r="C2722" s="23" t="n">
        <x:v>1.740309</x:v>
      </x:c>
      <x:c r="D2722" s="23" t="n">
        <x:v>-18.7022</x:v>
      </x:c>
      <x:c r="E2722" s="23" t="n">
        <x:f>'Parameters'!$B$2*'Parameters'!$B$3*LN(4*PI()*C2722^2)</x:f>
        <x:v>9.021295518150826</x:v>
      </x:c>
      <x:c r="F2722" s="23" t="n">
        <x:f>D2722+E2722</x:f>
        <x:v>-9.680904481849176</x:v>
      </x:c>
      <x:c r="G2722" s="23" t="n">
        <x:f>AVERAGE($F$2742:$F$2766)</x:f>
        <x:v>-9.504497208366006</x:v>
      </x:c>
      <x:c r="H2722" s="24" t="n">
        <x:f>F2722-G2722</x:f>
        <x:v>-0.17640727348316965</x:v>
      </x:c>
    </x:row>
    <x:row r="2723">
      <x:c r="A2723" s="2" t="str">
        <x:v>LiA3-Ref</x:v>
      </x:c>
      <x:c r="B2723" s="4" t="str">
        <x:v>NaCl</x:v>
      </x:c>
      <x:c r="C2723" s="23" t="n">
        <x:v>1.752674</x:v>
      </x:c>
      <x:c r="D2723" s="23" t="n">
        <x:v>-18.77623</x:v>
      </x:c>
      <x:c r="E2723" s="23" t="n">
        <x:f>'Parameters'!$B$2*'Parameters'!$B$3*LN(4*PI()*C2723^2)</x:f>
        <x:v>9.056397242618981</x:v>
      </x:c>
      <x:c r="F2723" s="23" t="n">
        <x:f>D2723+E2723</x:f>
        <x:v>-9.71983275738102</x:v>
      </x:c>
      <x:c r="G2723" s="23" t="n">
        <x:f>AVERAGE($F$2742:$F$2766)</x:f>
        <x:v>-9.504497208366006</x:v>
      </x:c>
      <x:c r="H2723" s="24" t="n">
        <x:f>F2723-G2723</x:f>
        <x:v>-0.2153355490150144</x:v>
      </x:c>
    </x:row>
    <x:row r="2724">
      <x:c r="A2724" s="2" t="str">
        <x:v>LiA3-Ref</x:v>
      </x:c>
      <x:c r="B2724" s="4" t="str">
        <x:v>NaCl</x:v>
      </x:c>
      <x:c r="C2724" s="23" t="n">
        <x:v>1.765039</x:v>
      </x:c>
      <x:c r="D2724" s="23" t="n">
        <x:v>-18.74293</x:v>
      </x:c>
      <x:c r="E2724" s="23" t="n">
        <x:f>'Parameters'!$B$2*'Parameters'!$B$3*LN(4*PI()*C2724^2)</x:f>
        <x:v>9.091252195158372</x:v>
      </x:c>
      <x:c r="F2724" s="23" t="n">
        <x:f>D2724+E2724</x:f>
        <x:v>-9.65167780484163</x:v>
      </x:c>
      <x:c r="G2724" s="23" t="n">
        <x:f>AVERAGE($F$2742:$F$2766)</x:f>
        <x:v>-9.504497208366006</x:v>
      </x:c>
      <x:c r="H2724" s="24" t="n">
        <x:f>F2724-G2724</x:f>
        <x:v>-0.1471805964756232</x:v>
      </x:c>
    </x:row>
    <x:row r="2725">
      <x:c r="A2725" s="2" t="str">
        <x:v>LiA3-Ref</x:v>
      </x:c>
      <x:c r="B2725" s="4" t="str">
        <x:v>NaCl</x:v>
      </x:c>
      <x:c r="C2725" s="23" t="n">
        <x:v>1.777403</x:v>
      </x:c>
      <x:c r="D2725" s="23" t="n">
        <x:v>-18.73251</x:v>
      </x:c>
      <x:c r="E2725" s="23" t="n">
        <x:f>'Parameters'!$B$2*'Parameters'!$B$3*LN(4*PI()*C2725^2)</x:f>
        <x:v>9.12586103185564</x:v>
      </x:c>
      <x:c r="F2725" s="23" t="n">
        <x:f>D2725+E2725</x:f>
        <x:v>-9.606648968144361</x:v>
      </x:c>
      <x:c r="G2725" s="23" t="n">
        <x:f>AVERAGE($F$2742:$F$2766)</x:f>
        <x:v>-9.504497208366006</x:v>
      </x:c>
      <x:c r="H2725" s="24" t="n">
        <x:f>F2725-G2725</x:f>
        <x:v>-0.102151759778355</x:v>
      </x:c>
    </x:row>
    <x:row r="2726">
      <x:c r="A2726" s="2" t="str">
        <x:v>LiA3-Ref</x:v>
      </x:c>
      <x:c r="B2726" s="4" t="str">
        <x:v>NaCl</x:v>
      </x:c>
      <x:c r="C2726" s="23" t="n">
        <x:v>1.789768</x:v>
      </x:c>
      <x:c r="D2726" s="23" t="n">
        <x:v>-18.74451</x:v>
      </x:c>
      <x:c r="E2726" s="23" t="n">
        <x:f>'Parameters'!$B$2*'Parameters'!$B$3*LN(4*PI()*C2726^2)</x:f>
        <x:v>9.160232724649836</x:v>
      </x:c>
      <x:c r="F2726" s="23" t="n">
        <x:f>D2726+E2726</x:f>
        <x:v>-9.584277275350162</x:v>
      </x:c>
      <x:c r="G2726" s="23" t="n">
        <x:f>AVERAGE($F$2742:$F$2766)</x:f>
        <x:v>-9.504497208366006</x:v>
      </x:c>
      <x:c r="H2726" s="24" t="n">
        <x:f>F2726-G2726</x:f>
        <x:v>-0.0797800669841564</x:v>
      </x:c>
    </x:row>
    <x:row r="2727">
      <x:c r="A2727" s="2" t="str">
        <x:v>LiA3-Ref</x:v>
      </x:c>
      <x:c r="B2727" s="4" t="str">
        <x:v>NaCl</x:v>
      </x:c>
      <x:c r="C2727" s="23" t="n">
        <x:v>1.802133</x:v>
      </x:c>
      <x:c r="D2727" s="23" t="n">
        <x:v>-19.00238</x:v>
      </x:c>
      <x:c r="E2727" s="23" t="n">
        <x:f>'Parameters'!$B$2*'Parameters'!$B$3*LN(4*PI()*C2727^2)</x:f>
        <x:v>9.194367768744199</x:v>
      </x:c>
      <x:c r="F2727" s="23" t="n">
        <x:f>D2727+E2727</x:f>
        <x:v>-9.8080122312558</x:v>
      </x:c>
      <x:c r="G2727" s="23" t="n">
        <x:f>AVERAGE($F$2742:$F$2766)</x:f>
        <x:v>-9.504497208366006</x:v>
      </x:c>
      <x:c r="H2727" s="24" t="n">
        <x:f>F2727-G2727</x:f>
        <x:v>-0.30351502288979404</x:v>
      </x:c>
    </x:row>
    <x:row r="2728">
      <x:c r="A2728" s="2" t="str">
        <x:v>LiA3-Ref</x:v>
      </x:c>
      <x:c r="B2728" s="4" t="str">
        <x:v>NaCl</x:v>
      </x:c>
      <x:c r="C2728" s="23" t="n">
        <x:v>1.814498</x:v>
      </x:c>
      <x:c r="D2728" s="23" t="n">
        <x:v>-18.94206</x:v>
      </x:c>
      <x:c r="E2728" s="23" t="n">
        <x:f>'Parameters'!$B$2*'Parameters'!$B$3*LN(4*PI()*C2728^2)</x:f>
        <x:v>9.22826940051603</x:v>
      </x:c>
      <x:c r="F2728" s="23" t="n">
        <x:f>D2728+E2728</x:f>
        <x:v>-9.713790599483971</x:v>
      </x:c>
      <x:c r="G2728" s="23" t="n">
        <x:f>AVERAGE($F$2742:$F$2766)</x:f>
        <x:v>-9.504497208366006</x:v>
      </x:c>
      <x:c r="H2728" s="24" t="n">
        <x:f>F2728-G2728</x:f>
        <x:v>-0.2092933911179653</x:v>
      </x:c>
    </x:row>
    <x:row r="2729">
      <x:c r="A2729" s="2" t="str">
        <x:v>LiA3-Ref</x:v>
      </x:c>
      <x:c r="B2729" s="4" t="str">
        <x:v>NaCl</x:v>
      </x:c>
      <x:c r="C2729" s="23" t="n">
        <x:v>1.826863</x:v>
      </x:c>
      <x:c r="D2729" s="23" t="n">
        <x:v>-18.90007</x:v>
      </x:c>
      <x:c r="E2729" s="23" t="n">
        <x:f>'Parameters'!$B$2*'Parameters'!$B$3*LN(4*PI()*C2729^2)</x:f>
        <x:v>9.261940790402836</x:v>
      </x:c>
      <x:c r="F2729" s="23" t="n">
        <x:f>D2729+E2729</x:f>
        <x:v>-9.638129209597164</x:v>
      </x:c>
      <x:c r="G2729" s="23" t="n">
        <x:f>AVERAGE($F$2742:$F$2766)</x:f>
        <x:v>-9.504497208366006</x:v>
      </x:c>
      <x:c r="H2729" s="24" t="n">
        <x:f>F2729-G2729</x:f>
        <x:v>-0.13363200123115782</x:v>
      </x:c>
    </x:row>
    <x:row r="2730">
      <x:c r="A2730" s="2" t="str">
        <x:v>LiA3-Ref</x:v>
      </x:c>
      <x:c r="B2730" s="4" t="str">
        <x:v>NaCl</x:v>
      </x:c>
      <x:c r="C2730" s="23" t="n">
        <x:v>1.839227</x:v>
      </x:c>
      <x:c r="D2730" s="23" t="n">
        <x:v>-19.02874</x:v>
      </x:c>
      <x:c r="E2730" s="23" t="n">
        <x:f>'Parameters'!$B$2*'Parameters'!$B$3*LN(4*PI()*C2730^2)</x:f>
        <x:v>9.295382349031351</x:v>
      </x:c>
      <x:c r="F2730" s="23" t="n">
        <x:f>D2730+E2730</x:f>
        <x:v>-9.733357650968648</x:v>
      </x:c>
      <x:c r="G2730" s="23" t="n">
        <x:f>AVERAGE($F$2742:$F$2766)</x:f>
        <x:v>-9.504497208366006</x:v>
      </x:c>
      <x:c r="H2730" s="24" t="n">
        <x:f>F2730-G2730</x:f>
        <x:v>-0.2288604426026417</x:v>
      </x:c>
    </x:row>
    <x:row r="2731">
      <x:c r="A2731" s="2" t="str">
        <x:v>LiA3-Ref</x:v>
      </x:c>
      <x:c r="B2731" s="4" t="str">
        <x:v>NaCl</x:v>
      </x:c>
      <x:c r="C2731" s="23" t="n">
        <x:v>1.851592</x:v>
      </x:c>
      <x:c r="D2731" s="23" t="n">
        <x:v>-19.08923</x:v>
      </x:c>
      <x:c r="E2731" s="23" t="n">
        <x:f>'Parameters'!$B$2*'Parameters'!$B$3*LN(4*PI()*C2731^2)</x:f>
        <x:v>9.328602529539792</x:v>
      </x:c>
      <x:c r="F2731" s="23" t="n">
        <x:f>D2731+E2731</x:f>
        <x:v>-9.760627470460209</x:v>
      </x:c>
      <x:c r="G2731" s="23" t="n">
        <x:f>AVERAGE($F$2742:$F$2766)</x:f>
        <x:v>-9.504497208366006</x:v>
      </x:c>
      <x:c r="H2731" s="24" t="n">
        <x:f>F2731-G2731</x:f>
        <x:v>-0.256130262094203</x:v>
      </x:c>
    </x:row>
    <x:row r="2732">
      <x:c r="A2732" s="2" t="str">
        <x:v>LiA3-Ref</x:v>
      </x:c>
      <x:c r="B2732" s="4" t="str">
        <x:v>NaCl</x:v>
      </x:c>
      <x:c r="C2732" s="23" t="n">
        <x:v>1.863957</x:v>
      </x:c>
      <x:c r="D2732" s="23" t="n">
        <x:v>-19.2013</x:v>
      </x:c>
      <x:c r="E2732" s="23" t="n">
        <x:f>'Parameters'!$B$2*'Parameters'!$B$3*LN(4*PI()*C2732^2)</x:f>
        <x:v>9.36160160109502</x:v>
      </x:c>
      <x:c r="F2732" s="23" t="n">
        <x:f>D2732+E2732</x:f>
        <x:v>-9.83969839890498</x:v>
      </x:c>
      <x:c r="G2732" s="23" t="n">
        <x:f>AVERAGE($F$2742:$F$2766)</x:f>
        <x:v>-9.504497208366006</x:v>
      </x:c>
      <x:c r="H2732" s="24" t="n">
        <x:f>F2732-G2732</x:f>
        <x:v>-0.33520119053897446</x:v>
      </x:c>
    </x:row>
    <x:row r="2733">
      <x:c r="A2733" s="2" t="str">
        <x:v>LiA3-Ref</x:v>
      </x:c>
      <x:c r="B2733" s="4" t="str">
        <x:v>NaCl</x:v>
      </x:c>
      <x:c r="C2733" s="23" t="n">
        <x:v>1.876322</x:v>
      </x:c>
      <x:c r="D2733" s="23" t="n">
        <x:v>-19.12576</x:v>
      </x:c>
      <x:c r="E2733" s="23" t="n">
        <x:f>'Parameters'!$B$2*'Parameters'!$B$3*LN(4*PI()*C2733^2)</x:f>
        <x:v>9.394382487588311</x:v>
      </x:c>
      <x:c r="F2733" s="23" t="n">
        <x:f>D2733+E2733</x:f>
        <x:v>-9.731377512411688</x:v>
      </x:c>
      <x:c r="G2733" s="23" t="n">
        <x:f>AVERAGE($F$2742:$F$2766)</x:f>
        <x:v>-9.504497208366006</x:v>
      </x:c>
      <x:c r="H2733" s="24" t="n">
        <x:f>F2733-G2733</x:f>
        <x:v>-0.22688030404568238</x:v>
      </x:c>
    </x:row>
    <x:row r="2734">
      <x:c r="A2734" s="2" t="str">
        <x:v>LiA3-Ref</x:v>
      </x:c>
      <x:c r="B2734" s="4" t="str">
        <x:v>NaCl</x:v>
      </x:c>
      <x:c r="C2734" s="23" t="n">
        <x:v>1.888687</x:v>
      </x:c>
      <x:c r="D2734" s="23" t="n">
        <x:v>-19.1575</x:v>
      </x:c>
      <x:c r="E2734" s="23" t="n">
        <x:f>'Parameters'!$B$2*'Parameters'!$B$3*LN(4*PI()*C2734^2)</x:f>
        <x:v>9.426948055294446</x:v>
      </x:c>
      <x:c r="F2734" s="23" t="n">
        <x:f>D2734+E2734</x:f>
        <x:v>-9.730551944705553</x:v>
      </x:c>
      <x:c r="G2734" s="23" t="n">
        <x:f>AVERAGE($F$2742:$F$2766)</x:f>
        <x:v>-9.504497208366006</x:v>
      </x:c>
      <x:c r="H2734" s="24" t="n">
        <x:f>F2734-G2734</x:f>
        <x:v>-0.2260547363395471</x:v>
      </x:c>
    </x:row>
    <x:row r="2735">
      <x:c r="A2735" s="2" t="str">
        <x:v>LiA3-Ref</x:v>
      </x:c>
      <x:c r="B2735" s="4" t="str">
        <x:v>NaCl</x:v>
      </x:c>
      <x:c r="C2735" s="23" t="n">
        <x:v>1.901051</x:v>
      </x:c>
      <x:c r="D2735" s="23" t="n">
        <x:v>-19.15488</x:v>
      </x:c>
      <x:c r="E2735" s="23" t="n">
        <x:f>'Parameters'!$B$2*'Parameters'!$B$3*LN(4*PI()*C2735^2)</x:f>
        <x:v>9.459298506390498</x:v>
      </x:c>
      <x:c r="F2735" s="23" t="n">
        <x:f>D2735+E2735</x:f>
        <x:v>-9.6955814936095</x:v>
      </x:c>
      <x:c r="G2735" s="23" t="n">
        <x:f>AVERAGE($F$2742:$F$2766)</x:f>
        <x:v>-9.504497208366006</x:v>
      </x:c>
      <x:c r="H2735" s="24" t="n">
        <x:f>F2735-G2735</x:f>
        <x:v>-0.19108428524349463</x:v>
      </x:c>
    </x:row>
    <x:row r="2736">
      <x:c r="A2736" s="2" t="str">
        <x:v>LiA3-Ref</x:v>
      </x:c>
      <x:c r="B2736" s="4" t="str">
        <x:v>NaCl</x:v>
      </x:c>
      <x:c r="C2736" s="23" t="n">
        <x:v>1.913416</x:v>
      </x:c>
      <x:c r="D2736" s="23" t="n">
        <x:v>-19.27086</x:v>
      </x:c>
      <x:c r="E2736" s="23" t="n">
        <x:f>'Parameters'!$B$2*'Parameters'!$B$3*LN(4*PI()*C2736^2)</x:f>
        <x:v>9.491441829205062</x:v>
      </x:c>
      <x:c r="F2736" s="23" t="n">
        <x:f>D2736+E2736</x:f>
        <x:v>-9.779418170794937</x:v>
      </x:c>
      <x:c r="G2736" s="23" t="n">
        <x:f>AVERAGE($F$2742:$F$2766)</x:f>
        <x:v>-9.504497208366006</x:v>
      </x:c>
      <x:c r="H2736" s="24" t="n">
        <x:f>F2736-G2736</x:f>
        <x:v>-0.27492096242893105</x:v>
      </x:c>
    </x:row>
    <x:row r="2737">
      <x:c r="A2737" s="2" t="str">
        <x:v>LiA3-Ref</x:v>
      </x:c>
      <x:c r="B2737" s="4" t="str">
        <x:v>NaCl</x:v>
      </x:c>
      <x:c r="C2737" s="23" t="n">
        <x:v>1.925781</x:v>
      </x:c>
      <x:c r="D2737" s="23" t="n">
        <x:v>-19.24967</x:v>
      </x:c>
      <x:c r="E2737" s="23" t="n">
        <x:f>'Parameters'!$B$2*'Parameters'!$B$3*LN(4*PI()*C2737^2)</x:f>
        <x:v>9.523378100938855</x:v>
      </x:c>
      <x:c r="F2737" s="23" t="n">
        <x:f>D2737+E2737</x:f>
        <x:v>-9.726291899061144</x:v>
      </x:c>
      <x:c r="G2737" s="23" t="n">
        <x:f>AVERAGE($F$2742:$F$2766)</x:f>
        <x:v>-9.504497208366006</x:v>
      </x:c>
      <x:c r="H2737" s="24" t="n">
        <x:f>F2737-G2737</x:f>
        <x:v>-0.22179469069513758</x:v>
      </x:c>
    </x:row>
    <x:row r="2738">
      <x:c r="A2738" s="2" t="str">
        <x:v>LiA3-Ref</x:v>
      </x:c>
      <x:c r="B2738" s="4" t="str">
        <x:v>NaCl</x:v>
      </x:c>
      <x:c r="C2738" s="23" t="n">
        <x:v>1.938146</x:v>
      </x:c>
      <x:c r="D2738" s="23" t="n">
        <x:v>-19.24249</x:v>
      </x:c>
      <x:c r="E2738" s="23" t="n">
        <x:f>'Parameters'!$B$2*'Parameters'!$B$3*LN(4*PI()*C2738^2)</x:f>
        <x:v>9.555109971965967</x:v>
      </x:c>
      <x:c r="F2738" s="23" t="n">
        <x:f>D2738+E2738</x:f>
        <x:v>-9.687380028034033</x:v>
      </x:c>
      <x:c r="G2738" s="23" t="n">
        <x:f>AVERAGE($F$2742:$F$2766)</x:f>
        <x:v>-9.504497208366006</x:v>
      </x:c>
      <x:c r="H2738" s="24" t="n">
        <x:f>F2738-G2738</x:f>
        <x:v>-0.182882819668027</x:v>
      </x:c>
    </x:row>
    <x:row r="2739">
      <x:c r="A2739" s="2" t="str">
        <x:v>LiA3-Ref</x:v>
      </x:c>
      <x:c r="B2739" s="4" t="str">
        <x:v>NaCl</x:v>
      </x:c>
      <x:c r="C2739" s="23" t="n">
        <x:v>1.950511</x:v>
      </x:c>
      <x:c r="D2739" s="23" t="n">
        <x:v>-19.18235</x:v>
      </x:c>
      <x:c r="E2739" s="23" t="n">
        <x:f>'Parameters'!$B$2*'Parameters'!$B$3*LN(4*PI()*C2739^2)</x:f>
        <x:v>9.586640042094464</x:v>
      </x:c>
      <x:c r="F2739" s="23" t="n">
        <x:f>D2739+E2739</x:f>
        <x:v>-9.595709957905536</x:v>
      </x:c>
      <x:c r="G2739" s="23" t="n">
        <x:f>AVERAGE($F$2742:$F$2766)</x:f>
        <x:v>-9.504497208366006</x:v>
      </x:c>
      <x:c r="H2739" s="24" t="n">
        <x:f>F2739-G2739</x:f>
        <x:v>-0.09121274953952963</x:v>
      </x:c>
    </x:row>
    <x:row r="2740">
      <x:c r="A2740" s="2" t="str">
        <x:v>LiA3-Ref</x:v>
      </x:c>
      <x:c r="B2740" s="4" t="str">
        <x:v>NaCl</x:v>
      </x:c>
      <x:c r="C2740" s="23" t="n">
        <x:v>1.962875</x:v>
      </x:c>
      <x:c r="D2740" s="23" t="n">
        <x:v>-19.37561</x:v>
      </x:c>
      <x:c r="E2740" s="23" t="n">
        <x:f>'Parameters'!$B$2*'Parameters'!$B$3*LN(4*PI()*C2740^2)</x:f>
        <x:v>9.617968336002232</x:v>
      </x:c>
      <x:c r="F2740" s="23" t="n">
        <x:f>D2740+E2740</x:f>
        <x:v>-9.75764166399777</x:v>
      </x:c>
      <x:c r="G2740" s="23" t="n">
        <x:f>AVERAGE($F$2742:$F$2766)</x:f>
        <x:v>-9.504497208366006</x:v>
      </x:c>
      <x:c r="H2740" s="24" t="n">
        <x:f>F2740-G2740</x:f>
        <x:v>-0.25314445563176413</x:v>
      </x:c>
    </x:row>
    <x:row r="2741">
      <x:c r="A2741" s="2" t="str">
        <x:v>LiA3-Ref</x:v>
      </x:c>
      <x:c r="B2741" s="4" t="str">
        <x:v>NaCl</x:v>
      </x:c>
      <x:c r="C2741" s="23" t="n">
        <x:v>1.97524</x:v>
      </x:c>
      <x:c r="D2741" s="23" t="n">
        <x:v>-19.37858</x:v>
      </x:c>
      <x:c r="E2741" s="23" t="n">
        <x:f>'Parameters'!$B$2*'Parameters'!$B$3*LN(4*PI()*C2741^2)</x:f>
        <x:v>9.649102423656199</x:v>
      </x:c>
      <x:c r="F2741" s="23" t="n">
        <x:f>D2741+E2741</x:f>
        <x:v>-9.7294775763438</x:v>
      </x:c>
      <x:c r="G2741" s="23" t="n">
        <x:f>AVERAGE($F$2742:$F$2766)</x:f>
        <x:v>-9.504497208366006</x:v>
      </x:c>
      <x:c r="H2741" s="24" t="n">
        <x:f>F2741-G2741</x:f>
        <x:v>-0.22498036797779442</x:v>
      </x:c>
    </x:row>
    <x:row r="2742">
      <x:c r="A2742" s="2" t="str">
        <x:v>LiA3-Ref</x:v>
      </x:c>
      <x:c r="B2742" s="4" t="str">
        <x:v>NaCl</x:v>
      </x:c>
      <x:c r="C2742" s="23" t="n">
        <x:v>1.987605</x:v>
      </x:c>
      <x:c r="D2742" s="23" t="n">
        <x:v>-19.31382</x:v>
      </x:c>
      <x:c r="E2742" s="23" t="n">
        <x:f>'Parameters'!$B$2*'Parameters'!$B$3*LN(4*PI()*C2742^2)</x:f>
        <x:v>9.680042218825648</x:v>
      </x:c>
      <x:c r="F2742" s="23" t="n">
        <x:f>D2742+E2742</x:f>
        <x:v>-9.633777781174352</x:v>
      </x:c>
      <x:c r="G2742" s="23" t="n">
        <x:f>AVERAGE($F$2742:$F$2766)</x:f>
        <x:v>-9.504497208366006</x:v>
      </x:c>
      <x:c r="H2742" s="24" t="n">
        <x:f>F2742-G2742</x:f>
        <x:v>-0.12928057280834615</x:v>
      </x:c>
    </x:row>
    <x:row r="2743">
      <x:c r="A2743" s="2" t="str">
        <x:v>LiA3-Ref</x:v>
      </x:c>
      <x:c r="B2743" s="4" t="str">
        <x:v>NaCl</x:v>
      </x:c>
      <x:c r="C2743" s="23" t="n">
        <x:v>1.99997</x:v>
      </x:c>
      <x:c r="D2743" s="23" t="n">
        <x:v>-19.4476</x:v>
      </x:c>
      <x:c r="E2743" s="23" t="n">
        <x:f>'Parameters'!$B$2*'Parameters'!$B$3*LN(4*PI()*C2743^2)</x:f>
        <x:v>9.710790131446261</x:v>
      </x:c>
      <x:c r="F2743" s="23" t="n">
        <x:f>D2743+E2743</x:f>
        <x:v>-9.73680986855374</x:v>
      </x:c>
      <x:c r="G2743" s="23" t="n">
        <x:f>AVERAGE($F$2742:$F$2766)</x:f>
        <x:v>-9.504497208366006</x:v>
      </x:c>
      <x:c r="H2743" s="24" t="n">
        <x:f>F2743-G2743</x:f>
        <x:v>-0.2323126601877341</x:v>
      </x:c>
    </x:row>
    <x:row r="2744">
      <x:c r="A2744" s="2" t="str">
        <x:v>LiA3-Ref</x:v>
      </x:c>
      <x:c r="B2744" s="4" t="str">
        <x:v>NaCl</x:v>
      </x:c>
      <x:c r="C2744" s="23" t="n">
        <x:v>2.012335</x:v>
      </x:c>
      <x:c r="D2744" s="23" t="n">
        <x:v>-19.26845</x:v>
      </x:c>
      <x:c r="E2744" s="23" t="n">
        <x:f>'Parameters'!$B$2*'Parameters'!$B$3*LN(4*PI()*C2744^2)</x:f>
        <x:v>9.741348526891946</x:v>
      </x:c>
      <x:c r="F2744" s="23" t="n">
        <x:f>D2744+E2744</x:f>
        <x:v>-9.527101473108056</x:v>
      </x:c>
      <x:c r="G2744" s="23" t="n">
        <x:f>AVERAGE($F$2742:$F$2766)</x:f>
        <x:v>-9.504497208366006</x:v>
      </x:c>
      <x:c r="H2744" s="24" t="n">
        <x:f>F2744-G2744</x:f>
        <x:v>-0.022604264742049907</x:v>
      </x:c>
    </x:row>
    <x:row r="2745">
      <x:c r="A2745" s="2" t="str">
        <x:v>LiA3-Ref</x:v>
      </x:c>
      <x:c r="B2745" s="4" t="str">
        <x:v>NaCl</x:v>
      </x:c>
      <x:c r="C2745" s="23" t="n">
        <x:v>2.024699</x:v>
      </x:c>
      <x:c r="D2745" s="23" t="n">
        <x:v>-19.38657</x:v>
      </x:c>
      <x:c r="E2745" s="23" t="n">
        <x:f>'Parameters'!$B$2*'Parameters'!$B$3*LN(4*PI()*C2745^2)</x:f>
        <x:v>9.77171727835076</x:v>
      </x:c>
      <x:c r="F2745" s="23" t="n">
        <x:f>D2745+E2745</x:f>
        <x:v>-9.614852721649239</x:v>
      </x:c>
      <x:c r="G2745" s="23" t="n">
        <x:f>AVERAGE($F$2742:$F$2766)</x:f>
        <x:v>-9.504497208366006</x:v>
      </x:c>
      <x:c r="H2745" s="24" t="n">
        <x:f>F2745-G2745</x:f>
        <x:v>-0.11035551328323301</x:v>
      </x:c>
    </x:row>
    <x:row r="2746">
      <x:c r="A2746" s="2" t="str">
        <x:v>LiA3-Ref</x:v>
      </x:c>
      <x:c r="B2746" s="4" t="str">
        <x:v>NaCl</x:v>
      </x:c>
      <x:c r="C2746" s="23" t="n">
        <x:v>2.037064</x:v>
      </x:c>
      <x:c r="D2746" s="23" t="n">
        <x:v>-19.43054</x:v>
      </x:c>
      <x:c r="E2746" s="23" t="n">
        <x:f>'Parameters'!$B$2*'Parameters'!$B$3*LN(4*PI()*C2746^2)</x:f>
        <x:v>9.801903577611322</x:v>
      </x:c>
      <x:c r="F2746" s="23" t="n">
        <x:f>D2746+E2746</x:f>
        <x:v>-9.628636422388679</x:v>
      </x:c>
      <x:c r="G2746" s="23" t="n">
        <x:f>AVERAGE($F$2742:$F$2766)</x:f>
        <x:v>-9.504497208366006</x:v>
      </x:c>
      <x:c r="H2746" s="24" t="n">
        <x:f>F2746-G2746</x:f>
        <x:v>-0.12413921402267292</x:v>
      </x:c>
    </x:row>
    <x:row r="2747">
      <x:c r="A2747" s="2" t="str">
        <x:v>LiA3-Ref</x:v>
      </x:c>
      <x:c r="B2747" s="4" t="str">
        <x:v>NaCl</x:v>
      </x:c>
      <x:c r="C2747" s="23" t="n">
        <x:v>2.049429</x:v>
      </x:c>
      <x:c r="D2747" s="23" t="n">
        <x:v>-19.43087</x:v>
      </x:c>
      <x:c r="E2747" s="23" t="n">
        <x:f>'Parameters'!$B$2*'Parameters'!$B$3*LN(4*PI()*C2747^2)</x:f>
        <x:v>9.831907199022906</x:v>
      </x:c>
      <x:c r="F2747" s="23" t="n">
        <x:f>D2747+E2747</x:f>
        <x:v>-9.598962800977093</x:v>
      </x:c>
      <x:c r="G2747" s="23" t="n">
        <x:f>AVERAGE($F$2742:$F$2766)</x:f>
        <x:v>-9.504497208366006</x:v>
      </x:c>
      <x:c r="H2747" s="24" t="n">
        <x:f>F2747-G2747</x:f>
        <x:v>-0.09446559261108689</x:v>
      </x:c>
    </x:row>
    <x:row r="2748">
      <x:c r="A2748" s="2" t="str">
        <x:v>LiA3-Ref</x:v>
      </x:c>
      <x:c r="B2748" s="4" t="str">
        <x:v>NaCl</x:v>
      </x:c>
      <x:c r="C2748" s="23" t="n">
        <x:v>2.061794</x:v>
      </x:c>
      <x:c r="D2748" s="23" t="n">
        <x:v>-19.47055</x:v>
      </x:c>
      <x:c r="E2748" s="23" t="n">
        <x:f>'Parameters'!$B$2*'Parameters'!$B$3*LN(4*PI()*C2748^2)</x:f>
        <x:v>9.861730340308341</x:v>
      </x:c>
      <x:c r="F2748" s="23" t="n">
        <x:f>D2748+E2748</x:f>
        <x:v>-9.608819659691658</x:v>
      </x:c>
      <x:c r="G2748" s="23" t="n">
        <x:f>AVERAGE($F$2742:$F$2766)</x:f>
        <x:v>-9.504497208366006</x:v>
      </x:c>
      <x:c r="H2748" s="24" t="n">
        <x:f>F2748-G2748</x:f>
        <x:v>-0.10432245132565221</x:v>
      </x:c>
    </x:row>
    <x:row r="2749">
      <x:c r="A2749" s="2" t="str">
        <x:v>LiA3-Ref</x:v>
      </x:c>
      <x:c r="B2749" s="4" t="str">
        <x:v>NaCl</x:v>
      </x:c>
      <x:c r="C2749" s="23" t="n">
        <x:v>2.074159</x:v>
      </x:c>
      <x:c r="D2749" s="23" t="n">
        <x:v>-19.50382</x:v>
      </x:c>
      <x:c r="E2749" s="23" t="n">
        <x:f>'Parameters'!$B$2*'Parameters'!$B$3*LN(4*PI()*C2749^2)</x:f>
        <x:v>9.891375159767614</x:v>
      </x:c>
      <x:c r="F2749" s="23" t="n">
        <x:f>D2749+E2749</x:f>
        <x:v>-9.612444840232387</x:v>
      </x:c>
      <x:c r="G2749" s="23" t="n">
        <x:f>AVERAGE($F$2742:$F$2766)</x:f>
        <x:v>-9.504497208366006</x:v>
      </x:c>
      <x:c r="H2749" s="24" t="n">
        <x:f>F2749-G2749</x:f>
        <x:v>-0.10794763186638079</x:v>
      </x:c>
    </x:row>
    <x:row r="2750">
      <x:c r="A2750" s="2" t="str">
        <x:v>LiA3-Ref</x:v>
      </x:c>
      <x:c r="B2750" s="4" t="str">
        <x:v>NaCl</x:v>
      </x:c>
      <x:c r="C2750" s="23" t="n">
        <x:v>2.086524</x:v>
      </x:c>
      <x:c r="D2750" s="23" t="n">
        <x:v>-19.50241</x:v>
      </x:c>
      <x:c r="E2750" s="23" t="n">
        <x:f>'Parameters'!$B$2*'Parameters'!$B$3*LN(4*PI()*C2750^2)</x:f>
        <x:v>9.920843777215161</x:v>
      </x:c>
      <x:c r="F2750" s="23" t="n">
        <x:f>D2750+E2750</x:f>
        <x:v>-9.58156622278484</x:v>
      </x:c>
      <x:c r="G2750" s="23" t="n">
        <x:f>AVERAGE($F$2742:$F$2766)</x:f>
        <x:v>-9.504497208366006</x:v>
      </x:c>
      <x:c r="H2750" s="24" t="n">
        <x:f>F2750-G2750</x:f>
        <x:v>-0.07706901441883396</x:v>
      </x:c>
    </x:row>
    <x:row r="2751">
      <x:c r="A2751" s="2" t="str">
        <x:v>LiA3-Ref</x:v>
      </x:c>
      <x:c r="B2751" s="4" t="str">
        <x:v>NaCl</x:v>
      </x:c>
      <x:c r="C2751" s="23" t="n">
        <x:v>2.098888</x:v>
      </x:c>
      <x:c r="D2751" s="23" t="n">
        <x:v>-19.6176</x:v>
      </x:c>
      <x:c r="E2751" s="23" t="n">
        <x:f>'Parameters'!$B$2*'Parameters'!$B$3*LN(4*PI()*C2751^2)</x:f>
        <x:v>9.95013591272775</x:v>
      </x:c>
      <x:c r="F2751" s="23" t="n">
        <x:f>D2751+E2751</x:f>
        <x:v>-9.667464087272249</x:v>
      </x:c>
      <x:c r="G2751" s="23" t="n">
        <x:f>AVERAGE($F$2742:$F$2766)</x:f>
        <x:v>-9.504497208366006</x:v>
      </x:c>
      <x:c r="H2751" s="24" t="n">
        <x:f>F2751-G2751</x:f>
        <x:v>-0.16296687890624284</x:v>
      </x:c>
    </x:row>
    <x:row r="2752">
      <x:c r="A2752" s="2" t="str">
        <x:v>LiA3-Ref</x:v>
      </x:c>
      <x:c r="B2752" s="4" t="str">
        <x:v>NaCl</x:v>
      </x:c>
      <x:c r="C2752" s="23" t="n">
        <x:v>2.111253</x:v>
      </x:c>
      <x:c r="D2752" s="23" t="n">
        <x:v>-19.52616</x:v>
      </x:c>
      <x:c r="E2752" s="23" t="n">
        <x:f>'Parameters'!$B$2*'Parameters'!$B$3*LN(4*PI()*C2752^2)</x:f>
        <x:v>9.979258350008726</x:v>
      </x:c>
      <x:c r="F2752" s="23" t="n">
        <x:f>D2752+E2752</x:f>
        <x:v>-9.546901649991275</x:v>
      </x:c>
      <x:c r="G2752" s="23" t="n">
        <x:f>AVERAGE($F$2742:$F$2766)</x:f>
        <x:v>-9.504497208366006</x:v>
      </x:c>
      <x:c r="H2752" s="24" t="n">
        <x:f>F2752-G2752</x:f>
        <x:v>-0.04240444162526913</x:v>
      </x:c>
    </x:row>
    <x:row r="2753">
      <x:c r="A2753" s="2" t="str">
        <x:v>LiA3-Ref</x:v>
      </x:c>
      <x:c r="B2753" s="4" t="str">
        <x:v>NaCl</x:v>
      </x:c>
      <x:c r="C2753" s="23" t="n">
        <x:v>2.123618</x:v>
      </x:c>
      <x:c r="D2753" s="23" t="n">
        <x:v>-19.51541</x:v>
      </x:c>
      <x:c r="E2753" s="23" t="n">
        <x:f>'Parameters'!$B$2*'Parameters'!$B$3*LN(4*PI()*C2753^2)</x:f>
        <x:v>10.008210722610215</x:v>
      </x:c>
      <x:c r="F2753" s="23" t="n">
        <x:f>D2753+E2753</x:f>
        <x:v>-9.507199277389784</x:v>
      </x:c>
      <x:c r="G2753" s="23" t="n">
        <x:f>AVERAGE($F$2742:$F$2766)</x:f>
        <x:v>-9.504497208366006</x:v>
      </x:c>
      <x:c r="H2753" s="24" t="n">
        <x:f>F2753-G2753</x:f>
        <x:v>-0.0027020690237780087</x:v>
      </x:c>
    </x:row>
    <x:row r="2754">
      <x:c r="A2754" s="2" t="str">
        <x:v>LiA3-Ref</x:v>
      </x:c>
      <x:c r="B2754" s="4" t="str">
        <x:v>NaCl</x:v>
      </x:c>
      <x:c r="C2754" s="23" t="n">
        <x:v>2.135983</x:v>
      </x:c>
      <x:c r="D2754" s="23" t="n">
        <x:v>-19.47709</x:v>
      </x:c>
      <x:c r="E2754" s="23" t="n">
        <x:f>'Parameters'!$B$2*'Parameters'!$B$3*LN(4*PI()*C2754^2)</x:f>
        <x:v>10.036995005240735</x:v>
      </x:c>
      <x:c r="F2754" s="23" t="n">
        <x:f>D2754+E2754</x:f>
        <x:v>-9.440094994759265</x:v>
      </x:c>
      <x:c r="G2754" s="23" t="n">
        <x:f>AVERAGE($F$2742:$F$2766)</x:f>
        <x:v>-9.504497208366006</x:v>
      </x:c>
      <x:c r="H2754" s="24" t="n">
        <x:f>F2754-G2754</x:f>
        <x:v>0.06440221360674059</x:v>
      </x:c>
    </x:row>
    <x:row r="2755">
      <x:c r="A2755" s="2" t="str">
        <x:v>LiA3-Ref</x:v>
      </x:c>
      <x:c r="B2755" s="4" t="str">
        <x:v>NaCl</x:v>
      </x:c>
      <x:c r="C2755" s="23" t="n">
        <x:v>2.148348</x:v>
      </x:c>
      <x:c r="D2755" s="23" t="n">
        <x:v>-19.26297</x:v>
      </x:c>
      <x:c r="E2755" s="23" t="n">
        <x:f>'Parameters'!$B$2*'Parameters'!$B$3*LN(4*PI()*C2755^2)</x:f>
        <x:v>10.065613138413193</x:v>
      </x:c>
      <x:c r="F2755" s="23" t="n">
        <x:f>D2755+E2755</x:f>
        <x:v>-9.197356861586806</x:v>
      </x:c>
      <x:c r="G2755" s="23" t="n">
        <x:f>AVERAGE($F$2742:$F$2766)</x:f>
        <x:v>-9.504497208366006</x:v>
      </x:c>
      <x:c r="H2755" s="24" t="n">
        <x:f>F2755-G2755</x:f>
        <x:v>0.30714034677919955</x:v>
      </x:c>
    </x:row>
    <x:row r="2756">
      <x:c r="A2756" s="2" t="str">
        <x:v>LiA3-Ref</x:v>
      </x:c>
      <x:c r="B2756" s="4" t="str">
        <x:v>NaCl</x:v>
      </x:c>
      <x:c r="C2756" s="23" t="n">
        <x:v>2.160712</x:v>
      </x:c>
      <x:c r="D2756" s="23" t="n">
        <x:v>-19.58784</x:v>
      </x:c>
      <x:c r="E2756" s="23" t="n">
        <x:f>'Parameters'!$B$2*'Parameters'!$B$3*LN(4*PI()*C2756^2)</x:f>
        <x:v>10.094064734656222</x:v>
      </x:c>
      <x:c r="F2756" s="23" t="n">
        <x:f>D2756+E2756</x:f>
        <x:v>-9.493775265343778</x:v>
      </x:c>
      <x:c r="G2756" s="23" t="n">
        <x:f>AVERAGE($F$2742:$F$2766)</x:f>
        <x:v>-9.504497208366006</x:v>
      </x:c>
      <x:c r="H2756" s="24" t="n">
        <x:f>F2756-G2756</x:f>
        <x:v>0.01072194302222762</x:v>
      </x:c>
    </x:row>
    <x:row r="2757">
      <x:c r="A2757" s="2" t="str">
        <x:v>LiA3-Ref</x:v>
      </x:c>
      <x:c r="B2757" s="4" t="str">
        <x:v>NaCl</x:v>
      </x:c>
      <x:c r="C2757" s="23" t="n">
        <x:v>2.173077</x:v>
      </x:c>
      <x:c r="D2757" s="23" t="n">
        <x:v>-19.51167</x:v>
      </x:c>
      <x:c r="E2757" s="23" t="n">
        <x:f>'Parameters'!$B$2*'Parameters'!$B$3*LN(4*PI()*C2757^2)</x:f>
        <x:v>10.12235627062789</x:v>
      </x:c>
      <x:c r="F2757" s="23" t="n">
        <x:f>D2757+E2757</x:f>
        <x:v>-9.389313729372109</x:v>
      </x:c>
      <x:c r="G2757" s="23" t="n">
        <x:f>AVERAGE($F$2742:$F$2766)</x:f>
        <x:v>-9.504497208366006</x:v>
      </x:c>
      <x:c r="H2757" s="24" t="n">
        <x:f>F2757-G2757</x:f>
        <x:v>0.11518347899389703</x:v>
      </x:c>
    </x:row>
    <x:row r="2758">
      <x:c r="A2758" s="2" t="str">
        <x:v>LiA3-Ref</x:v>
      </x:c>
      <x:c r="B2758" s="4" t="str">
        <x:v>NaCl</x:v>
      </x:c>
      <x:c r="C2758" s="23" t="n">
        <x:v>2.185442</x:v>
      </x:c>
      <x:c r="D2758" s="23" t="n">
        <x:v>-19.58199</x:v>
      </x:c>
      <x:c r="E2758" s="23" t="n">
        <x:f>'Parameters'!$B$2*'Parameters'!$B$3*LN(4*PI()*C2758^2)</x:f>
        <x:v>10.150487281097806</x:v>
      </x:c>
      <x:c r="F2758" s="23" t="n">
        <x:f>D2758+E2758</x:f>
        <x:v>-9.431502718902195</x:v>
      </x:c>
      <x:c r="G2758" s="23" t="n">
        <x:f>AVERAGE($F$2742:$F$2766)</x:f>
        <x:v>-9.504497208366006</x:v>
      </x:c>
      <x:c r="H2758" s="24" t="n">
        <x:f>F2758-G2758</x:f>
        <x:v>0.07299448946381126</x:v>
      </x:c>
    </x:row>
    <x:row r="2759">
      <x:c r="A2759" s="2" t="str">
        <x:v>LiA3-Ref</x:v>
      </x:c>
      <x:c r="B2759" s="4" t="str">
        <x:v>NaCl</x:v>
      </x:c>
      <x:c r="C2759" s="23" t="n">
        <x:v>2.197807</x:v>
      </x:c>
      <x:c r="D2759" s="23" t="n">
        <x:v>-19.53596</x:v>
      </x:c>
      <x:c r="E2759" s="23" t="n">
        <x:f>'Parameters'!$B$2*'Parameters'!$B$3*LN(4*PI()*C2759^2)</x:f>
        <x:v>10.178459577428928</x:v>
      </x:c>
      <x:c r="F2759" s="23" t="n">
        <x:f>D2759+E2759</x:f>
        <x:v>-9.357500422571071</x:v>
      </x:c>
      <x:c r="G2759" s="23" t="n">
        <x:f>AVERAGE($F$2742:$F$2766)</x:f>
        <x:v>-9.504497208366006</x:v>
      </x:c>
      <x:c r="H2759" s="24" t="n">
        <x:f>F2759-G2759</x:f>
        <x:v>0.14699678579493458</x:v>
      </x:c>
    </x:row>
    <x:row r="2760">
      <x:c r="A2760" s="2" t="str">
        <x:v>LiA3-Ref</x:v>
      </x:c>
      <x:c r="B2760" s="4" t="str">
        <x:v>NaCl</x:v>
      </x:c>
      <x:c r="C2760" s="23" t="n">
        <x:v>2.210172</x:v>
      </x:c>
      <x:c r="D2760" s="23" t="n">
        <x:v>-19.66906</x:v>
      </x:c>
      <x:c r="E2760" s="23" t="n">
        <x:f>'Parameters'!$B$2*'Parameters'!$B$3*LN(4*PI()*C2760^2)</x:f>
        <x:v>10.206274940497119</x:v>
      </x:c>
      <x:c r="F2760" s="23" t="n">
        <x:f>D2760+E2760</x:f>
        <x:v>-9.462785059502883</x:v>
      </x:c>
      <x:c r="G2760" s="23" t="n">
        <x:f>AVERAGE($F$2742:$F$2766)</x:f>
        <x:v>-9.504497208366006</x:v>
      </x:c>
      <x:c r="H2760" s="24" t="n">
        <x:f>F2760-G2760</x:f>
        <x:v>0.04171214886312313</x:v>
      </x:c>
    </x:row>
    <x:row r="2761">
      <x:c r="A2761" s="2" t="str">
        <x:v>LiA3-Ref</x:v>
      </x:c>
      <x:c r="B2761" s="4" t="str">
        <x:v>NaCl</x:v>
      </x:c>
      <x:c r="C2761" s="23" t="n">
        <x:v>2.222536</x:v>
      </x:c>
      <x:c r="D2761" s="23" t="n">
        <x:v>-19.62383</x:v>
      </x:c>
      <x:c r="E2761" s="23" t="n">
        <x:f>'Parameters'!$B$2*'Parameters'!$B$3*LN(4*PI()*C2761^2)</x:f>
        <x:v>10.233932890625676</x:v>
      </x:c>
      <x:c r="F2761" s="23" t="n">
        <x:f>D2761+E2761</x:f>
        <x:v>-9.389897109374326</x:v>
      </x:c>
      <x:c r="G2761" s="23" t="n">
        <x:f>AVERAGE($F$2742:$F$2766)</x:f>
        <x:v>-9.504497208366006</x:v>
      </x:c>
      <x:c r="H2761" s="24" t="n">
        <x:f>F2761-G2761</x:f>
        <x:v>0.11460009899168</x:v>
      </x:c>
    </x:row>
    <x:row r="2762">
      <x:c r="A2762" s="2" t="str">
        <x:v>LiA3-Ref</x:v>
      </x:c>
      <x:c r="B2762" s="4" t="str">
        <x:v>NaCl</x:v>
      </x:c>
      <x:c r="C2762" s="23" t="n">
        <x:v>2.234901</x:v>
      </x:c>
      <x:c r="D2762" s="23" t="n">
        <x:v>-19.69051</x:v>
      </x:c>
      <x:c r="E2762" s="23" t="n">
        <x:f>'Parameters'!$B$2*'Parameters'!$B$3*LN(4*PI()*C2762^2)</x:f>
        <x:v>10.261439623572182</x:v>
      </x:c>
      <x:c r="F2762" s="23" t="n">
        <x:f>D2762+E2762</x:f>
        <x:v>-9.429070376427818</x:v>
      </x:c>
      <x:c r="G2762" s="23" t="n">
        <x:f>AVERAGE($F$2742:$F$2766)</x:f>
        <x:v>-9.504497208366006</x:v>
      </x:c>
      <x:c r="H2762" s="24" t="n">
        <x:f>F2762-G2762</x:f>
        <x:v>0.07542683193818789</x:v>
      </x:c>
    </x:row>
    <x:row r="2763">
      <x:c r="A2763" s="2" t="str">
        <x:v>LiA3-Ref</x:v>
      </x:c>
      <x:c r="B2763" s="4" t="str">
        <x:v>NaCl</x:v>
      </x:c>
      <x:c r="C2763" s="23" t="n">
        <x:v>2.247266</x:v>
      </x:c>
      <x:c r="D2763" s="23" t="n">
        <x:v>-19.70108</x:v>
      </x:c>
      <x:c r="E2763" s="23" t="n">
        <x:f>'Parameters'!$B$2*'Parameters'!$B$3*LN(4*PI()*C2763^2)</x:f>
        <x:v>10.288794589534847</x:v>
      </x:c>
      <x:c r="F2763" s="23" t="n">
        <x:f>D2763+E2763</x:f>
        <x:v>-9.412285410465154</x:v>
      </x:c>
      <x:c r="G2763" s="23" t="n">
        <x:f>AVERAGE($F$2742:$F$2766)</x:f>
        <x:v>-9.504497208366006</x:v>
      </x:c>
      <x:c r="H2763" s="24" t="n">
        <x:f>F2763-G2763</x:f>
        <x:v>0.09221179790085188</x:v>
      </x:c>
    </x:row>
    <x:row r="2764">
      <x:c r="A2764" s="2" t="str">
        <x:v>LiA3-Ref</x:v>
      </x:c>
      <x:c r="B2764" s="4" t="str">
        <x:v>NaCl</x:v>
      </x:c>
      <x:c r="C2764" s="23" t="n">
        <x:v>2.259631</x:v>
      </x:c>
      <x:c r="D2764" s="23" t="n">
        <x:v>-19.80237</x:v>
      </x:c>
      <x:c r="E2764" s="23" t="n">
        <x:f>'Parameters'!$B$2*'Parameters'!$B$3*LN(4*PI()*C2764^2)</x:f>
        <x:v>10.315999454061343</x:v>
      </x:c>
      <x:c r="F2764" s="23" t="n">
        <x:f>D2764+E2764</x:f>
        <x:v>-9.486370545938657</x:v>
      </x:c>
      <x:c r="G2764" s="23" t="n">
        <x:f>AVERAGE($F$2742:$F$2766)</x:f>
        <x:v>-9.504497208366006</x:v>
      </x:c>
      <x:c r="H2764" s="24" t="n">
        <x:f>F2764-G2764</x:f>
        <x:v>0.01812666242734906</x:v>
      </x:c>
    </x:row>
    <x:row r="2765">
      <x:c r="A2765" s="2" t="str">
        <x:v>LiA3-Ref</x:v>
      </x:c>
      <x:c r="B2765" s="4" t="str">
        <x:v>NaCl</x:v>
      </x:c>
      <x:c r="C2765" s="23" t="n">
        <x:v>2.271996</x:v>
      </x:c>
      <x:c r="D2765" s="23" t="n">
        <x:v>-19.74448</x:v>
      </x:c>
      <x:c r="E2765" s="23" t="n">
        <x:f>'Parameters'!$B$2*'Parameters'!$B$3*LN(4*PI()*C2765^2)</x:f>
        <x:v>10.343055855431395</x:v>
      </x:c>
      <x:c r="F2765" s="23" t="n">
        <x:f>D2765+E2765</x:f>
        <x:v>-9.401424144568605</x:v>
      </x:c>
      <x:c r="G2765" s="23" t="n">
        <x:f>AVERAGE($F$2742:$F$2766)</x:f>
        <x:v>-9.504497208366006</x:v>
      </x:c>
      <x:c r="H2765" s="24" t="n">
        <x:f>F2765-G2765</x:f>
        <x:v>0.10307306379740133</x:v>
      </x:c>
    </x:row>
    <x:row r="2766">
      <x:c r="A2766" s="2" t="str">
        <x:v>LiA3-Ref</x:v>
      </x:c>
      <x:c r="B2766" s="4" t="str">
        <x:v>NaCl</x:v>
      </x:c>
      <x:c r="C2766" s="23" t="n">
        <x:v>2.28436</x:v>
      </x:c>
      <x:c r="D2766" s="23" t="n">
        <x:v>-19.82648</x:v>
      </x:c>
      <x:c r="E2766" s="23" t="n">
        <x:f>'Parameters'!$B$2*'Parameters'!$B$3*LN(4*PI()*C2766^2)</x:f>
        <x:v>10.369963234875893</x:v>
      </x:c>
      <x:c r="F2766" s="23" t="n">
        <x:f>D2766+E2766</x:f>
        <x:v>-9.456516765124107</x:v>
      </x:c>
      <x:c r="G2766" s="23" t="n">
        <x:f>AVERAGE($F$2742:$F$2766)</x:f>
        <x:v>-9.504497208366006</x:v>
      </x:c>
      <x:c r="H2766" s="24" t="n">
        <x:f>F2766-G2766</x:f>
        <x:v>0.047980443241899096</x:v>
      </x:c>
    </x:row>
    <x:row r="2767">
      <x:c r="A2767" s="2" t="str">
        <x:v>LiA3-Ref</x:v>
      </x:c>
      <x:c r="B2767" s="4" t="str">
        <x:v>NaCl</x:v>
      </x:c>
      <x:c r="C2767" s="23" t="n">
        <x:v>2.296725</x:v>
      </x:c>
      <x:c r="D2767" s="23" t="n">
        <x:v>-19.86658</x:v>
      </x:c>
      <x:c r="E2767" s="23" t="n">
        <x:f>'Parameters'!$B$2*'Parameters'!$B$3*LN(4*PI()*C2767^2)</x:f>
        <x:v>10.396727530329166</x:v>
      </x:c>
      <x:c r="F2767" s="23" t="n">
        <x:f>D2767+E2767</x:f>
        <x:v>-9.469852469670833</x:v>
      </x:c>
      <x:c r="G2767" s="23" t="n">
        <x:f>AVERAGE($F$2742:$F$2766)</x:f>
        <x:v>-9.504497208366006</x:v>
      </x:c>
      <x:c r="H2767" s="24" t="n">
        <x:f>F2767-G2767</x:f>
        <x:v>0.034644738695172705</x:v>
      </x:c>
    </x:row>
    <x:row r="2768">
      <x:c r="A2768" s="2" t="str">
        <x:v>LiA3-Ref</x:v>
      </x:c>
      <x:c r="B2768" s="4" t="str">
        <x:v>NaCl</x:v>
      </x:c>
      <x:c r="C2768" s="23" t="n">
        <x:v>2.30909</x:v>
      </x:c>
      <x:c r="D2768" s="23" t="n">
        <x:v>-19.76704</x:v>
      </x:c>
      <x:c r="E2768" s="23" t="n">
        <x:f>'Parameters'!$B$2*'Parameters'!$B$3*LN(4*PI()*C2768^2)</x:f>
        <x:v>10.423348119572909</x:v>
      </x:c>
      <x:c r="F2768" s="23" t="n">
        <x:f>D2768+E2768</x:f>
        <x:v>-9.343691880427093</x:v>
      </x:c>
      <x:c r="G2768" s="23" t="n">
        <x:f>AVERAGE($F$2742:$F$2766)</x:f>
        <x:v>-9.504497208366006</x:v>
      </x:c>
      <x:c r="H2768" s="24" t="n">
        <x:f>F2768-G2768</x:f>
        <x:v>0.16080532793891322</x:v>
      </x:c>
    </x:row>
    <x:row r="2769">
      <x:c r="A2769" s="2" t="str">
        <x:v>LiA3-Ref</x:v>
      </x:c>
      <x:c r="B2769" s="4" t="str">
        <x:v>NaCl</x:v>
      </x:c>
      <x:c r="C2769" s="23" t="n">
        <x:v>2.321455</x:v>
      </x:c>
      <x:c r="D2769" s="23" t="n">
        <x:v>-19.87612</x:v>
      </x:c>
      <x:c r="E2769" s="23" t="n">
        <x:f>'Parameters'!$B$2*'Parameters'!$B$3*LN(4*PI()*C2769^2)</x:f>
        <x:v>10.449826537579808</x:v>
      </x:c>
      <x:c r="F2769" s="23" t="n">
        <x:f>D2769+E2769</x:f>
        <x:v>-9.426293462420192</x:v>
      </x:c>
      <x:c r="G2769" s="23" t="n">
        <x:f>AVERAGE($F$2742:$F$2766)</x:f>
        <x:v>-9.504497208366006</x:v>
      </x:c>
      <x:c r="H2769" s="24" t="n">
        <x:f>F2769-G2769</x:f>
        <x:v>0.07820374594581381</x:v>
      </x:c>
    </x:row>
    <x:row r="2770">
      <x:c r="A2770" s="2" t="str">
        <x:v>LiA3-Ref</x:v>
      </x:c>
      <x:c r="B2770" s="4" t="str">
        <x:v>NaCl</x:v>
      </x:c>
      <x:c r="C2770" s="23" t="n">
        <x:v>2.33382</x:v>
      </x:c>
      <x:c r="D2770" s="23" t="n">
        <x:v>-19.8089</x:v>
      </x:c>
      <x:c r="E2770" s="23" t="n">
        <x:f>'Parameters'!$B$2*'Parameters'!$B$3*LN(4*PI()*C2770^2)</x:f>
        <x:v>10.476164294859823</x:v>
      </x:c>
      <x:c r="F2770" s="23" t="n">
        <x:f>D2770+E2770</x:f>
        <x:v>-9.332735705140179</x:v>
      </x:c>
      <x:c r="G2770" s="23" t="n">
        <x:f>AVERAGE($F$2742:$F$2766)</x:f>
        <x:v>-9.504497208366006</x:v>
      </x:c>
      <x:c r="H2770" s="24" t="n">
        <x:f>F2770-G2770</x:f>
        <x:v>0.17176150322582728</x:v>
      </x:c>
    </x:row>
    <x:row r="2771">
      <x:c r="A2771" s="2" t="str">
        <x:v>LiA3-Ref</x:v>
      </x:c>
      <x:c r="B2771" s="4" t="str">
        <x:v>NaCl</x:v>
      </x:c>
      <x:c r="C2771" s="23" t="n">
        <x:v>2.346184</x:v>
      </x:c>
      <x:c r="D2771" s="23" t="n">
        <x:v>-19.82862</x:v>
      </x:c>
      <x:c r="E2771" s="23" t="n">
        <x:f>'Parameters'!$B$2*'Parameters'!$B$3*LN(4*PI()*C2771^2)</x:f>
        <x:v>10.502360764795595</x:v>
      </x:c>
      <x:c r="F2771" s="23" t="n">
        <x:f>D2771+E2771</x:f>
        <x:v>-9.326259235204406</x:v>
      </x:c>
      <x:c r="G2771" s="23" t="n">
        <x:f>AVERAGE($F$2742:$F$2766)</x:f>
        <x:v>-9.504497208366006</x:v>
      </x:c>
      <x:c r="H2771" s="24" t="n">
        <x:f>F2771-G2771</x:f>
        <x:v>0.1782379731616004</x:v>
      </x:c>
    </x:row>
    <x:row r="2772">
      <x:c r="A2772" s="2" t="str">
        <x:v>LiA3-Ref</x:v>
      </x:c>
      <x:c r="B2772" s="4" t="str">
        <x:v>NaCl</x:v>
      </x:c>
      <x:c r="C2772" s="23" t="n">
        <x:v>2.358549</x:v>
      </x:c>
      <x:c r="D2772" s="23" t="n">
        <x:v>-19.99421</x:v>
      </x:c>
      <x:c r="E2772" s="23" t="n">
        <x:f>'Parameters'!$B$2*'Parameters'!$B$3*LN(4*PI()*C2772^2)</x:f>
        <x:v>10.5284216479512</x:v>
      </x:c>
      <x:c r="F2772" s="23" t="n">
        <x:f>D2772+E2772</x:f>
        <x:v>-9.465788352048799</x:v>
      </x:c>
      <x:c r="G2772" s="23" t="n">
        <x:f>AVERAGE($F$2742:$F$2766)</x:f>
        <x:v>-9.504497208366006</x:v>
      </x:c>
      <x:c r="H2772" s="24" t="n">
        <x:f>F2772-G2772</x:f>
        <x:v>0.03870885631720711</x:v>
      </x:c>
    </x:row>
    <x:row r="2773">
      <x:c r="A2773" s="2" t="str">
        <x:v>LiA3-Ref</x:v>
      </x:c>
      <x:c r="B2773" s="4" t="str">
        <x:v>NaCl</x:v>
      </x:c>
      <x:c r="C2773" s="23" t="n">
        <x:v>2.370914</x:v>
      </x:c>
      <x:c r="D2773" s="23" t="n">
        <x:v>-19.98077</x:v>
      </x:c>
      <x:c r="E2773" s="23" t="n">
        <x:f>'Parameters'!$B$2*'Parameters'!$B$3*LN(4*PI()*C2773^2)</x:f>
        <x:v>10.55434626012106</x:v>
      </x:c>
      <x:c r="F2773" s="23" t="n">
        <x:f>D2773+E2773</x:f>
        <x:v>-9.42642373987894</x:v>
      </x:c>
      <x:c r="G2773" s="23" t="n">
        <x:f>AVERAGE($F$2742:$F$2766)</x:f>
        <x:v>-9.504497208366006</x:v>
      </x:c>
      <x:c r="H2773" s="24" t="n">
        <x:f>F2773-G2773</x:f>
        <x:v>0.07807346848706587</x:v>
      </x:c>
    </x:row>
    <x:row r="2774">
      <x:c r="A2774" s="2" t="str">
        <x:v>LiA3-Ref</x:v>
      </x:c>
      <x:c r="B2774" s="4" t="str">
        <x:v>NaCl</x:v>
      </x:c>
      <x:c r="C2774" s="23" t="n">
        <x:v>2.383279</x:v>
      </x:c>
      <x:c r="D2774" s="23" t="n">
        <x:v>-20.01908</x:v>
      </x:c>
      <x:c r="E2774" s="23" t="n">
        <x:f>'Parameters'!$B$2*'Parameters'!$B$3*LN(4*PI()*C2774^2)</x:f>
        <x:v>10.58013601900294</x:v>
      </x:c>
      <x:c r="F2774" s="23" t="n">
        <x:f>D2774+E2774</x:f>
        <x:v>-9.43894398099706</x:v>
      </x:c>
      <x:c r="G2774" s="23" t="n">
        <x:f>AVERAGE($F$2742:$F$2766)</x:f>
        <x:v>-9.504497208366006</x:v>
      </x:c>
      <x:c r="H2774" s="24" t="n">
        <x:f>F2774-G2774</x:f>
        <x:v>0.06555322736894631</x:v>
      </x:c>
    </x:row>
    <x:row r="2775">
      <x:c r="A2775" s="2" t="str">
        <x:v>LiA3-Ref</x:v>
      </x:c>
      <x:c r="B2775" s="4" t="str">
        <x:v>NaCl</x:v>
      </x:c>
      <x:c r="C2775" s="23" t="n">
        <x:v>2.395644</x:v>
      </x:c>
      <x:c r="D2775" s="23" t="n">
        <x:v>-19.95321</x:v>
      </x:c>
      <x:c r="E2775" s="23" t="n">
        <x:f>'Parameters'!$B$2*'Parameters'!$B$3*LN(4*PI()*C2775^2)</x:f>
        <x:v>10.605792320285468</x:v>
      </x:c>
      <x:c r="F2775" s="23" t="n">
        <x:f>D2775+E2775</x:f>
        <x:v>-9.34741767971453</x:v>
      </x:c>
      <x:c r="G2775" s="23" t="n">
        <x:f>AVERAGE($F$2742:$F$2766)</x:f>
        <x:v>-9.504497208366006</x:v>
      </x:c>
      <x:c r="H2775" s="24" t="n">
        <x:f>F2775-G2775</x:f>
        <x:v>0.1570795286514759</x:v>
      </x:c>
    </x:row>
    <x:row r="2776">
      <x:c r="A2776" s="2" t="str">
        <x:v>LiA3-Ref</x:v>
      </x:c>
      <x:c r="B2776" s="4" t="str">
        <x:v>NaCl</x:v>
      </x:c>
      <x:c r="C2776" s="23" t="n">
        <x:v>2.408008</x:v>
      </x:c>
      <x:c r="D2776" s="23" t="n">
        <x:v>-20.00642</x:v>
      </x:c>
      <x:c r="E2776" s="23" t="n">
        <x:f>'Parameters'!$B$2*'Parameters'!$B$3*LN(4*PI()*C2776^2)</x:f>
        <x:v>10.631314479174243</x:v>
      </x:c>
      <x:c r="F2776" s="23" t="n">
        <x:f>D2776+E2776</x:f>
        <x:v>-9.375105520825755</x:v>
      </x:c>
      <x:c r="G2776" s="23" t="n">
        <x:f>AVERAGE($F$2742:$F$2766)</x:f>
        <x:v>-9.504497208366006</x:v>
      </x:c>
      <x:c r="H2776" s="24" t="n">
        <x:f>F2776-G2776</x:f>
        <x:v>0.12939168754025054</x:v>
      </x:c>
    </x:row>
    <x:row r="2777">
      <x:c r="A2777" s="2" t="str">
        <x:v>LiA3-Ref</x:v>
      </x:c>
      <x:c r="B2777" s="4" t="str">
        <x:v>NaCl</x:v>
      </x:c>
      <x:c r="C2777" s="23" t="n">
        <x:v>2.420373</x:v>
      </x:c>
      <x:c r="D2777" s="23" t="n">
        <x:v>-20.09831</x:v>
      </x:c>
      <x:c r="E2777" s="23" t="n">
        <x:f>'Parameters'!$B$2*'Parameters'!$B$3*LN(4*PI()*C2777^2)</x:f>
        <x:v>10.656707977060474</x:v>
      </x:c>
      <x:c r="F2777" s="23" t="n">
        <x:f>D2777+E2777</x:f>
        <x:v>-9.441602022939527</x:v>
      </x:c>
      <x:c r="G2777" s="23" t="n">
        <x:f>AVERAGE($F$2742:$F$2766)</x:f>
        <x:v>-9.504497208366006</x:v>
      </x:c>
      <x:c r="H2777" s="24" t="n">
        <x:f>F2777-G2777</x:f>
        <x:v>0.06289518542647876</x:v>
      </x:c>
    </x:row>
    <x:row r="2778">
      <x:c r="A2778" s="2" t="str">
        <x:v>LiA3-Ref</x:v>
      </x:c>
      <x:c r="B2778" s="4" t="str">
        <x:v>NaCl</x:v>
      </x:c>
      <x:c r="C2778" s="23" t="n">
        <x:v>2.432738</x:v>
      </x:c>
      <x:c r="D2778" s="23" t="n">
        <x:v>-20.05634</x:v>
      </x:c>
      <x:c r="E2778" s="23" t="n">
        <x:f>'Parameters'!$B$2*'Parameters'!$B$3*LN(4*PI()*C2778^2)</x:f>
        <x:v>10.681972076726183</x:v>
      </x:c>
      <x:c r="F2778" s="23" t="n">
        <x:f>D2778+E2778</x:f>
        <x:v>-9.374367923273816</x:v>
      </x:c>
      <x:c r="G2778" s="23" t="n">
        <x:f>AVERAGE($F$2742:$F$2766)</x:f>
        <x:v>-9.504497208366006</x:v>
      </x:c>
      <x:c r="H2778" s="24" t="n">
        <x:f>F2778-G2778</x:f>
        <x:v>0.13012928509219002</x:v>
      </x:c>
    </x:row>
    <x:row r="2779">
      <x:c r="A2779" s="2" t="str">
        <x:v>LiA3-Ref</x:v>
      </x:c>
      <x:c r="B2779" s="4" t="str">
        <x:v>NaCl</x:v>
      </x:c>
      <x:c r="C2779" s="23" t="n">
        <x:v>2.445103</x:v>
      </x:c>
      <x:c r="D2779" s="23" t="n">
        <x:v>-20.11582</x:v>
      </x:c>
      <x:c r="E2779" s="23" t="n">
        <x:f>'Parameters'!$B$2*'Parameters'!$B$3*LN(4*PI()*C2779^2)</x:f>
        <x:v>10.707108090243105</x:v>
      </x:c>
      <x:c r="F2779" s="23" t="n">
        <x:f>D2779+E2779</x:f>
        <x:v>-9.408711909756894</x:v>
      </x:c>
      <x:c r="G2779" s="23" t="n">
        <x:f>AVERAGE($F$2742:$F$2766)</x:f>
        <x:v>-9.504497208366006</x:v>
      </x:c>
      <x:c r="H2779" s="24" t="n">
        <x:f>F2779-G2779</x:f>
        <x:v>0.09578529860911189</x:v>
      </x:c>
    </x:row>
    <x:row r="2780">
      <x:c r="A2780" s="2" t="str">
        <x:v>LiA3-Ref</x:v>
      </x:c>
      <x:c r="B2780" s="4" t="str">
        <x:v>NaCl</x:v>
      </x:c>
      <x:c r="C2780" s="23" t="n">
        <x:v>2.457468</x:v>
      </x:c>
      <x:c r="D2780" s="23" t="n">
        <x:v>-20.14636</x:v>
      </x:c>
      <x:c r="E2780" s="23" t="n">
        <x:f>'Parameters'!$B$2*'Parameters'!$B$3*LN(4*PI()*C2780^2)</x:f>
        <x:v>10.73211730982739</x:v>
      </x:c>
      <x:c r="F2780" s="23" t="n">
        <x:f>D2780+E2780</x:f>
        <x:v>-9.414242690172612</x:v>
      </x:c>
      <x:c r="G2780" s="23" t="n">
        <x:f>AVERAGE($F$2742:$F$2766)</x:f>
        <x:v>-9.504497208366006</x:v>
      </x:c>
      <x:c r="H2780" s="24" t="n">
        <x:f>F2780-G2780</x:f>
        <x:v>0.0902545181933938</x:v>
      </x:c>
    </x:row>
    <x:row r="2781">
      <x:c r="A2781" s="2" t="str">
        <x:v>LiA3-Ref</x:v>
      </x:c>
      <x:c r="B2781" s="4" t="str">
        <x:v>NaCl</x:v>
      </x:c>
      <x:c r="C2781" s="23" t="n">
        <x:v>2.469832</x:v>
      </x:c>
      <x:c r="D2781" s="23" t="n">
        <x:v>-20.13602</x:v>
      </x:c>
      <x:c r="E2781" s="23" t="n">
        <x:f>'Parameters'!$B$2*'Parameters'!$B$3*LN(4*PI()*C2781^2)</x:f>
        <x:v>10.756999000849438</x:v>
      </x:c>
      <x:c r="F2781" s="23" t="n">
        <x:f>D2781+E2781</x:f>
        <x:v>-9.37902099915056</x:v>
      </x:c>
      <x:c r="G2781" s="23" t="n">
        <x:f>AVERAGE($F$2742:$F$2766)</x:f>
        <x:v>-9.504497208366006</x:v>
      </x:c>
      <x:c r="H2781" s="24" t="n">
        <x:f>F2781-G2781</x:f>
        <x:v>0.12547620921544578</x:v>
      </x:c>
    </x:row>
    <x:row r="2782">
      <x:c r="A2782" s="2" t="str">
        <x:v>LiA3-Ref</x:v>
      </x:c>
      <x:c r="B2782" s="4" t="str">
        <x:v>NaCl</x:v>
      </x:c>
      <x:c r="C2782" s="23" t="n">
        <x:v>2.482197</x:v>
      </x:c>
      <x:c r="D2782" s="23" t="n">
        <x:v>-20.24181</x:v>
      </x:c>
      <x:c r="E2782" s="23" t="n">
        <x:f>'Parameters'!$B$2*'Parameters'!$B$3*LN(4*PI()*C2782^2)</x:f>
        <x:v>10.78175844177746</x:v>
      </x:c>
      <x:c r="F2782" s="23" t="n">
        <x:f>D2782+E2782</x:f>
        <x:v>-9.46005155822254</x:v>
      </x:c>
      <x:c r="G2782" s="23" t="n">
        <x:f>AVERAGE($F$2742:$F$2766)</x:f>
        <x:v>-9.504497208366006</x:v>
      </x:c>
      <x:c r="H2782" s="24" t="n">
        <x:f>F2782-G2782</x:f>
        <x:v>0.0444456501434658</x:v>
      </x:c>
    </x:row>
    <x:row r="2783">
      <x:c r="A2783" s="2" t="str">
        <x:v>LiA3-Ref</x:v>
      </x:c>
      <x:c r="B2783" s="4" t="str">
        <x:v>NaCl</x:v>
      </x:c>
      <x:c r="C2783" s="23" t="n">
        <x:v>2.494562</x:v>
      </x:c>
      <x:c r="D2783" s="23" t="n">
        <x:v>-20.1408</x:v>
      </x:c>
      <x:c r="E2783" s="23" t="n">
        <x:f>'Parameters'!$B$2*'Parameters'!$B$3*LN(4*PI()*C2783^2)</x:f>
        <x:v>10.80639485012539</x:v>
      </x:c>
      <x:c r="F2783" s="23" t="n">
        <x:f>D2783+E2783</x:f>
        <x:v>-9.334405149874609</x:v>
      </x:c>
      <x:c r="G2783" s="23" t="n">
        <x:f>AVERAGE($F$2742:$F$2766)</x:f>
        <x:v>-9.504497208366006</x:v>
      </x:c>
      <x:c r="H2783" s="24" t="n">
        <x:f>F2783-G2783</x:f>
        <x:v>0.17009205849139697</x:v>
      </x:c>
    </x:row>
    <x:row r="2784">
      <x:c r="A2784" s="2" t="str">
        <x:v>LiA3-Ref</x:v>
      </x:c>
      <x:c r="B2784" s="4" t="str">
        <x:v>NaCl</x:v>
      </x:c>
      <x:c r="C2784" s="23" t="n">
        <x:v>2.506927</x:v>
      </x:c>
      <x:c r="D2784" s="23" t="n">
        <x:v>-20.09124</x:v>
      </x:c>
      <x:c r="E2784" s="23" t="n">
        <x:f>'Parameters'!$B$2*'Parameters'!$B$3*LN(4*PI()*C2784^2)</x:f>
        <x:v>10.830909442576655</x:v>
      </x:c>
      <x:c r="F2784" s="23" t="n">
        <x:f>D2784+E2784</x:f>
        <x:v>-9.260330557423345</x:v>
      </x:c>
      <x:c r="G2784" s="23" t="n">
        <x:f>AVERAGE($F$2742:$F$2766)</x:f>
        <x:v>-9.504497208366006</x:v>
      </x:c>
      <x:c r="H2784" s="24" t="n">
        <x:f>F2784-G2784</x:f>
        <x:v>0.24416665094266143</x:v>
      </x:c>
    </x:row>
    <x:row r="2785">
      <x:c r="A2785" s="2" t="str">
        <x:v>LiA3-Ref</x:v>
      </x:c>
      <x:c r="B2785" s="4" t="str">
        <x:v>NaCl</x:v>
      </x:c>
      <x:c r="C2785" s="23" t="n">
        <x:v>2.519292</x:v>
      </x:c>
      <x:c r="D2785" s="23" t="n">
        <x:v>-20.176</x:v>
      </x:c>
      <x:c r="E2785" s="23" t="n">
        <x:f>'Parameters'!$B$2*'Parameters'!$B$3*LN(4*PI()*C2785^2)</x:f>
        <x:v>10.855303417855568</x:v>
      </x:c>
      <x:c r="F2785" s="23" t="n">
        <x:f>D2785+E2785</x:f>
        <x:v>-9.32069658214443</x:v>
      </x:c>
      <x:c r="G2785" s="23" t="n">
        <x:f>AVERAGE($F$2742:$F$2766)</x:f>
        <x:v>-9.504497208366006</x:v>
      </x:c>
      <x:c r="H2785" s="24" t="n">
        <x:f>F2785-G2785</x:f>
        <x:v>0.18380062622157567</x:v>
      </x:c>
    </x:row>
    <x:row r="2786">
      <x:c r="A2786" s="2" t="str">
        <x:v>LiA3-Ref</x:v>
      </x:c>
      <x:c r="B2786" s="4" t="str">
        <x:v>NaCl</x:v>
      </x:c>
      <x:c r="C2786" s="23" t="n">
        <x:v>2.531656</x:v>
      </x:c>
      <x:c r="D2786" s="23" t="n">
        <x:v>-20.40803</x:v>
      </x:c>
      <x:c r="E2786" s="23" t="n">
        <x:f>'Parameters'!$B$2*'Parameters'!$B$3*LN(4*PI()*C2786^2)</x:f>
        <x:v>10.879575998711434</x:v>
      </x:c>
      <x:c r="F2786" s="23" t="n">
        <x:f>D2786+E2786</x:f>
        <x:v>-9.528454001288566</x:v>
      </x:c>
      <x:c r="G2786" s="23" t="n">
        <x:f>AVERAGE($F$2742:$F$2766)</x:f>
        <x:v>-9.504497208366006</x:v>
      </x:c>
      <x:c r="H2786" s="24" t="n">
        <x:f>F2786-G2786</x:f>
        <x:v>-0.0239567929225597</x:v>
      </x:c>
    </x:row>
    <x:row r="2787">
      <x:c r="A2787" s="2" t="str">
        <x:v>LiA3-Ref</x:v>
      </x:c>
      <x:c r="B2787" s="4" t="str">
        <x:v>NaCl</x:v>
      </x:c>
      <x:c r="C2787" s="23" t="n">
        <x:v>2.544021</x:v>
      </x:c>
      <x:c r="D2787" s="23" t="n">
        <x:v>-20.22587</x:v>
      </x:c>
      <x:c r="E2787" s="23" t="n">
        <x:f>'Parameters'!$B$2*'Parameters'!$B$3*LN(4*PI()*C2787^2)</x:f>
        <x:v>10.903732275250599</x:v>
      </x:c>
      <x:c r="F2787" s="23" t="n">
        <x:f>D2787+E2787</x:f>
        <x:v>-9.322137724749401</x:v>
      </x:c>
      <x:c r="G2787" s="23" t="n">
        <x:f>AVERAGE($F$2742:$F$2766)</x:f>
        <x:v>-9.504497208366006</x:v>
      </x:c>
      <x:c r="H2787" s="24" t="n">
        <x:f>F2787-G2787</x:f>
        <x:v>0.18235948361660448</x:v>
      </x:c>
    </x:row>
    <x:row r="2788">
      <x:c r="A2788" s="2" t="str">
        <x:v>LiA3-Ref</x:v>
      </x:c>
      <x:c r="B2788" s="4" t="str">
        <x:v>NaCl</x:v>
      </x:c>
      <x:c r="C2788" s="23" t="n">
        <x:v>2.556386</x:v>
      </x:c>
      <x:c r="D2788" s="23" t="n">
        <x:v>-20.38558</x:v>
      </x:c>
      <x:c r="E2788" s="23" t="n">
        <x:f>'Parameters'!$B$2*'Parameters'!$B$3*LN(4*PI()*C2788^2)</x:f>
        <x:v>10.927771426418163</x:v>
      </x:c>
      <x:c r="F2788" s="23" t="n">
        <x:f>D2788+E2788</x:f>
        <x:v>-9.457808573581838</x:v>
      </x:c>
      <x:c r="G2788" s="23" t="n">
        <x:f>AVERAGE($F$2742:$F$2766)</x:f>
        <x:v>-9.504497208366006</x:v>
      </x:c>
      <x:c r="H2788" s="24" t="n">
        <x:f>F2788-G2788</x:f>
        <x:v>0.04668863478416796</x:v>
      </x:c>
    </x:row>
    <x:row r="2789">
      <x:c r="A2789" s="2" t="str">
        <x:v>LiA3-Ref</x:v>
      </x:c>
      <x:c r="B2789" s="4" t="str">
        <x:v>NaCl</x:v>
      </x:c>
      <x:c r="C2789" s="23" t="n">
        <x:v>2.568751</x:v>
      </x:c>
      <x:c r="D2789" s="23" t="n">
        <x:v>-20.3845</x:v>
      </x:c>
      <x:c r="E2789" s="23" t="n">
        <x:f>'Parameters'!$B$2*'Parameters'!$B$3*LN(4*PI()*C2789^2)</x:f>
        <x:v>10.951694582536053</x:v>
      </x:c>
      <x:c r="F2789" s="23" t="n">
        <x:f>D2789+E2789</x:f>
        <x:v>-9.432805417463946</x:v>
      </x:c>
      <x:c r="G2789" s="23" t="n">
        <x:f>AVERAGE($F$2742:$F$2766)</x:f>
        <x:v>-9.504497208366006</x:v>
      </x:c>
      <x:c r="H2789" s="24" t="n">
        <x:f>F2789-G2789</x:f>
        <x:v>0.0716917909020598</x:v>
      </x:c>
    </x:row>
    <x:row r="2790">
      <x:c r="A2790" s="2" t="str">
        <x:v>LiA3-Ref</x:v>
      </x:c>
      <x:c r="B2790" s="4" t="str">
        <x:v>NaCl</x:v>
      </x:c>
      <x:c r="C2790" s="23" t="n">
        <x:v>2.581116</x:v>
      </x:c>
      <x:c r="D2790" s="23" t="n">
        <x:v>-20.19253</x:v>
      </x:c>
      <x:c r="E2790" s="23" t="n">
        <x:f>'Parameters'!$B$2*'Parameters'!$B$3*LN(4*PI()*C2790^2)</x:f>
        <x:v>10.975502857642441</x:v>
      </x:c>
      <x:c r="F2790" s="23" t="n">
        <x:f>D2790+E2790</x:f>
        <x:v>-9.21702714235756</x:v>
      </x:c>
      <x:c r="G2790" s="23" t="n">
        <x:f>AVERAGE($F$2742:$F$2766)</x:f>
        <x:v>-9.504497208366006</x:v>
      </x:c>
      <x:c r="H2790" s="24" t="n">
        <x:f>F2790-G2790</x:f>
        <x:v>0.2874700660084457</x:v>
      </x:c>
    </x:row>
    <x:row r="2791">
      <x:c r="A2791" s="2" t="str">
        <x:v>LiA3-Ref</x:v>
      </x:c>
      <x:c r="B2791" s="4" t="str">
        <x:v>NaCl</x:v>
      </x:c>
      <x:c r="C2791" s="23" t="n">
        <x:v>2.59348</x:v>
      </x:c>
      <x:c r="D2791" s="23" t="n">
        <x:v>-20.3964</x:v>
      </x:c>
      <x:c r="E2791" s="23" t="n">
        <x:f>'Parameters'!$B$2*'Parameters'!$B$3*LN(4*PI()*C2791^2)</x:f>
        <x:v>10.999195438119447</x:v>
      </x:c>
      <x:c r="F2791" s="23" t="n">
        <x:f>D2791+E2791</x:f>
        <x:v>-9.397204561880553</x:v>
      </x:c>
      <x:c r="G2791" s="23" t="n">
        <x:f>AVERAGE($F$2742:$F$2766)</x:f>
        <x:v>-9.504497208366006</x:v>
      </x:c>
      <x:c r="H2791" s="24" t="n">
        <x:f>F2791-G2791</x:f>
        <x:v>0.10729264648545289</x:v>
      </x:c>
    </x:row>
    <x:row r="2792">
      <x:c r="A2792" s="2" t="str">
        <x:v>LiA3-Ref</x:v>
      </x:c>
      <x:c r="B2792" s="4" t="str">
        <x:v>NaCl</x:v>
      </x:c>
      <x:c r="C2792" s="23" t="n">
        <x:v>2.605845</x:v>
      </x:c>
      <x:c r="D2792" s="23" t="n">
        <x:v>-20.37555</x:v>
      </x:c>
      <x:c r="E2792" s="23" t="n">
        <x:f>'Parameters'!$B$2*'Parameters'!$B$3*LN(4*PI()*C2792^2)</x:f>
        <x:v>11.022777238802444</x:v>
      </x:c>
      <x:c r="F2792" s="23" t="n">
        <x:f>D2792+E2792</x:f>
        <x:v>-9.352772761197556</x:v>
      </x:c>
      <x:c r="G2792" s="23" t="n">
        <x:f>AVERAGE($F$2742:$F$2766)</x:f>
        <x:v>-9.504497208366006</x:v>
      </x:c>
      <x:c r="H2792" s="24" t="n">
        <x:f>F2792-G2792</x:f>
        <x:v>0.15172444716844957</x:v>
      </x:c>
    </x:row>
    <x:row r="2793">
      <x:c r="A2793" s="2" t="str">
        <x:v>LiA3-Ref</x:v>
      </x:c>
      <x:c r="B2793" s="4" t="str">
        <x:v>NaCl</x:v>
      </x:c>
      <x:c r="C2793" s="23" t="n">
        <x:v>2.61821</x:v>
      </x:c>
      <x:c r="D2793" s="23" t="n">
        <x:v>-20.75439</x:v>
      </x:c>
      <x:c r="E2793" s="23" t="n">
        <x:f>'Parameters'!$B$2*'Parameters'!$B$3*LN(4*PI()*C2793^2)</x:f>
        <x:v>11.046247405876262</x:v>
      </x:c>
      <x:c r="F2793" s="23" t="n">
        <x:f>D2793+E2793</x:f>
        <x:v>-9.70814259412374</x:v>
      </x:c>
      <x:c r="G2793" s="23" t="n">
        <x:f>AVERAGE($F$2742:$F$2766)</x:f>
        <x:v>-9.504497208366006</x:v>
      </x:c>
      <x:c r="H2793" s="24" t="n">
        <x:f>F2793-G2793</x:f>
        <x:v>-0.20364538575773317</x:v>
      </x:c>
    </x:row>
    <x:row r="2794">
      <x:c r="A2794" s="2" t="str">
        <x:v>LiA3-Ref</x:v>
      </x:c>
      <x:c r="B2794" s="4" t="str">
        <x:v>NaCl</x:v>
      </x:c>
      <x:c r="C2794" s="23" t="n">
        <x:v>2.630575</x:v>
      </x:c>
      <x:c r="D2794" s="23" t="n">
        <x:v>-20.49698</x:v>
      </x:c>
      <x:c r="E2794" s="23" t="n">
        <x:f>'Parameters'!$B$2*'Parameters'!$B$3*LN(4*PI()*C2794^2)</x:f>
        <x:v>11.069606991285129</x:v>
      </x:c>
      <x:c r="F2794" s="23" t="n">
        <x:f>D2794+E2794</x:f>
        <x:v>-9.427373008714872</x:v>
      </x:c>
      <x:c r="G2794" s="23" t="n">
        <x:f>AVERAGE($F$2742:$F$2766)</x:f>
        <x:v>-9.504497208366006</x:v>
      </x:c>
      <x:c r="H2794" s="24" t="n">
        <x:f>F2794-G2794</x:f>
        <x:v>0.07712419965113426</x:v>
      </x:c>
    </x:row>
    <x:row r="2795">
      <x:c r="A2795" s="2" t="str">
        <x:v>LiA3-Ref</x:v>
      </x:c>
      <x:c r="B2795" s="4" t="str">
        <x:v>NaCl</x:v>
      </x:c>
      <x:c r="C2795" s="23" t="n">
        <x:v>2.64294</x:v>
      </x:c>
      <x:c r="D2795" s="23" t="n">
        <x:v>-20.4408</x:v>
      </x:c>
      <x:c r="E2795" s="23" t="n">
        <x:f>'Parameters'!$B$2*'Parameters'!$B$3*LN(4*PI()*C2795^2)</x:f>
        <x:v>11.092857032173981</x:v>
      </x:c>
      <x:c r="F2795" s="23" t="n">
        <x:f>D2795+E2795</x:f>
        <x:v>-9.347942967826018</x:v>
      </x:c>
      <x:c r="G2795" s="23" t="n">
        <x:f>AVERAGE($F$2742:$F$2766)</x:f>
        <x:v>-9.504497208366006</x:v>
      </x:c>
      <x:c r="H2795" s="24" t="n">
        <x:f>F2795-G2795</x:f>
        <x:v>0.1565542405399878</x:v>
      </x:c>
    </x:row>
    <x:row r="2796">
      <x:c r="A2796" s="2" t="str">
        <x:v>LiA3-Ref</x:v>
      </x:c>
      <x:c r="B2796" s="4" t="str">
        <x:v>NaCl</x:v>
      </x:c>
      <x:c r="C2796" s="23" t="n">
        <x:v>2.655305</x:v>
      </x:c>
      <x:c r="D2796" s="23" t="n">
        <x:v>-19.86289</x:v>
      </x:c>
      <x:c r="E2796" s="23" t="n">
        <x:f>'Parameters'!$B$2*'Parameters'!$B$3*LN(4*PI()*C2796^2)</x:f>
        <x:v>11.115998551164763</x:v>
      </x:c>
      <x:c r="F2796" s="23" t="n">
        <x:f>D2796+E2796</x:f>
        <x:v>-8.746891448835237</x:v>
      </x:c>
      <x:c r="G2796" s="23" t="n">
        <x:f>AVERAGE($F$2742:$F$2766)</x:f>
        <x:v>-9.504497208366006</x:v>
      </x:c>
      <x:c r="H2796" s="24" t="n">
        <x:f>F2796-G2796</x:f>
        <x:v>0.7576057595307688</x:v>
      </x:c>
    </x:row>
    <x:row r="2797">
      <x:c r="A2797" s="2" t="str">
        <x:v>LiA3-Ref</x:v>
      </x:c>
      <x:c r="B2797" s="4" t="str">
        <x:v>NaCl</x:v>
      </x:c>
      <x:c r="C2797" s="23" t="n">
        <x:v>2.667669</x:v>
      </x:c>
      <x:c r="D2797" s="23" t="n">
        <x:v>-21.0269</x:v>
      </x:c>
      <x:c r="E2797" s="23" t="n">
        <x:f>'Parameters'!$B$2*'Parameters'!$B$3*LN(4*PI()*C2797^2)</x:f>
        <x:v>11.139030698107467</x:v>
      </x:c>
      <x:c r="F2797" s="23" t="n">
        <x:f>D2797+E2797</x:f>
        <x:v>-9.887869301892534</x:v>
      </x:c>
      <x:c r="G2797" s="23" t="n">
        <x:f>AVERAGE($F$2742:$F$2766)</x:f>
        <x:v>-9.504497208366006</x:v>
      </x:c>
      <x:c r="H2797" s="24" t="n">
        <x:f>F2797-G2797</x:f>
        <x:v>-0.38337209352652835</x:v>
      </x:c>
    </x:row>
    <x:row r="2798">
      <x:c r="A2798" s="2" t="str">
        <x:v>LiA3-Ref</x:v>
      </x:c>
      <x:c r="B2798" s="4" t="str">
        <x:v>NaCl</x:v>
      </x:c>
      <x:c r="C2798" s="23" t="n">
        <x:v>2.680034</x:v>
      </x:c>
      <x:c r="D2798" s="23" t="n">
        <x:v>-20.14003</x:v>
      </x:c>
      <x:c r="E2798" s="23" t="n">
        <x:f>'Parameters'!$B$2*'Parameters'!$B$3*LN(4*PI()*C2798^2)</x:f>
        <x:v>11.161958192993943</x:v>
      </x:c>
      <x:c r="F2798" s="23" t="n">
        <x:f>D2798+E2798</x:f>
        <x:v>-8.978071807006057</x:v>
      </x:c>
      <x:c r="G2798" s="23" t="n">
        <x:f>AVERAGE($F$2742:$F$2766)</x:f>
        <x:v>-9.504497208366006</x:v>
      </x:c>
      <x:c r="H2798" s="24" t="n">
        <x:f>F2798-G2798</x:f>
        <x:v>0.5264254013599494</x:v>
      </x:c>
    </x:row>
    <x:row r="2799">
      <x:c r="A2799" s="2" t="str">
        <x:v>LiA3-Ref</x:v>
      </x:c>
      <x:c r="B2799" s="4" t="str">
        <x:v>NaCl</x:v>
      </x:c>
      <x:c r="C2799" s="23" t="n">
        <x:v>2.692399</x:v>
      </x:c>
      <x:c r="D2799" s="23" t="n">
        <x:v>-20.91097</x:v>
      </x:c>
      <x:c r="E2799" s="23" t="n">
        <x:f>'Parameters'!$B$2*'Parameters'!$B$3*LN(4*PI()*C2799^2)</x:f>
        <x:v>11.184780149299387</x:v>
      </x:c>
      <x:c r="F2799" s="23" t="n">
        <x:f>D2799+E2799</x:f>
        <x:v>-9.726189850700612</x:v>
      </x:c>
      <x:c r="G2799" s="23" t="n">
        <x:f>AVERAGE($F$2742:$F$2766)</x:f>
        <x:v>-9.504497208366006</x:v>
      </x:c>
      <x:c r="H2799" s="24" t="n">
        <x:f>F2799-G2799</x:f>
        <x:v>-0.22169264233460595</x:v>
      </x:c>
    </x:row>
    <x:row r="2800">
      <x:c r="A2800" s="2" t="str">
        <x:v>LiA3-Ref</x:v>
      </x:c>
      <x:c r="B2800" s="4" t="str">
        <x:v>NaCl</x:v>
      </x:c>
      <x:c r="C2800" s="23" t="n">
        <x:v>2.704764</x:v>
      </x:c>
      <x:c r="D2800" s="23" t="n">
        <x:v>-20.91925</x:v>
      </x:c>
      <x:c r="E2800" s="23" t="n">
        <x:f>'Parameters'!$B$2*'Parameters'!$B$3*LN(4*PI()*C2800^2)</x:f>
        <x:v>11.207497534192246</x:v>
      </x:c>
      <x:c r="F2800" s="23" t="n">
        <x:f>D2800+E2800</x:f>
        <x:v>-9.711752465807756</x:v>
      </x:c>
      <x:c r="G2800" s="23" t="n">
        <x:f>AVERAGE($F$2742:$F$2766)</x:f>
        <x:v>-9.504497208366006</x:v>
      </x:c>
      <x:c r="H2800" s="24" t="n">
        <x:f>F2800-G2800</x:f>
        <x:v>-0.20725525744174966</x:v>
      </x:c>
    </x:row>
    <x:row r="2801">
      <x:c r="A2801" s="2" t="str">
        <x:v>LiA3-Ref</x:v>
      </x:c>
      <x:c r="B2801" s="4" t="str">
        <x:v>NaCl</x:v>
      </x:c>
      <x:c r="C2801" s="23" t="n">
        <x:v>2.717129</x:v>
      </x:c>
      <x:c r="D2801" s="23" t="n">
        <x:v>-21.37153</x:v>
      </x:c>
      <x:c r="E2801" s="23" t="n">
        <x:f>'Parameters'!$B$2*'Parameters'!$B$3*LN(4*PI()*C2801^2)</x:f>
        <x:v>11.2301113016067</x:v>
      </x:c>
      <x:c r="F2801" s="23" t="n">
        <x:f>D2801+E2801</x:f>
        <x:v>-10.1414186983933</x:v>
      </x:c>
      <x:c r="G2801" s="23" t="n">
        <x:f>AVERAGE($F$2742:$F$2766)</x:f>
        <x:v>-9.504497208366006</x:v>
      </x:c>
      <x:c r="H2801" s="24" t="n">
        <x:f>F2801-G2801</x:f>
        <x:v>-0.6369214900272944</x:v>
      </x:c>
    </x:row>
    <x:row r="2802">
      <x:c r="A2802" s="2" t="str">
        <x:v>LiN3-Core</x:v>
      </x:c>
      <x:c r="B2802" s="4" t="str">
        <x:v>LiCl</x:v>
      </x:c>
      <x:c r="C2802" s="23" t="n">
        <x:v>0.2928192</x:v>
      </x:c>
      <x:c r="D2802" s="23" t="n">
        <x:v>0</x:v>
      </x:c>
      <x:c r="E2802" s="23" t="n">
        <x:f>'Parameters'!$B$2*'Parameters'!$B$3*LN(4*PI()*C2802^2)</x:f>
        <x:v>0.1849906720866368</x:v>
      </x:c>
      <x:c r="F2802" s="23" t="n">
        <x:f>D2802+E2802</x:f>
        <x:v>0.1849906720866368</x:v>
      </x:c>
      <x:c r="G2802" s="23" t="n">
        <x:f>AVERAGE($F$2945:$F$2968)</x:f>
        <x:v>-10.295726568251665</x:v>
      </x:c>
      <x:c r="H2802" s="24" t="n">
        <x:f>F2802-G2802</x:f>
        <x:v>10.4807172403383</x:v>
      </x:c>
    </x:row>
    <x:row r="2803">
      <x:c r="A2803" s="2" t="str">
        <x:v>LiN3-Core</x:v>
      </x:c>
      <x:c r="B2803" s="4" t="str">
        <x:v>LiCl</x:v>
      </x:c>
      <x:c r="C2803" s="23" t="n">
        <x:v>0.3052197</x:v>
      </x:c>
      <x:c r="D2803" s="23" t="n">
        <x:v>-0.9490665</x:v>
      </x:c>
      <x:c r="E2803" s="23" t="n">
        <x:f>'Parameters'!$B$2*'Parameters'!$B$3*LN(4*PI()*C2803^2)</x:f>
        <x:v>0.39062755220719314</x:v>
      </x:c>
      <x:c r="F2803" s="23" t="n">
        <x:f>D2803+E2803</x:f>
        <x:v>-0.5584389477928069</x:v>
      </x:c>
      <x:c r="G2803" s="23" t="n">
        <x:f>AVERAGE($F$2945:$F$2968)</x:f>
        <x:v>-10.295726568251665</x:v>
      </x:c>
      <x:c r="H2803" s="24" t="n">
        <x:f>F2803-G2803</x:f>
        <x:v>9.737287620458858</x:v>
      </x:c>
    </x:row>
    <x:row r="2804">
      <x:c r="A2804" s="2" t="str">
        <x:v>LiN3-Core</x:v>
      </x:c>
      <x:c r="B2804" s="4" t="str">
        <x:v>LiCl</x:v>
      </x:c>
      <x:c r="C2804" s="23" t="n">
        <x:v>0.3176201</x:v>
      </x:c>
      <x:c r="D2804" s="23" t="n">
        <x:v>-2.331759</x:v>
      </x:c>
      <x:c r="E2804" s="23" t="n">
        <x:f>'Parameters'!$B$2*'Parameters'!$B$3*LN(4*PI()*C2804^2)</x:f>
        <x:v>0.5880723613704246</x:v>
      </x:c>
      <x:c r="F2804" s="23" t="n">
        <x:f>D2804+E2804</x:f>
        <x:v>-1.7436866386295753</x:v>
      </x:c>
      <x:c r="G2804" s="23" t="n">
        <x:f>AVERAGE($F$2945:$F$2968)</x:f>
        <x:v>-10.295726568251665</x:v>
      </x:c>
      <x:c r="H2804" s="24" t="n">
        <x:f>F2804-G2804</x:f>
        <x:v>8.55203992962209</x:v>
      </x:c>
    </x:row>
    <x:row r="2805">
      <x:c r="A2805" s="2" t="str">
        <x:v>LiN3-Core</x:v>
      </x:c>
      <x:c r="B2805" s="4" t="str">
        <x:v>LiCl</x:v>
      </x:c>
      <x:c r="C2805" s="23" t="n">
        <x:v>0.3300205</x:v>
      </x:c>
      <x:c r="D2805" s="23" t="n">
        <x:v>-3.586061</x:v>
      </x:c>
      <x:c r="E2805" s="23" t="n">
        <x:f>'Parameters'!$B$2*'Parameters'!$B$3*LN(4*PI()*C2805^2)</x:f>
        <x:v>0.7779543181529927</x:v>
      </x:c>
      <x:c r="F2805" s="23" t="n">
        <x:f>D2805+E2805</x:f>
        <x:v>-2.8081066818470073</x:v>
      </x:c>
      <x:c r="G2805" s="23" t="n">
        <x:f>AVERAGE($F$2945:$F$2968)</x:f>
        <x:v>-10.295726568251665</x:v>
      </x:c>
      <x:c r="H2805" s="24" t="n">
        <x:f>F2805-G2805</x:f>
        <x:v>7.487619886404657</x:v>
      </x:c>
    </x:row>
    <x:row r="2806">
      <x:c r="A2806" s="2" t="str">
        <x:v>LiN3-Core</x:v>
      </x:c>
      <x:c r="B2806" s="4" t="str">
        <x:v>LiCl</x:v>
      </x:c>
      <x:c r="C2806" s="23" t="n">
        <x:v>0.3424209</x:v>
      </x:c>
      <x:c r="D2806" s="23" t="n">
        <x:v>-4.462214</x:v>
      </x:c>
      <x:c r="E2806" s="23" t="n">
        <x:f>'Parameters'!$B$2*'Parameters'!$B$3*LN(4*PI()*C2806^2)</x:f>
        <x:v>0.9608314819024885</x:v>
      </x:c>
      <x:c r="F2806" s="23" t="n">
        <x:f>D2806+E2806</x:f>
        <x:v>-3.501382518097512</x:v>
      </x:c>
      <x:c r="G2806" s="23" t="n">
        <x:f>AVERAGE($F$2945:$F$2968)</x:f>
        <x:v>-10.295726568251665</x:v>
      </x:c>
      <x:c r="H2806" s="24" t="n">
        <x:f>F2806-G2806</x:f>
        <x:v>6.7943440501541525</x:v>
      </x:c>
    </x:row>
    <x:row r="2807">
      <x:c r="A2807" s="2" t="str">
        <x:v>LiN3-Core</x:v>
      </x:c>
      <x:c r="B2807" s="4" t="str">
        <x:v>LiCl</x:v>
      </x:c>
      <x:c r="C2807" s="23" t="n">
        <x:v>0.3548214</x:v>
      </x:c>
      <x:c r="D2807" s="23" t="n">
        <x:v>-4.508552</x:v>
      </x:c>
      <x:c r="E2807" s="23" t="n">
        <x:f>'Parameters'!$B$2*'Parameters'!$B$3*LN(4*PI()*C2807^2)</x:f>
        <x:v>1.1372037324186364</x:v>
      </x:c>
      <x:c r="F2807" s="23" t="n">
        <x:f>D2807+E2807</x:f>
        <x:v>-3.3713482675813635</x:v>
      </x:c>
      <x:c r="G2807" s="23" t="n">
        <x:f>AVERAGE($F$2945:$F$2968)</x:f>
        <x:v>-10.295726568251665</x:v>
      </x:c>
      <x:c r="H2807" s="24" t="n">
        <x:f>F2807-G2807</x:f>
        <x:v>6.924378300670301</x:v>
      </x:c>
    </x:row>
    <x:row r="2808">
      <x:c r="A2808" s="2" t="str">
        <x:v>LiN3-Core</x:v>
      </x:c>
      <x:c r="B2808" s="4" t="str">
        <x:v>LiCl</x:v>
      </x:c>
      <x:c r="C2808" s="23" t="n">
        <x:v>0.3672218</x:v>
      </x:c>
      <x:c r="D2808" s="23" t="n">
        <x:v>-5.173908</x:v>
      </x:c>
      <x:c r="E2808" s="23" t="n">
        <x:f>'Parameters'!$B$2*'Parameters'!$B$3*LN(4*PI()*C2808^2)</x:f>
        <x:v>1.3075153233120884</x:v>
      </x:c>
      <x:c r="F2808" s="23" t="n">
        <x:f>D2808+E2808</x:f>
        <x:v>-3.8663926766879113</x:v>
      </x:c>
      <x:c r="G2808" s="23" t="n">
        <x:f>AVERAGE($F$2945:$F$2968)</x:f>
        <x:v>-10.295726568251665</x:v>
      </x:c>
      <x:c r="H2808" s="24" t="n">
        <x:f>F2808-G2808</x:f>
        <x:v>6.429333891563753</x:v>
      </x:c>
    </x:row>
    <x:row r="2809">
      <x:c r="A2809" s="2" t="str">
        <x:v>LiN3-Core</x:v>
      </x:c>
      <x:c r="B2809" s="4" t="str">
        <x:v>LiCl</x:v>
      </x:c>
      <x:c r="C2809" s="23" t="n">
        <x:v>0.3796222</x:v>
      </x:c>
      <x:c r="D2809" s="23" t="n">
        <x:v>-4.948617</x:v>
      </x:c>
      <x:c r="E2809" s="23" t="n">
        <x:f>'Parameters'!$B$2*'Parameters'!$B$3*LN(4*PI()*C2809^2)</x:f>
        <x:v>1.4721702395457923</x:v>
      </x:c>
      <x:c r="F2809" s="23" t="n">
        <x:f>D2809+E2809</x:f>
        <x:v>-3.4764467604542073</x:v>
      </x:c>
      <x:c r="G2809" s="23" t="n">
        <x:f>AVERAGE($F$2945:$F$2968)</x:f>
        <x:v>-10.295726568251665</x:v>
      </x:c>
      <x:c r="H2809" s="24" t="n">
        <x:f>F2809-G2809</x:f>
        <x:v>6.819279807797457</x:v>
      </x:c>
    </x:row>
    <x:row r="2810">
      <x:c r="A2810" s="2" t="str">
        <x:v>LiN3-Core</x:v>
      </x:c>
      <x:c r="B2810" s="4" t="str">
        <x:v>LiCl</x:v>
      </x:c>
      <x:c r="C2810" s="23" t="n">
        <x:v>0.3920227</x:v>
      </x:c>
      <x:c r="D2810" s="23" t="n">
        <x:v>-6.265813</x:v>
      </x:c>
      <x:c r="E2810" s="23" t="n">
        <x:f>'Parameters'!$B$2*'Parameters'!$B$3*LN(4*PI()*C2810^2)</x:f>
        <x:v>1.631533455981471</x:v>
      </x:c>
      <x:c r="F2810" s="23" t="n">
        <x:f>D2810+E2810</x:f>
        <x:v>-4.634279544018529</x:v>
      </x:c>
      <x:c r="G2810" s="23" t="n">
        <x:f>AVERAGE($F$2945:$F$2968)</x:f>
        <x:v>-10.295726568251665</x:v>
      </x:c>
      <x:c r="H2810" s="24" t="n">
        <x:f>F2810-G2810</x:f>
        <x:v>5.661447024233135</x:v>
      </x:c>
    </x:row>
    <x:row r="2811">
      <x:c r="A2811" s="2" t="str">
        <x:v>LiN3-Core</x:v>
      </x:c>
      <x:c r="B2811" s="4" t="str">
        <x:v>LiCl</x:v>
      </x:c>
      <x:c r="C2811" s="23" t="n">
        <x:v>0.4044231</x:v>
      </x:c>
      <x:c r="D2811" s="23" t="n">
        <x:v>-7.039351</x:v>
      </x:c>
      <x:c r="E2811" s="23" t="n">
        <x:f>'Parameters'!$B$2*'Parameters'!$B$3*LN(4*PI()*C2811^2)</x:f>
        <x:v>1.785932125965112</x:v>
      </x:c>
      <x:c r="F2811" s="23" t="n">
        <x:f>D2811+E2811</x:f>
        <x:v>-5.253418874034888</x:v>
      </x:c>
      <x:c r="G2811" s="23" t="n">
        <x:f>AVERAGE($F$2945:$F$2968)</x:f>
        <x:v>-10.295726568251665</x:v>
      </x:c>
      <x:c r="H2811" s="24" t="n">
        <x:f>F2811-G2811</x:f>
        <x:v>5.042307694216777</x:v>
      </x:c>
    </x:row>
    <x:row r="2812">
      <x:c r="A2812" s="2" t="str">
        <x:v>LiN3-Core</x:v>
      </x:c>
      <x:c r="B2812" s="4" t="str">
        <x:v>LiCl</x:v>
      </x:c>
      <x:c r="C2812" s="23" t="n">
        <x:v>0.4168235</x:v>
      </x:c>
      <x:c r="D2812" s="23" t="n">
        <x:v>-8.093153</x:v>
      </x:c>
      <x:c r="E2812" s="23" t="n">
        <x:f>'Parameters'!$B$2*'Parameters'!$B$3*LN(4*PI()*C2812^2)</x:f>
        <x:v>1.9356673955263544</x:v>
      </x:c>
      <x:c r="F2812" s="23" t="n">
        <x:f>D2812+E2812</x:f>
        <x:v>-6.157485604473645</x:v>
      </x:c>
      <x:c r="G2812" s="23" t="n">
        <x:f>AVERAGE($F$2945:$F$2968)</x:f>
        <x:v>-10.295726568251665</x:v>
      </x:c>
      <x:c r="H2812" s="24" t="n">
        <x:f>F2812-G2812</x:f>
        <x:v>4.13824096377802</x:v>
      </x:c>
    </x:row>
    <x:row r="2813">
      <x:c r="A2813" s="2" t="str">
        <x:v>LiN3-Core</x:v>
      </x:c>
      <x:c r="B2813" s="4" t="str">
        <x:v>LiCl</x:v>
      </x:c>
      <x:c r="C2813" s="23" t="n">
        <x:v>0.429224</x:v>
      </x:c>
      <x:c r="D2813" s="23" t="n">
        <x:v>-9.19806</x:v>
      </x:c>
      <x:c r="E2813" s="23" t="n">
        <x:f>'Parameters'!$B$2*'Parameters'!$B$3*LN(4*PI()*C2813^2)</x:f>
        <x:v>2.0810138835765852</x:v>
      </x:c>
      <x:c r="F2813" s="23" t="n">
        <x:f>D2813+E2813</x:f>
        <x:v>-7.117046116423415</x:v>
      </x:c>
      <x:c r="G2813" s="23" t="n">
        <x:f>AVERAGE($F$2945:$F$2968)</x:f>
        <x:v>-10.295726568251665</x:v>
      </x:c>
      <x:c r="H2813" s="24" t="n">
        <x:f>F2813-G2813</x:f>
        <x:v>3.1786804518282494</x:v>
      </x:c>
    </x:row>
    <x:row r="2814">
      <x:c r="A2814" s="2" t="str">
        <x:v>LiN3-Core</x:v>
      </x:c>
      <x:c r="B2814" s="4" t="str">
        <x:v>LiCl</x:v>
      </x:c>
      <x:c r="C2814" s="23" t="n">
        <x:v>0.4416244</x:v>
      </x:c>
      <x:c r="D2814" s="23" t="n">
        <x:v>-9.97914</x:v>
      </x:c>
      <x:c r="E2814" s="23" t="n">
        <x:f>'Parameters'!$B$2*'Parameters'!$B$3*LN(4*PI()*C2814^2)</x:f>
        <x:v>2.2222193408748634</x:v>
      </x:c>
      <x:c r="F2814" s="23" t="n">
        <x:f>D2814+E2814</x:f>
        <x:v>-7.756920659125136</x:v>
      </x:c>
      <x:c r="G2814" s="23" t="n">
        <x:f>AVERAGE($F$2945:$F$2968)</x:f>
        <x:v>-10.295726568251665</x:v>
      </x:c>
      <x:c r="H2814" s="24" t="n">
        <x:f>F2814-G2814</x:f>
        <x:v>2.5388059091265287</x:v>
      </x:c>
    </x:row>
    <x:row r="2815">
      <x:c r="A2815" s="2" t="str">
        <x:v>LiN3-Core</x:v>
      </x:c>
      <x:c r="B2815" s="4" t="str">
        <x:v>LiCl</x:v>
      </x:c>
      <x:c r="C2815" s="23" t="n">
        <x:v>0.4540248</x:v>
      </x:c>
      <x:c r="D2815" s="23" t="n">
        <x:v>-10.80014</x:v>
      </x:c>
      <x:c r="E2815" s="23" t="n">
        <x:f>'Parameters'!$B$2*'Parameters'!$B$3*LN(4*PI()*C2815^2)</x:f>
        <x:v>2.35951426904641</x:v>
      </x:c>
      <x:c r="F2815" s="23" t="n">
        <x:f>D2815+E2815</x:f>
        <x:v>-8.440625730953592</x:v>
      </x:c>
      <x:c r="G2815" s="23" t="n">
        <x:f>AVERAGE($F$2945:$F$2968)</x:f>
        <x:v>-10.295726568251665</x:v>
      </x:c>
      <x:c r="H2815" s="24" t="n">
        <x:f>F2815-G2815</x:f>
        <x:v>1.8551008372980728</x:v>
      </x:c>
    </x:row>
    <x:row r="2816">
      <x:c r="A2816" s="2" t="str">
        <x:v>LiN3-Core</x:v>
      </x:c>
      <x:c r="B2816" s="4" t="str">
        <x:v>LiCl</x:v>
      </x:c>
      <x:c r="C2816" s="23" t="n">
        <x:v>0.4664252</x:v>
      </x:c>
      <x:c r="D2816" s="23" t="n">
        <x:v>-11.28641</x:v>
      </x:c>
      <x:c r="E2816" s="23" t="n">
        <x:f>'Parameters'!$B$2*'Parameters'!$B$3*LN(4*PI()*C2816^2)</x:f>
        <x:v>2.493109439677359</x:v>
      </x:c>
      <x:c r="F2816" s="23" t="n">
        <x:f>D2816+E2816</x:f>
        <x:v>-8.793300560322642</x:v>
      </x:c>
      <x:c r="G2816" s="23" t="n">
        <x:f>AVERAGE($F$2945:$F$2968)</x:f>
        <x:v>-10.295726568251665</x:v>
      </x:c>
      <x:c r="H2816" s="24" t="n">
        <x:f>F2816-G2816</x:f>
        <x:v>1.5024260079290226</x:v>
      </x:c>
    </x:row>
    <x:row r="2817">
      <x:c r="A2817" s="2" t="str">
        <x:v>LiN3-Core</x:v>
      </x:c>
      <x:c r="B2817" s="4" t="str">
        <x:v>LiCl</x:v>
      </x:c>
      <x:c r="C2817" s="23" t="n">
        <x:v>0.4788257</x:v>
      </x:c>
      <x:c r="D2817" s="23" t="n">
        <x:v>-11.62979</x:v>
      </x:c>
      <x:c r="E2817" s="23" t="n">
        <x:f>'Parameters'!$B$2*'Parameters'!$B$3*LN(4*PI()*C2817^2)</x:f>
        <x:v>2.623200065605892</x:v>
      </x:c>
      <x:c r="F2817" s="23" t="n">
        <x:f>D2817+E2817</x:f>
        <x:v>-9.006589934394107</x:v>
      </x:c>
      <x:c r="G2817" s="23" t="n">
        <x:f>AVERAGE($F$2945:$F$2968)</x:f>
        <x:v>-10.295726568251665</x:v>
      </x:c>
      <x:c r="H2817" s="24" t="n">
        <x:f>F2817-G2817</x:f>
        <x:v>1.2891366338575576</x:v>
      </x:c>
    </x:row>
    <x:row r="2818">
      <x:c r="A2818" s="2" t="str">
        <x:v>LiN3-Core</x:v>
      </x:c>
      <x:c r="B2818" s="4" t="str">
        <x:v>LiCl</x:v>
      </x:c>
      <x:c r="C2818" s="23" t="n">
        <x:v>0.4912261</x:v>
      </x:c>
      <x:c r="D2818" s="23" t="n">
        <x:v>-12.31993</x:v>
      </x:c>
      <x:c r="E2818" s="23" t="n">
        <x:f>'Parameters'!$B$2*'Parameters'!$B$3*LN(4*PI()*C2818^2)</x:f>
        <x:v>2.749963330562591</x:v>
      </x:c>
      <x:c r="F2818" s="23" t="n">
        <x:f>D2818+E2818</x:f>
        <x:v>-9.56996666943741</x:v>
      </x:c>
      <x:c r="G2818" s="23" t="n">
        <x:f>AVERAGE($F$2945:$F$2968)</x:f>
        <x:v>-10.295726568251665</x:v>
      </x:c>
      <x:c r="H2818" s="24" t="n">
        <x:f>F2818-G2818</x:f>
        <x:v>0.7257598988142551</x:v>
      </x:c>
    </x:row>
    <x:row r="2819">
      <x:c r="A2819" s="2" t="str">
        <x:v>LiN3-Core</x:v>
      </x:c>
      <x:c r="B2819" s="4" t="str">
        <x:v>LiCl</x:v>
      </x:c>
      <x:c r="C2819" s="23" t="n">
        <x:v>0.5036265</x:v>
      </x:c>
      <x:c r="D2819" s="23" t="n">
        <x:v>-12.79008</x:v>
      </x:c>
      <x:c r="E2819" s="23" t="n">
        <x:f>'Parameters'!$B$2*'Parameters'!$B$3*LN(4*PI()*C2819^2)</x:f>
        <x:v>2.8735661673138946</x:v>
      </x:c>
      <x:c r="F2819" s="23" t="n">
        <x:f>D2819+E2819</x:f>
        <x:v>-9.916513832686105</x:v>
      </x:c>
      <x:c r="G2819" s="23" t="n">
        <x:f>AVERAGE($F$2945:$F$2968)</x:f>
        <x:v>-10.295726568251665</x:v>
      </x:c>
      <x:c r="H2819" s="24" t="n">
        <x:f>F2819-G2819</x:f>
        <x:v>0.37921273556555946</x:v>
      </x:c>
    </x:row>
    <x:row r="2820">
      <x:c r="A2820" s="2" t="str">
        <x:v>LiN3-Core</x:v>
      </x:c>
      <x:c r="B2820" s="4" t="str">
        <x:v>LiCl</x:v>
      </x:c>
      <x:c r="C2820" s="23" t="n">
        <x:v>0.516027</x:v>
      </x:c>
      <x:c r="D2820" s="23" t="n">
        <x:v>-13.14705</x:v>
      </x:c>
      <x:c r="E2820" s="23" t="n">
        <x:f>'Parameters'!$B$2*'Parameters'!$B$3*LN(4*PI()*C2820^2)</x:f>
        <x:v>2.9941633007307678</x:v>
      </x:c>
      <x:c r="F2820" s="23" t="n">
        <x:f>D2820+E2820</x:f>
        <x:v>-10.152886699269231</x:v>
      </x:c>
      <x:c r="G2820" s="23" t="n">
        <x:f>AVERAGE($F$2945:$F$2968)</x:f>
        <x:v>-10.295726568251665</x:v>
      </x:c>
      <x:c r="H2820" s="24" t="n">
        <x:f>F2820-G2820</x:f>
        <x:v>0.14283986898243306</x:v>
      </x:c>
    </x:row>
    <x:row r="2821">
      <x:c r="A2821" s="2" t="str">
        <x:v>LiN3-Core</x:v>
      </x:c>
      <x:c r="B2821" s="4" t="str">
        <x:v>LiCl</x:v>
      </x:c>
      <x:c r="C2821" s="23" t="n">
        <x:v>0.5284274</x:v>
      </x:c>
      <x:c r="D2821" s="23" t="n">
        <x:v>-13.72455</x:v>
      </x:c>
      <x:c r="E2821" s="23" t="n">
        <x:f>'Parameters'!$B$2*'Parameters'!$B$3*LN(4*PI()*C2821^2)</x:f>
        <x:v>3.1118955951551293</x:v>
      </x:c>
      <x:c r="F2821" s="23" t="n">
        <x:f>D2821+E2821</x:f>
        <x:v>-10.612654404844871</x:v>
      </x:c>
      <x:c r="G2821" s="23" t="n">
        <x:f>AVERAGE($F$2945:$F$2968)</x:f>
        <x:v>-10.295726568251665</x:v>
      </x:c>
      <x:c r="H2821" s="24" t="n">
        <x:f>F2821-G2821</x:f>
        <x:v>-0.3169278365932069</x:v>
      </x:c>
    </x:row>
    <x:row r="2822">
      <x:c r="A2822" s="2" t="str">
        <x:v>LiN3-Core</x:v>
      </x:c>
      <x:c r="B2822" s="4" t="str">
        <x:v>LiCl</x:v>
      </x:c>
      <x:c r="C2822" s="23" t="n">
        <x:v>0.5408278</x:v>
      </x:c>
      <x:c r="D2822" s="23" t="n">
        <x:v>-14.20776</x:v>
      </x:c>
      <x:c r="E2822" s="23" t="n">
        <x:f>'Parameters'!$B$2*'Parameters'!$B$3*LN(4*PI()*C2822^2)</x:f>
        <x:v>3.2268969044669897</x:v>
      </x:c>
      <x:c r="F2822" s="23" t="n">
        <x:f>D2822+E2822</x:f>
        <x:v>-10.98086309553301</x:v>
      </x:c>
      <x:c r="G2822" s="23" t="n">
        <x:f>AVERAGE($F$2945:$F$2968)</x:f>
        <x:v>-10.295726568251665</x:v>
      </x:c>
      <x:c r="H2822" s="24" t="n">
        <x:f>F2822-G2822</x:f>
        <x:v>-0.6851365272813457</x:v>
      </x:c>
    </x:row>
    <x:row r="2823">
      <x:c r="A2823" s="2" t="str">
        <x:v>LiN3-Core</x:v>
      </x:c>
      <x:c r="B2823" s="4" t="str">
        <x:v>LiCl</x:v>
      </x:c>
      <x:c r="C2823" s="23" t="n">
        <x:v>0.5532283</x:v>
      </x:c>
      <x:c r="D2823" s="23" t="n">
        <x:v>-14.68243</x:v>
      </x:c>
      <x:c r="E2823" s="23" t="n">
        <x:f>'Parameters'!$B$2*'Parameters'!$B$3*LN(4*PI()*C2823^2)</x:f>
        <x:v>3.3392919567566843</x:v>
      </x:c>
      <x:c r="F2823" s="23" t="n">
        <x:f>D2823+E2823</x:f>
        <x:v>-11.343138043243316</x:v>
      </x:c>
      <x:c r="G2823" s="23" t="n">
        <x:f>AVERAGE($F$2945:$F$2968)</x:f>
        <x:v>-10.295726568251665</x:v>
      </x:c>
      <x:c r="H2823" s="24" t="n">
        <x:f>F2823-G2823</x:f>
        <x:v>-1.0474114749916517</x:v>
      </x:c>
    </x:row>
    <x:row r="2824">
      <x:c r="A2824" s="2" t="str">
        <x:v>LiN3-Core</x:v>
      </x:c>
      <x:c r="B2824" s="4" t="str">
        <x:v>LiCl</x:v>
      </x:c>
      <x:c r="C2824" s="23" t="n">
        <x:v>0.5656287</x:v>
      </x:c>
      <x:c r="D2824" s="23" t="n">
        <x:v>-14.8618</x:v>
      </x:c>
      <x:c r="E2824" s="23" t="n">
        <x:f>'Parameters'!$B$2*'Parameters'!$B$3*LN(4*PI()*C2824^2)</x:f>
        <x:v>3.449194535887443</x:v>
      </x:c>
      <x:c r="F2824" s="23" t="n">
        <x:f>D2824+E2824</x:f>
        <x:v>-11.412605464112557</x:v>
      </x:c>
      <x:c r="G2824" s="23" t="n">
        <x:f>AVERAGE($F$2945:$F$2968)</x:f>
        <x:v>-10.295726568251665</x:v>
      </x:c>
      <x:c r="H2824" s="24" t="n">
        <x:f>F2824-G2824</x:f>
        <x:v>-1.1168788958608928</x:v>
      </x:c>
    </x:row>
    <x:row r="2825">
      <x:c r="A2825" s="2" t="str">
        <x:v>LiN3-Core</x:v>
      </x:c>
      <x:c r="B2825" s="4" t="str">
        <x:v>LiCl</x:v>
      </x:c>
      <x:c r="C2825" s="23" t="n">
        <x:v>0.5780291</x:v>
      </x:c>
      <x:c r="D2825" s="23" t="n">
        <x:v>-14.81553</x:v>
      </x:c>
      <x:c r="E2825" s="23" t="n">
        <x:f>'Parameters'!$B$2*'Parameters'!$B$3*LN(4*PI()*C2825^2)</x:f>
        <x:v>3.556713632910057</x:v>
      </x:c>
      <x:c r="F2825" s="23" t="n">
        <x:f>D2825+E2825</x:f>
        <x:v>-11.258816367089944</x:v>
      </x:c>
      <x:c r="G2825" s="23" t="n">
        <x:f>AVERAGE($F$2945:$F$2968)</x:f>
        <x:v>-10.295726568251665</x:v>
      </x:c>
      <x:c r="H2825" s="24" t="n">
        <x:f>F2825-G2825</x:f>
        <x:v>-0.9630897988382792</x:v>
      </x:c>
    </x:row>
    <x:row r="2826">
      <x:c r="A2826" s="2" t="str">
        <x:v>LiN3-Core</x:v>
      </x:c>
      <x:c r="B2826" s="4" t="str">
        <x:v>LiCl</x:v>
      </x:c>
      <x:c r="C2826" s="23" t="n">
        <x:v>0.5904296</x:v>
      </x:c>
      <x:c r="D2826" s="23" t="n">
        <x:v>-14.70954</x:v>
      </x:c>
      <x:c r="E2826" s="23" t="n">
        <x:f>'Parameters'!$B$2*'Parameters'!$B$3*LN(4*PI()*C2826^2)</x:f>
        <x:v>3.6619512790869195</x:v>
      </x:c>
      <x:c r="F2826" s="23" t="n">
        <x:f>D2826+E2826</x:f>
        <x:v>-11.047588720913081</x:v>
      </x:c>
      <x:c r="G2826" s="23" t="n">
        <x:f>AVERAGE($F$2945:$F$2968)</x:f>
        <x:v>-10.295726568251665</x:v>
      </x:c>
      <x:c r="H2826" s="24" t="n">
        <x:f>F2826-G2826</x:f>
        <x:v>-0.7518621526614169</x:v>
      </x:c>
    </x:row>
    <x:row r="2827">
      <x:c r="A2827" s="2" t="str">
        <x:v>LiN3-Core</x:v>
      </x:c>
      <x:c r="B2827" s="4" t="str">
        <x:v>LiCl</x:v>
      </x:c>
      <x:c r="C2827" s="23" t="n">
        <x:v>0.60283</x:v>
      </x:c>
      <x:c r="D2827" s="23" t="n">
        <x:v>-14.57632</x:v>
      </x:c>
      <x:c r="E2827" s="23" t="n">
        <x:f>'Parameters'!$B$2*'Parameters'!$B$3*LN(4*PI()*C2827^2)</x:f>
        <x:v>3.765000658809602</x:v>
      </x:c>
      <x:c r="F2827" s="23" t="n">
        <x:f>D2827+E2827</x:f>
        <x:v>-10.811319341190398</x:v>
      </x:c>
      <x:c r="G2827" s="23" t="n">
        <x:f>AVERAGE($F$2945:$F$2968)</x:f>
        <x:v>-10.295726568251665</x:v>
      </x:c>
      <x:c r="H2827" s="24" t="n">
        <x:f>F2827-G2827</x:f>
        <x:v>-0.5155927729387333</x:v>
      </x:c>
    </x:row>
    <x:row r="2828">
      <x:c r="A2828" s="2" t="str">
        <x:v>LiN3-Core</x:v>
      </x:c>
      <x:c r="B2828" s="4" t="str">
        <x:v>LiCl</x:v>
      </x:c>
      <x:c r="C2828" s="23" t="n">
        <x:v>0.6152304</x:v>
      </x:c>
      <x:c r="D2828" s="23" t="n">
        <x:v>-14.3788</x:v>
      </x:c>
      <x:c r="E2828" s="23" t="n">
        <x:f>'Parameters'!$B$2*'Parameters'!$B$3*LN(4*PI()*C2828^2)</x:f>
        <x:v>3.865951714432073</x:v>
      </x:c>
      <x:c r="F2828" s="23" t="n">
        <x:f>D2828+E2828</x:f>
        <x:v>-10.512848285567927</x:v>
      </x:c>
      <x:c r="G2828" s="23" t="n">
        <x:f>AVERAGE($F$2945:$F$2968)</x:f>
        <x:v>-10.295726568251665</x:v>
      </x:c>
      <x:c r="H2828" s="24" t="n">
        <x:f>F2828-G2828</x:f>
        <x:v>-0.21712171731626206</x:v>
      </x:c>
    </x:row>
    <x:row r="2829">
      <x:c r="A2829" s="2" t="str">
        <x:v>LiN3-Core</x:v>
      </x:c>
      <x:c r="B2829" s="4" t="str">
        <x:v>LiCl</x:v>
      </x:c>
      <x:c r="C2829" s="23" t="n">
        <x:v>0.6276308</x:v>
      </x:c>
      <x:c r="D2829" s="23" t="n">
        <x:v>-14.48454</x:v>
      </x:c>
      <x:c r="E2829" s="23" t="n">
        <x:f>'Parameters'!$B$2*'Parameters'!$B$3*LN(4*PI()*C2829^2)</x:f>
        <x:v>3.964888196906143</x:v>
      </x:c>
      <x:c r="F2829" s="23" t="n">
        <x:f>D2829+E2829</x:f>
        <x:v>-10.519651803093858</x:v>
      </x:c>
      <x:c r="G2829" s="23" t="n">
        <x:f>AVERAGE($F$2945:$F$2968)</x:f>
        <x:v>-10.295726568251665</x:v>
      </x:c>
      <x:c r="H2829" s="24" t="n">
        <x:f>F2829-G2829</x:f>
        <x:v>-0.22392523484219318</x:v>
      </x:c>
    </x:row>
    <x:row r="2830">
      <x:c r="A2830" s="2" t="str">
        <x:v>LiN3-Core</x:v>
      </x:c>
      <x:c r="B2830" s="4" t="str">
        <x:v>LiCl</x:v>
      </x:c>
      <x:c r="C2830" s="23" t="n">
        <x:v>0.6400313</x:v>
      </x:c>
      <x:c r="D2830" s="23" t="n">
        <x:v>-14.42965</x:v>
      </x:c>
      <x:c r="E2830" s="23" t="n">
        <x:f>'Parameters'!$B$2*'Parameters'!$B$3*LN(4*PI()*C2830^2)</x:f>
        <x:v>4.061889715610838</x:v>
      </x:c>
      <x:c r="F2830" s="23" t="n">
        <x:f>D2830+E2830</x:f>
        <x:v>-10.367760284389163</x:v>
      </x:c>
      <x:c r="G2830" s="23" t="n">
        <x:f>AVERAGE($F$2945:$F$2968)</x:f>
        <x:v>-10.295726568251665</x:v>
      </x:c>
      <x:c r="H2830" s="24" t="n">
        <x:f>F2830-G2830</x:f>
        <x:v>-0.07203371613749887</x:v>
      </x:c>
    </x:row>
    <x:row r="2831">
      <x:c r="A2831" s="2" t="str">
        <x:v>LiN3-Core</x:v>
      </x:c>
      <x:c r="B2831" s="4" t="str">
        <x:v>LiCl</x:v>
      </x:c>
      <x:c r="C2831" s="23" t="n">
        <x:v>0.6524317</x:v>
      </x:c>
      <x:c r="D2831" s="23" t="n">
        <x:v>-14.48304</x:v>
      </x:c>
      <x:c r="E2831" s="23" t="n">
        <x:f>'Parameters'!$B$2*'Parameters'!$B$3*LN(4*PI()*C2831^2)</x:f>
        <x:v>4.157029002489046</x:v>
      </x:c>
      <x:c r="F2831" s="23" t="n">
        <x:f>D2831+E2831</x:f>
        <x:v>-10.326010997510956</x:v>
      </x:c>
      <x:c r="G2831" s="23" t="n">
        <x:f>AVERAGE($F$2945:$F$2968)</x:f>
        <x:v>-10.295726568251665</x:v>
      </x:c>
      <x:c r="H2831" s="24" t="n">
        <x:f>F2831-G2831</x:f>
        <x:v>-0.0302844292592912</x:v>
      </x:c>
    </x:row>
    <x:row r="2832">
      <x:c r="A2832" s="2" t="str">
        <x:v>LiN3-Core</x:v>
      </x:c>
      <x:c r="B2832" s="4" t="str">
        <x:v>LiCl</x:v>
      </x:c>
      <x:c r="C2832" s="23" t="n">
        <x:v>0.6648321</x:v>
      </x:c>
      <x:c r="D2832" s="23" t="n">
        <x:v>-14.66837</x:v>
      </x:c>
      <x:c r="E2832" s="23" t="n">
        <x:f>'Parameters'!$B$2*'Parameters'!$B$3*LN(4*PI()*C2832^2)</x:f>
        <x:v>4.250376946453579</x:v>
      </x:c>
      <x:c r="F2832" s="23" t="n">
        <x:f>D2832+E2832</x:f>
        <x:v>-10.417993053546422</x:v>
      </x:c>
      <x:c r="G2832" s="23" t="n">
        <x:f>AVERAGE($F$2945:$F$2968)</x:f>
        <x:v>-10.295726568251665</x:v>
      </x:c>
      <x:c r="H2832" s="24" t="n">
        <x:f>F2832-G2832</x:f>
        <x:v>-0.12226648529475703</x:v>
      </x:c>
    </x:row>
    <x:row r="2833">
      <x:c r="A2833" s="2" t="str">
        <x:v>LiN3-Core</x:v>
      </x:c>
      <x:c r="B2833" s="4" t="str">
        <x:v>LiCl</x:v>
      </x:c>
      <x:c r="C2833" s="23" t="n">
        <x:v>0.6772326</x:v>
      </x:c>
      <x:c r="D2833" s="23" t="n">
        <x:v>-14.89469</x:v>
      </x:c>
      <x:c r="E2833" s="23" t="n">
        <x:f>'Parameters'!$B$2*'Parameters'!$B$3*LN(4*PI()*C2833^2)</x:f>
        <x:v>4.342000491905131</x:v>
      </x:c>
      <x:c r="F2833" s="23" t="n">
        <x:f>D2833+E2833</x:f>
        <x:v>-10.552689508094868</x:v>
      </x:c>
      <x:c r="G2833" s="23" t="n">
        <x:f>AVERAGE($F$2945:$F$2968)</x:f>
        <x:v>-10.295726568251665</x:v>
      </x:c>
      <x:c r="H2833" s="24" t="n">
        <x:f>F2833-G2833</x:f>
        <x:v>-0.25696293984320384</x:v>
      </x:c>
    </x:row>
    <x:row r="2834">
      <x:c r="A2834" s="2" t="str">
        <x:v>LiN3-Core</x:v>
      </x:c>
      <x:c r="B2834" s="4" t="str">
        <x:v>LiCl</x:v>
      </x:c>
      <x:c r="C2834" s="23" t="n">
        <x:v>0.689633</x:v>
      </x:c>
      <x:c r="D2834" s="23" t="n">
        <x:v>-15.06623</x:v>
      </x:c>
      <x:c r="E2834" s="23" t="n">
        <x:f>'Parameters'!$B$2*'Parameters'!$B$3*LN(4*PI()*C2834^2)</x:f>
        <x:v>4.431960769294516</x:v>
      </x:c>
      <x:c r="F2834" s="23" t="n">
        <x:f>D2834+E2834</x:f>
        <x:v>-10.634269230705483</x:v>
      </x:c>
      <x:c r="G2834" s="23" t="n">
        <x:f>AVERAGE($F$2945:$F$2968)</x:f>
        <x:v>-10.295726568251665</x:v>
      </x:c>
      <x:c r="H2834" s="24" t="n">
        <x:f>F2834-G2834</x:f>
        <x:v>-0.33854266245381837</x:v>
      </x:c>
    </x:row>
    <x:row r="2835">
      <x:c r="A2835" s="2" t="str">
        <x:v>LiN3-Core</x:v>
      </x:c>
      <x:c r="B2835" s="4" t="str">
        <x:v>LiCl</x:v>
      </x:c>
      <x:c r="C2835" s="23" t="n">
        <x:v>0.7020334</x:v>
      </x:c>
      <x:c r="D2835" s="23" t="n">
        <x:v>-15.23781</x:v>
      </x:c>
      <x:c r="E2835" s="23" t="n">
        <x:f>'Parameters'!$B$2*'Parameters'!$B$3*LN(4*PI()*C2835^2)</x:f>
        <x:v>4.52031778456539</x:v>
      </x:c>
      <x:c r="F2835" s="23" t="n">
        <x:f>D2835+E2835</x:f>
        <x:v>-10.71749221543461</x:v>
      </x:c>
      <x:c r="G2835" s="23" t="n">
        <x:f>AVERAGE($F$2945:$F$2968)</x:f>
        <x:v>-10.295726568251665</x:v>
      </x:c>
      <x:c r="H2835" s="24" t="n">
        <x:f>F2835-G2835</x:f>
        <x:v>-0.42176564718294607</x:v>
      </x:c>
    </x:row>
    <x:row r="2836">
      <x:c r="A2836" s="2" t="str">
        <x:v>LiN3-Core</x:v>
      </x:c>
      <x:c r="B2836" s="4" t="str">
        <x:v>LiCl</x:v>
      </x:c>
      <x:c r="C2836" s="23" t="n">
        <x:v>0.7144339</x:v>
      </x:c>
      <x:c r="D2836" s="23" t="n">
        <x:v>-15.2586</x:v>
      </x:c>
      <x:c r="E2836" s="23" t="n">
        <x:f>'Parameters'!$B$2*'Parameters'!$B$3*LN(4*PI()*C2836^2)</x:f>
        <x:v>4.607128378814257</x:v>
      </x:c>
      <x:c r="F2836" s="23" t="n">
        <x:f>D2836+E2836</x:f>
        <x:v>-10.651471621185742</x:v>
      </x:c>
      <x:c r="G2836" s="23" t="n">
        <x:f>AVERAGE($F$2945:$F$2968)</x:f>
        <x:v>-10.295726568251665</x:v>
      </x:c>
      <x:c r="H2836" s="24" t="n">
        <x:f>F2836-G2836</x:f>
        <x:v>-0.3557450529340773</x:v>
      </x:c>
    </x:row>
    <x:row r="2837">
      <x:c r="A2837" s="2" t="str">
        <x:v>LiN3-Core</x:v>
      </x:c>
      <x:c r="B2837" s="4" t="str">
        <x:v>LiCl</x:v>
      </x:c>
      <x:c r="C2837" s="23" t="n">
        <x:v>0.7268343</x:v>
      </x:c>
      <x:c r="D2837" s="23" t="n">
        <x:v>-15.32277</x:v>
      </x:c>
      <x:c r="E2837" s="23" t="n">
        <x:f>'Parameters'!$B$2*'Parameters'!$B$3*LN(4*PI()*C2837^2)</x:f>
        <x:v>4.692444400635588</x:v>
      </x:c>
      <x:c r="F2837" s="23" t="n">
        <x:f>D2837+E2837</x:f>
        <x:v>-10.630325599364411</x:v>
      </x:c>
      <x:c r="G2837" s="23" t="n">
        <x:f>AVERAGE($F$2945:$F$2968)</x:f>
        <x:v>-10.295726568251665</x:v>
      </x:c>
      <x:c r="H2837" s="24" t="n">
        <x:f>F2837-G2837</x:f>
        <x:v>-0.3345990311127469</x:v>
      </x:c>
    </x:row>
    <x:row r="2838">
      <x:c r="A2838" s="2" t="str">
        <x:v>LiN3-Core</x:v>
      </x:c>
      <x:c r="B2838" s="4" t="str">
        <x:v>LiCl</x:v>
      </x:c>
      <x:c r="C2838" s="23" t="n">
        <x:v>0.7392347</x:v>
      </x:c>
      <x:c r="D2838" s="23" t="n">
        <x:v>-15.28339</x:v>
      </x:c>
      <x:c r="E2838" s="23" t="n">
        <x:f>'Parameters'!$B$2*'Parameters'!$B$3*LN(4*PI()*C2838^2)</x:f>
        <x:v>4.7763171019949215</x:v>
      </x:c>
      <x:c r="F2838" s="23" t="n">
        <x:f>D2838+E2838</x:f>
        <x:v>-10.50707289800508</x:v>
      </x:c>
      <x:c r="G2838" s="23" t="n">
        <x:f>AVERAGE($F$2945:$F$2968)</x:f>
        <x:v>-10.295726568251665</x:v>
      </x:c>
      <x:c r="H2838" s="24" t="n">
        <x:f>F2838-G2838</x:f>
        <x:v>-0.2113463297534146</x:v>
      </x:c>
    </x:row>
    <x:row r="2839">
      <x:c r="A2839" s="2" t="str">
        <x:v>LiN3-Core</x:v>
      </x:c>
      <x:c r="B2839" s="4" t="str">
        <x:v>LiCl</x:v>
      </x:c>
      <x:c r="C2839" s="23" t="n">
        <x:v>0.7516351</x:v>
      </x:c>
      <x:c r="D2839" s="23" t="n">
        <x:v>-15.30635</x:v>
      </x:c>
      <x:c r="E2839" s="23" t="n">
        <x:f>'Parameters'!$B$2*'Parameters'!$B$3*LN(4*PI()*C2839^2)</x:f>
        <x:v>4.8587945058934086</x:v>
      </x:c>
      <x:c r="F2839" s="23" t="n">
        <x:f>D2839+E2839</x:f>
        <x:v>-10.447555494106592</x:v>
      </x:c>
      <x:c r="G2839" s="23" t="n">
        <x:f>AVERAGE($F$2945:$F$2968)</x:f>
        <x:v>-10.295726568251665</x:v>
      </x:c>
      <x:c r="H2839" s="24" t="n">
        <x:f>F2839-G2839</x:f>
        <x:v>-0.15182892585492702</x:v>
      </x:c>
    </x:row>
    <x:row r="2840">
      <x:c r="A2840" s="2" t="str">
        <x:v>LiN3-Core</x:v>
      </x:c>
      <x:c r="B2840" s="4" t="str">
        <x:v>LiCl</x:v>
      </x:c>
      <x:c r="C2840" s="23" t="n">
        <x:v>0.7640356</x:v>
      </x:c>
      <x:c r="D2840" s="23" t="n">
        <x:v>-15.37103</x:v>
      </x:c>
      <x:c r="E2840" s="23" t="n">
        <x:f>'Parameters'!$B$2*'Parameters'!$B$3*LN(4*PI()*C2840^2)</x:f>
        <x:v>4.939922926637976</x:v>
      </x:c>
      <x:c r="F2840" s="23" t="n">
        <x:f>D2840+E2840</x:f>
        <x:v>-10.431107073362023</x:v>
      </x:c>
      <x:c r="G2840" s="23" t="n">
        <x:f>AVERAGE($F$2945:$F$2968)</x:f>
        <x:v>-10.295726568251665</x:v>
      </x:c>
      <x:c r="H2840" s="24" t="n">
        <x:f>F2840-G2840</x:f>
        <x:v>-0.13538050511035848</x:v>
      </x:c>
    </x:row>
    <x:row r="2841">
      <x:c r="A2841" s="2" t="str">
        <x:v>LiN3-Core</x:v>
      </x:c>
      <x:c r="B2841" s="4" t="str">
        <x:v>LiCl</x:v>
      </x:c>
      <x:c r="C2841" s="23" t="n">
        <x:v>0.776436</x:v>
      </x:c>
      <x:c r="D2841" s="23" t="n">
        <x:v>-15.49795</x:v>
      </x:c>
      <x:c r="E2841" s="23" t="n">
        <x:f>'Parameters'!$B$2*'Parameters'!$B$3*LN(4*PI()*C2841^2)</x:f>
        <x:v>5.0197445156737865</x:v>
      </x:c>
      <x:c r="F2841" s="23" t="n">
        <x:f>D2841+E2841</x:f>
        <x:v>-10.478205484326214</x:v>
      </x:c>
      <x:c r="G2841" s="23" t="n">
        <x:f>AVERAGE($F$2945:$F$2968)</x:f>
        <x:v>-10.295726568251665</x:v>
      </x:c>
      <x:c r="H2841" s="24" t="n">
        <x:f>F2841-G2841</x:f>
        <x:v>-0.18247891607454925</x:v>
      </x:c>
    </x:row>
    <x:row r="2842">
      <x:c r="A2842" s="2" t="str">
        <x:v>LiN3-Core</x:v>
      </x:c>
      <x:c r="B2842" s="4" t="str">
        <x:v>LiCl</x:v>
      </x:c>
      <x:c r="C2842" s="23" t="n">
        <x:v>0.7888364</x:v>
      </x:c>
      <x:c r="D2842" s="23" t="n">
        <x:v>-15.52549</x:v>
      </x:c>
      <x:c r="E2842" s="23" t="n">
        <x:f>'Parameters'!$B$2*'Parameters'!$B$3*LN(4*PI()*C2842^2)</x:f>
        <x:v>5.098301326280965</x:v>
      </x:c>
      <x:c r="F2842" s="23" t="n">
        <x:f>D2842+E2842</x:f>
        <x:v>-10.427188673719034</x:v>
      </x:c>
      <x:c r="G2842" s="23" t="n">
        <x:f>AVERAGE($F$2945:$F$2968)</x:f>
        <x:v>-10.295726568251665</x:v>
      </x:c>
      <x:c r="H2842" s="24" t="n">
        <x:f>F2842-G2842</x:f>
        <x:v>-0.13146210546736903</x:v>
      </x:c>
    </x:row>
    <x:row r="2843">
      <x:c r="A2843" s="2" t="str">
        <x:v>LiN3-Core</x:v>
      </x:c>
      <x:c r="B2843" s="4" t="str">
        <x:v>LiCl</x:v>
      </x:c>
      <x:c r="C2843" s="23" t="n">
        <x:v>0.8012369</x:v>
      </x:c>
      <x:c r="D2843" s="23" t="n">
        <x:v>-15.43687</x:v>
      </x:c>
      <x:c r="E2843" s="23" t="n">
        <x:f>'Parameters'!$B$2*'Parameters'!$B$3*LN(4*PI()*C2843^2)</x:f>
        <x:v>5.175633433859886</x:v>
      </x:c>
      <x:c r="F2843" s="23" t="n">
        <x:f>D2843+E2843</x:f>
        <x:v>-10.261236566140115</x:v>
      </x:c>
      <x:c r="G2843" s="23" t="n">
        <x:f>AVERAGE($F$2945:$F$2968)</x:f>
        <x:v>-10.295726568251665</x:v>
      </x:c>
      <x:c r="H2843" s="24" t="n">
        <x:f>F2843-G2843</x:f>
        <x:v>0.034490002111549956</x:v>
      </x:c>
    </x:row>
    <x:row r="2844">
      <x:c r="A2844" s="2" t="str">
        <x:v>LiN3-Core</x:v>
      </x:c>
      <x:c r="B2844" s="4" t="str">
        <x:v>LiCl</x:v>
      </x:c>
      <x:c r="C2844" s="23" t="n">
        <x:v>0.8136373</x:v>
      </x:c>
      <x:c r="D2844" s="23" t="n">
        <x:v>-15.5539</x:v>
      </x:c>
      <x:c r="E2844" s="23" t="n">
        <x:f>'Parameters'!$B$2*'Parameters'!$B$3*LN(4*PI()*C2844^2)</x:f>
        <x:v>5.251777229993819</x:v>
      </x:c>
      <x:c r="F2844" s="23" t="n">
        <x:f>D2844+E2844</x:f>
        <x:v>-10.302122770006182</x:v>
      </x:c>
      <x:c r="G2844" s="23" t="n">
        <x:f>AVERAGE($F$2945:$F$2968)</x:f>
        <x:v>-10.295726568251665</x:v>
      </x:c>
      <x:c r="H2844" s="24" t="n">
        <x:f>F2844-G2844</x:f>
        <x:v>-0.006396201754517605</x:v>
      </x:c>
    </x:row>
    <x:row r="2845">
      <x:c r="A2845" s="2" t="str">
        <x:v>LiN3-Core</x:v>
      </x:c>
      <x:c r="B2845" s="4" t="str">
        <x:v>LiCl</x:v>
      </x:c>
      <x:c r="C2845" s="23" t="n">
        <x:v>0.8260377</x:v>
      </x:c>
      <x:c r="D2845" s="23" t="n">
        <x:v>-15.76491</x:v>
      </x:c>
      <x:c r="E2845" s="23" t="n">
        <x:f>'Parameters'!$B$2*'Parameters'!$B$3*LN(4*PI()*C2845^2)</x:f>
        <x:v>5.32676927372495</x:v>
      </x:c>
      <x:c r="F2845" s="23" t="n">
        <x:f>D2845+E2845</x:f>
        <x:v>-10.438140726275051</x:v>
      </x:c>
      <x:c r="G2845" s="23" t="n">
        <x:f>AVERAGE($F$2945:$F$2968)</x:f>
        <x:v>-10.295726568251665</x:v>
      </x:c>
      <x:c r="H2845" s="24" t="n">
        <x:f>F2845-G2845</x:f>
        <x:v>-0.14241415802338686</x:v>
      </x:c>
    </x:row>
    <x:row r="2846">
      <x:c r="A2846" s="2" t="str">
        <x:v>LiN3-Core</x:v>
      </x:c>
      <x:c r="B2846" s="4" t="str">
        <x:v>LiCl</x:v>
      </x:c>
      <x:c r="C2846" s="23" t="n">
        <x:v>0.8384382</x:v>
      </x:c>
      <x:c r="D2846" s="23" t="n">
        <x:v>-15.84776</x:v>
      </x:c>
      <x:c r="E2846" s="23" t="n">
        <x:f>'Parameters'!$B$2*'Parameters'!$B$3*LN(4*PI()*C2846^2)</x:f>
        <x:v>5.400644480689476</x:v>
      </x:c>
      <x:c r="F2846" s="23" t="n">
        <x:f>D2846+E2846</x:f>
        <x:v>-10.447115519310524</x:v>
      </x:c>
      <x:c r="G2846" s="23" t="n">
        <x:f>AVERAGE($F$2945:$F$2968)</x:f>
        <x:v>-10.295726568251665</x:v>
      </x:c>
      <x:c r="H2846" s="24" t="n">
        <x:f>F2846-G2846</x:f>
        <x:v>-0.15138895105885908</x:v>
      </x:c>
    </x:row>
    <x:row r="2847">
      <x:c r="A2847" s="2" t="str">
        <x:v>LiN3-Core</x:v>
      </x:c>
      <x:c r="B2847" s="4" t="str">
        <x:v>LiCl</x:v>
      </x:c>
      <x:c r="C2847" s="23" t="n">
        <x:v>0.8508386</x:v>
      </x:c>
      <x:c r="D2847" s="23" t="n">
        <x:v>-15.9543</x:v>
      </x:c>
      <x:c r="E2847" s="23" t="n">
        <x:f>'Parameters'!$B$2*'Parameters'!$B$3*LN(4*PI()*C2847^2)</x:f>
        <x:v>5.473434472034399</x:v>
      </x:c>
      <x:c r="F2847" s="23" t="n">
        <x:f>D2847+E2847</x:f>
        <x:v>-10.480865527965602</x:v>
      </x:c>
      <x:c r="G2847" s="23" t="n">
        <x:f>AVERAGE($F$2945:$F$2968)</x:f>
        <x:v>-10.295726568251665</x:v>
      </x:c>
      <x:c r="H2847" s="24" t="n">
        <x:f>F2847-G2847</x:f>
        <x:v>-0.185138959713937</x:v>
      </x:c>
    </x:row>
    <x:row r="2848">
      <x:c r="A2848" s="2" t="str">
        <x:v>LiN3-Core</x:v>
      </x:c>
      <x:c r="B2848" s="4" t="str">
        <x:v>LiCl</x:v>
      </x:c>
      <x:c r="C2848" s="23" t="n">
        <x:v>0.863239</x:v>
      </x:c>
      <x:c r="D2848" s="23" t="n">
        <x:v>-16.00226</x:v>
      </x:c>
      <x:c r="E2848" s="23" t="n">
        <x:f>'Parameters'!$B$2*'Parameters'!$B$3*LN(4*PI()*C2848^2)</x:f>
        <x:v>5.545171235993098</x:v>
      </x:c>
      <x:c r="F2848" s="23" t="n">
        <x:f>D2848+E2848</x:f>
        <x:v>-10.457088764006901</x:v>
      </x:c>
      <x:c r="G2848" s="23" t="n">
        <x:f>AVERAGE($F$2945:$F$2968)</x:f>
        <x:v>-10.295726568251665</x:v>
      </x:c>
      <x:c r="H2848" s="24" t="n">
        <x:f>F2848-G2848</x:f>
        <x:v>-0.16136219575523647</x:v>
      </x:c>
    </x:row>
    <x:row r="2849">
      <x:c r="A2849" s="2" t="str">
        <x:v>LiN3-Core</x:v>
      </x:c>
      <x:c r="B2849" s="4" t="str">
        <x:v>LiCl</x:v>
      </x:c>
      <x:c r="C2849" s="23" t="n">
        <x:v>0.8756395</x:v>
      </x:c>
      <x:c r="D2849" s="23" t="n">
        <x:v>-16.0507</x:v>
      </x:c>
      <x:c r="E2849" s="23" t="n">
        <x:f>'Parameters'!$B$2*'Parameters'!$B$3*LN(4*PI()*C2849^2)</x:f>
        <x:v>5.615885383688701</x:v>
      </x:c>
      <x:c r="F2849" s="23" t="n">
        <x:f>D2849+E2849</x:f>
        <x:v>-10.434814616311298</x:v>
      </x:c>
      <x:c r="G2849" s="23" t="n">
        <x:f>AVERAGE($F$2945:$F$2968)</x:f>
        <x:v>-10.295726568251665</x:v>
      </x:c>
      <x:c r="H2849" s="24" t="n">
        <x:f>F2849-G2849</x:f>
        <x:v>-0.1390880480596337</x:v>
      </x:c>
    </x:row>
    <x:row r="2850">
      <x:c r="A2850" s="2" t="str">
        <x:v>LiN3-Core</x:v>
      </x:c>
      <x:c r="B2850" s="4" t="str">
        <x:v>LiCl</x:v>
      </x:c>
      <x:c r="C2850" s="23" t="n">
        <x:v>0.8880399</x:v>
      </x:c>
      <x:c r="D2850" s="23" t="n">
        <x:v>-16.35792</x:v>
      </x:c>
      <x:c r="E2850" s="23" t="n">
        <x:f>'Parameters'!$B$2*'Parameters'!$B$3*LN(4*PI()*C2850^2)</x:f>
        <x:v>5.685604552165698</x:v>
      </x:c>
      <x:c r="F2850" s="23" t="n">
        <x:f>D2850+E2850</x:f>
        <x:v>-10.672315447834302</x:v>
      </x:c>
      <x:c r="G2850" s="23" t="n">
        <x:f>AVERAGE($F$2945:$F$2968)</x:f>
        <x:v>-10.295726568251665</x:v>
      </x:c>
      <x:c r="H2850" s="24" t="n">
        <x:f>F2850-G2850</x:f>
        <x:v>-0.37658887958263776</x:v>
      </x:c>
    </x:row>
    <x:row r="2851">
      <x:c r="A2851" s="2" t="str">
        <x:v>LiN3-Core</x:v>
      </x:c>
      <x:c r="B2851" s="4" t="str">
        <x:v>LiCl</x:v>
      </x:c>
      <x:c r="C2851" s="23" t="n">
        <x:v>0.9004403</x:v>
      </x:c>
      <x:c r="D2851" s="23" t="n">
        <x:v>-16.35869</x:v>
      </x:c>
      <x:c r="E2851" s="23" t="n">
        <x:f>'Parameters'!$B$2*'Parameters'!$B$3*LN(4*PI()*C2851^2)</x:f>
        <x:v>5.754356895871113</x:v>
      </x:c>
      <x:c r="F2851" s="23" t="n">
        <x:f>D2851+E2851</x:f>
        <x:v>-10.604333104128887</x:v>
      </x:c>
      <x:c r="G2851" s="23" t="n">
        <x:f>AVERAGE($F$2945:$F$2968)</x:f>
        <x:v>-10.295726568251665</x:v>
      </x:c>
      <x:c r="H2851" s="24" t="n">
        <x:f>F2851-G2851</x:f>
        <x:v>-0.30860653587722275</x:v>
      </x:c>
    </x:row>
    <x:row r="2852">
      <x:c r="A2852" s="2" t="str">
        <x:v>LiN3-Core</x:v>
      </x:c>
      <x:c r="B2852" s="4" t="str">
        <x:v>LiCl</x:v>
      </x:c>
      <x:c r="C2852" s="23" t="n">
        <x:v>0.9128407</x:v>
      </x:c>
      <x:c r="D2852" s="23" t="n">
        <x:v>-16.5072</x:v>
      </x:c>
      <x:c r="E2852" s="23" t="n">
        <x:f>'Parameters'!$B$2*'Parameters'!$B$3*LN(4*PI()*C2852^2)</x:f>
        <x:v>5.8221688631766355</x:v>
      </x:c>
      <x:c r="F2852" s="23" t="n">
        <x:f>D2852+E2852</x:f>
        <x:v>-10.685031136823365</x:v>
      </x:c>
      <x:c r="G2852" s="23" t="n">
        <x:f>AVERAGE($F$2945:$F$2968)</x:f>
        <x:v>-10.295726568251665</x:v>
      </x:c>
      <x:c r="H2852" s="24" t="n">
        <x:f>F2852-G2852</x:f>
        <x:v>-0.3893045685717009</x:v>
      </x:c>
    </x:row>
    <x:row r="2853">
      <x:c r="A2853" s="2" t="str">
        <x:v>LiN3-Core</x:v>
      </x:c>
      <x:c r="B2853" s="4" t="str">
        <x:v>LiCl</x:v>
      </x:c>
      <x:c r="C2853" s="23" t="n">
        <x:v>0.9252412</x:v>
      </x:c>
      <x:c r="D2853" s="23" t="n">
        <x:v>-16.69315</x:v>
      </x:c>
      <x:c r="E2853" s="23" t="n">
        <x:f>'Parameters'!$B$2*'Parameters'!$B$3*LN(4*PI()*C2853^2)</x:f>
        <x:v>5.889066367653888</x:v>
      </x:c>
      <x:c r="F2853" s="23" t="n">
        <x:f>D2853+E2853</x:f>
        <x:v>-10.80408363234611</x:v>
      </x:c>
      <x:c r="G2853" s="23" t="n">
        <x:f>AVERAGE($F$2945:$F$2968)</x:f>
        <x:v>-10.295726568251665</x:v>
      </x:c>
      <x:c r="H2853" s="24" t="n">
        <x:f>F2853-G2853</x:f>
        <x:v>-0.5083570640944455</x:v>
      </x:c>
    </x:row>
    <x:row r="2854">
      <x:c r="A2854" s="2" t="str">
        <x:v>LiN3-Core</x:v>
      </x:c>
      <x:c r="B2854" s="4" t="str">
        <x:v>LiCl</x:v>
      </x:c>
      <x:c r="C2854" s="23" t="n">
        <x:v>0.9376416</x:v>
      </x:c>
      <x:c r="D2854" s="23" t="n">
        <x:v>-16.79632</x:v>
      </x:c>
      <x:c r="E2854" s="23" t="n">
        <x:f>'Parameters'!$B$2*'Parameters'!$B$3*LN(4*PI()*C2854^2)</x:f>
        <x:v>5.955072694602912</x:v>
      </x:c>
      <x:c r="F2854" s="23" t="n">
        <x:f>D2854+E2854</x:f>
        <x:v>-10.84124730539709</x:v>
      </x:c>
      <x:c r="G2854" s="23" t="n">
        <x:f>AVERAGE($F$2945:$F$2968)</x:f>
        <x:v>-10.295726568251665</x:v>
      </x:c>
      <x:c r="H2854" s="24" t="n">
        <x:f>F2854-G2854</x:f>
        <x:v>-0.5455207371454254</x:v>
      </x:c>
    </x:row>
    <x:row r="2855">
      <x:c r="A2855" s="2" t="str">
        <x:v>LiN3-Core</x:v>
      </x:c>
      <x:c r="B2855" s="4" t="str">
        <x:v>LiCl</x:v>
      </x:c>
      <x:c r="C2855" s="23" t="n">
        <x:v>0.950042</x:v>
      </x:c>
      <x:c r="D2855" s="23" t="n">
        <x:v>-16.83603</x:v>
      </x:c>
      <x:c r="E2855" s="23" t="n">
        <x:f>'Parameters'!$B$2*'Parameters'!$B$3*LN(4*PI()*C2855^2)</x:f>
        <x:v>6.0202117908764805</x:v>
      </x:c>
      <x:c r="F2855" s="23" t="n">
        <x:f>D2855+E2855</x:f>
        <x:v>-10.81581820912352</x:v>
      </x:c>
      <x:c r="G2855" s="23" t="n">
        <x:f>AVERAGE($F$2945:$F$2968)</x:f>
        <x:v>-10.295726568251665</x:v>
      </x:c>
      <x:c r="H2855" s="24" t="n">
        <x:f>F2855-G2855</x:f>
        <x:v>-0.5200916408718559</x:v>
      </x:c>
    </x:row>
    <x:row r="2856">
      <x:c r="A2856" s="2" t="str">
        <x:v>LiN3-Core</x:v>
      </x:c>
      <x:c r="B2856" s="4" t="str">
        <x:v>LiCl</x:v>
      </x:c>
      <x:c r="C2856" s="23" t="n">
        <x:v>0.9624425</x:v>
      </x:c>
      <x:c r="D2856" s="23" t="n">
        <x:v>-16.97159</x:v>
      </x:c>
      <x:c r="E2856" s="23" t="n">
        <x:f>'Parameters'!$B$2*'Parameters'!$B$3*LN(4*PI()*C2856^2)</x:f>
        <x:v>6.084506664796333</x:v>
      </x:c>
      <x:c r="F2856" s="23" t="n">
        <x:f>D2856+E2856</x:f>
        <x:v>-10.887083335203666</x:v>
      </x:c>
      <x:c r="G2856" s="23" t="n">
        <x:f>AVERAGE($F$2945:$F$2968)</x:f>
        <x:v>-10.295726568251665</x:v>
      </x:c>
      <x:c r="H2856" s="24" t="n">
        <x:f>F2856-G2856</x:f>
        <x:v>-0.5913567669520017</x:v>
      </x:c>
    </x:row>
    <x:row r="2857">
      <x:c r="A2857" s="2" t="str">
        <x:v>LiN3-Core</x:v>
      </x:c>
      <x:c r="B2857" s="4" t="str">
        <x:v>LiCl</x:v>
      </x:c>
      <x:c r="C2857" s="23" t="n">
        <x:v>0.9748429</x:v>
      </x:c>
      <x:c r="D2857" s="23" t="n">
        <x:v>-17.03166</x:v>
      </x:c>
      <x:c r="E2857" s="23" t="n">
        <x:f>'Parameters'!$B$2*'Parameters'!$B$3*LN(4*PI()*C2857^2)</x:f>
        <x:v>6.1479779088051805</x:v>
      </x:c>
      <x:c r="F2857" s="23" t="n">
        <x:f>D2857+E2857</x:f>
        <x:v>-10.883682091194817</x:v>
      </x:c>
      <x:c r="G2857" s="23" t="n">
        <x:f>AVERAGE($F$2945:$F$2968)</x:f>
        <x:v>-10.295726568251665</x:v>
      </x:c>
      <x:c r="H2857" s="24" t="n">
        <x:f>F2857-G2857</x:f>
        <x:v>-0.5879555229431528</x:v>
      </x:c>
    </x:row>
    <x:row r="2858">
      <x:c r="A2858" s="2" t="str">
        <x:v>LiN3-Core</x:v>
      </x:c>
      <x:c r="B2858" s="4" t="str">
        <x:v>LiCl</x:v>
      </x:c>
      <x:c r="C2858" s="23" t="n">
        <x:v>0.9872433</x:v>
      </x:c>
      <x:c r="D2858" s="23" t="n">
        <x:v>-17.10809</x:v>
      </x:c>
      <x:c r="E2858" s="23" t="n">
        <x:f>'Parameters'!$B$2*'Parameters'!$B$3*LN(4*PI()*C2858^2)</x:f>
        <x:v>6.21064685380451</x:v>
      </x:c>
      <x:c r="F2858" s="23" t="n">
        <x:f>D2858+E2858</x:f>
        <x:v>-10.89744314619549</x:v>
      </x:c>
      <x:c r="G2858" s="23" t="n">
        <x:f>AVERAGE($F$2945:$F$2968)</x:f>
        <x:v>-10.295726568251665</x:v>
      </x:c>
      <x:c r="H2858" s="24" t="n">
        <x:f>F2858-G2858</x:f>
        <x:v>-0.6017165779438258</x:v>
      </x:c>
    </x:row>
    <x:row r="2859">
      <x:c r="A2859" s="2" t="str">
        <x:v>LiN3-Core</x:v>
      </x:c>
      <x:c r="B2859" s="4" t="str">
        <x:v>LiCl</x:v>
      </x:c>
      <x:c r="C2859" s="23" t="n">
        <x:v>0.9996438</x:v>
      </x:c>
      <x:c r="D2859" s="23" t="n">
        <x:v>-17.10734</x:v>
      </x:c>
      <x:c r="E2859" s="23" t="n">
        <x:f>'Parameters'!$B$2*'Parameters'!$B$3*LN(4*PI()*C2859^2)</x:f>
        <x:v>6.272534025529817</x:v>
      </x:c>
      <x:c r="F2859" s="23" t="n">
        <x:f>D2859+E2859</x:f>
        <x:v>-10.834805974470184</x:v>
      </x:c>
      <x:c r="G2859" s="23" t="n">
        <x:f>AVERAGE($F$2945:$F$2968)</x:f>
        <x:v>-10.295726568251665</x:v>
      </x:c>
      <x:c r="H2859" s="24" t="n">
        <x:f>F2859-G2859</x:f>
        <x:v>-0.5390794062185194</x:v>
      </x:c>
    </x:row>
    <x:row r="2860">
      <x:c r="A2860" s="2" t="str">
        <x:v>LiN3-Core</x:v>
      </x:c>
      <x:c r="B2860" s="4" t="str">
        <x:v>LiCl</x:v>
      </x:c>
      <x:c r="C2860" s="23" t="n">
        <x:v>1.012044</x:v>
      </x:c>
      <x:c r="D2860" s="23" t="n">
        <x:v>-17.1384</x:v>
      </x:c>
      <x:c r="E2860" s="23" t="n">
        <x:f>'Parameters'!$B$2*'Parameters'!$B$3*LN(4*PI()*C2860^2)</x:f>
        <x:v>6.333656735112627</x:v>
      </x:c>
      <x:c r="F2860" s="23" t="n">
        <x:f>D2860+E2860</x:f>
        <x:v>-10.804743264887374</x:v>
      </x:c>
      <x:c r="G2860" s="23" t="n">
        <x:f>AVERAGE($F$2945:$F$2968)</x:f>
        <x:v>-10.295726568251665</x:v>
      </x:c>
      <x:c r="H2860" s="24" t="n">
        <x:f>F2860-G2860</x:f>
        <x:v>-0.5090166966357099</x:v>
      </x:c>
    </x:row>
    <x:row r="2861">
      <x:c r="A2861" s="2" t="str">
        <x:v>LiN3-Core</x:v>
      </x:c>
      <x:c r="B2861" s="4" t="str">
        <x:v>LiCl</x:v>
      </x:c>
      <x:c r="C2861" s="23" t="n">
        <x:v>1.024445</x:v>
      </x:c>
      <x:c r="D2861" s="23" t="n">
        <x:v>-17.32998</x:v>
      </x:c>
      <x:c r="E2861" s="23" t="n">
        <x:f>'Parameters'!$B$2*'Parameters'!$B$3*LN(4*PI()*C2861^2)</x:f>
        <x:v>6.394038944113356</x:v>
      </x:c>
      <x:c r="F2861" s="23" t="n">
        <x:f>D2861+E2861</x:f>
        <x:v>-10.935941055886644</x:v>
      </x:c>
      <x:c r="G2861" s="23" t="n">
        <x:f>AVERAGE($F$2945:$F$2968)</x:f>
        <x:v>-10.295726568251665</x:v>
      </x:c>
      <x:c r="H2861" s="24" t="n">
        <x:f>F2861-G2861</x:f>
        <x:v>-0.6402144876349798</x:v>
      </x:c>
    </x:row>
    <x:row r="2862">
      <x:c r="A2862" s="2" t="str">
        <x:v>LiN3-Core</x:v>
      </x:c>
      <x:c r="B2862" s="4" t="str">
        <x:v>LiCl</x:v>
      </x:c>
      <x:c r="C2862" s="23" t="n">
        <x:v>1.036845</x:v>
      </x:c>
      <x:c r="D2862" s="23" t="n">
        <x:v>-17.51205</x:v>
      </x:c>
      <x:c r="E2862" s="23" t="n">
        <x:f>'Parameters'!$B$2*'Parameters'!$B$3*LN(4*PI()*C2862^2)</x:f>
        <x:v>6.453689818994135</x:v>
      </x:c>
      <x:c r="F2862" s="23" t="n">
        <x:f>D2862+E2862</x:f>
        <x:v>-11.058360181005863</x:v>
      </x:c>
      <x:c r="G2862" s="23" t="n">
        <x:f>AVERAGE($F$2945:$F$2968)</x:f>
        <x:v>-10.295726568251665</x:v>
      </x:c>
      <x:c r="H2862" s="24" t="n">
        <x:f>F2862-G2862</x:f>
        <x:v>-0.7626336127541986</x:v>
      </x:c>
    </x:row>
    <x:row r="2863">
      <x:c r="A2863" s="2" t="str">
        <x:v>LiN3-Core</x:v>
      </x:c>
      <x:c r="B2863" s="4" t="str">
        <x:v>LiCl</x:v>
      </x:c>
      <x:c r="C2863" s="23" t="n">
        <x:v>1.049245</x:v>
      </x:c>
      <x:c r="D2863" s="23" t="n">
        <x:v>-17.40939</x:v>
      </x:c>
      <x:c r="E2863" s="23" t="n">
        <x:f>'Parameters'!$B$2*'Parameters'!$B$3*LN(4*PI()*C2863^2)</x:f>
        <x:v>6.512631531396846</x:v>
      </x:c>
      <x:c r="F2863" s="23" t="n">
        <x:f>D2863+E2863</x:f>
        <x:v>-10.896758468603153</x:v>
      </x:c>
      <x:c r="G2863" s="23" t="n">
        <x:f>AVERAGE($F$2945:$F$2968)</x:f>
        <x:v>-10.295726568251665</x:v>
      </x:c>
      <x:c r="H2863" s="24" t="n">
        <x:f>F2863-G2863</x:f>
        <x:v>-0.6010319003514883</x:v>
      </x:c>
    </x:row>
    <x:row r="2864">
      <x:c r="A2864" s="2" t="str">
        <x:v>LiN3-Core</x:v>
      </x:c>
      <x:c r="B2864" s="4" t="str">
        <x:v>LiCl</x:v>
      </x:c>
      <x:c r="C2864" s="23" t="n">
        <x:v>1.061646</x:v>
      </x:c>
      <x:c r="D2864" s="23" t="n">
        <x:v>-17.66537</x:v>
      </x:c>
      <x:c r="E2864" s="23" t="n">
        <x:f>'Parameters'!$B$2*'Parameters'!$B$3*LN(4*PI()*C2864^2)</x:f>
        <x:v>6.57088541526233</x:v>
      </x:c>
      <x:c r="F2864" s="23" t="n">
        <x:f>D2864+E2864</x:f>
        <x:v>-11.09448458473767</x:v>
      </x:c>
      <x:c r="G2864" s="23" t="n">
        <x:f>AVERAGE($F$2945:$F$2968)</x:f>
        <x:v>-10.295726568251665</x:v>
      </x:c>
      <x:c r="H2864" s="24" t="n">
        <x:f>F2864-G2864</x:f>
        <x:v>-0.7987580164860049</x:v>
      </x:c>
    </x:row>
    <x:row r="2865">
      <x:c r="A2865" s="2" t="str">
        <x:v>LiN3-Core</x:v>
      </x:c>
      <x:c r="B2865" s="4" t="str">
        <x:v>LiCl</x:v>
      </x:c>
      <x:c r="C2865" s="23" t="n">
        <x:v>1.074046</x:v>
      </x:c>
      <x:c r="D2865" s="23" t="n">
        <x:v>-17.68421</x:v>
      </x:c>
      <x:c r="E2865" s="23" t="n">
        <x:f>'Parameters'!$B$2*'Parameters'!$B$3*LN(4*PI()*C2865^2)</x:f>
        <x:v>6.628458159992514</x:v>
      </x:c>
      <x:c r="F2865" s="23" t="n">
        <x:f>D2865+E2865</x:f>
        <x:v>-11.055751840007487</x:v>
      </x:c>
      <x:c r="G2865" s="23" t="n">
        <x:f>AVERAGE($F$2945:$F$2968)</x:f>
        <x:v>-10.295726568251665</x:v>
      </x:c>
      <x:c r="H2865" s="24" t="n">
        <x:f>F2865-G2865</x:f>
        <x:v>-0.760025271755822</x:v>
      </x:c>
    </x:row>
    <x:row r="2866">
      <x:c r="A2866" s="2" t="str">
        <x:v>LiN3-Core</x:v>
      </x:c>
      <x:c r="B2866" s="4" t="str">
        <x:v>LiCl</x:v>
      </x:c>
      <x:c r="C2866" s="23" t="n">
        <x:v>1.086447</x:v>
      </x:c>
      <x:c r="D2866" s="23" t="n">
        <x:v>-17.94271</x:v>
      </x:c>
      <x:c r="E2866" s="23" t="n">
        <x:f>'Parameters'!$B$2*'Parameters'!$B$3*LN(4*PI()*C2866^2)</x:f>
        <x:v>6.685374583676023</x:v>
      </x:c>
      <x:c r="F2866" s="23" t="n">
        <x:f>D2866+E2866</x:f>
        <x:v>-11.25733541632398</x:v>
      </x:c>
      <x:c r="G2866" s="23" t="n">
        <x:f>AVERAGE($F$2945:$F$2968)</x:f>
        <x:v>-10.295726568251665</x:v>
      </x:c>
      <x:c r="H2866" s="24" t="n">
        <x:f>F2866-G2866</x:f>
        <x:v>-0.9616088480723146</x:v>
      </x:c>
    </x:row>
    <x:row r="2867">
      <x:c r="A2867" s="2" t="str">
        <x:v>LiN3-Core</x:v>
      </x:c>
      <x:c r="B2867" s="4" t="str">
        <x:v>LiCl</x:v>
      </x:c>
      <x:c r="C2867" s="23" t="n">
        <x:v>1.098847</x:v>
      </x:c>
      <x:c r="D2867" s="23" t="n">
        <x:v>-17.83499</x:v>
      </x:c>
      <x:c r="E2867" s="23" t="n">
        <x:f>'Parameters'!$B$2*'Parameters'!$B$3*LN(4*PI()*C2867^2)</x:f>
        <x:v>6.741640508684923</x:v>
      </x:c>
      <x:c r="F2867" s="23" t="n">
        <x:f>D2867+E2867</x:f>
        <x:v>-11.093349491315077</x:v>
      </x:c>
      <x:c r="G2867" s="23" t="n">
        <x:f>AVERAGE($F$2945:$F$2968)</x:f>
        <x:v>-10.295726568251665</x:v>
      </x:c>
      <x:c r="H2867" s="24" t="n">
        <x:f>F2867-G2867</x:f>
        <x:v>-0.7976229230634129</x:v>
      </x:c>
    </x:row>
    <x:row r="2868">
      <x:c r="A2868" s="2" t="str">
        <x:v>LiN3-Core</x:v>
      </x:c>
      <x:c r="B2868" s="4" t="str">
        <x:v>LiCl</x:v>
      </x:c>
      <x:c r="C2868" s="23" t="n">
        <x:v>1.111248</x:v>
      </x:c>
      <x:c r="D2868" s="23" t="n">
        <x:v>-17.83704</x:v>
      </x:c>
      <x:c r="E2868" s="23" t="n">
        <x:f>'Parameters'!$B$2*'Parameters'!$B$3*LN(4*PI()*C2868^2)</x:f>
        <x:v>6.797279508372596</x:v>
      </x:c>
      <x:c r="F2868" s="23" t="n">
        <x:f>D2868+E2868</x:f>
        <x:v>-11.039760491627401</x:v>
      </x:c>
      <x:c r="G2868" s="23" t="n">
        <x:f>AVERAGE($F$2945:$F$2968)</x:f>
        <x:v>-10.295726568251665</x:v>
      </x:c>
      <x:c r="H2868" s="24" t="n">
        <x:f>F2868-G2868</x:f>
        <x:v>-0.7440339233757367</x:v>
      </x:c>
    </x:row>
    <x:row r="2869">
      <x:c r="A2869" s="2" t="str">
        <x:v>LiN3-Core</x:v>
      </x:c>
      <x:c r="B2869" s="4" t="str">
        <x:v>LiCl</x:v>
      </x:c>
      <x:c r="C2869" s="23" t="n">
        <x:v>1.123648</x:v>
      </x:c>
      <x:c r="D2869" s="23" t="n">
        <x:v>-17.92401</x:v>
      </x:c>
      <x:c r="E2869" s="23" t="n">
        <x:f>'Parameters'!$B$2*'Parameters'!$B$3*LN(4*PI()*C2869^2)</x:f>
        <x:v>6.852296623440833</x:v>
      </x:c>
      <x:c r="F2869" s="23" t="n">
        <x:f>D2869+E2869</x:f>
        <x:v>-11.071713376559167</x:v>
      </x:c>
      <x:c r="G2869" s="23" t="n">
        <x:f>AVERAGE($F$2945:$F$2968)</x:f>
        <x:v>-10.295726568251665</x:v>
      </x:c>
      <x:c r="H2869" s="24" t="n">
        <x:f>F2869-G2869</x:f>
        <x:v>-0.7759868083075023</x:v>
      </x:c>
    </x:row>
    <x:row r="2870">
      <x:c r="A2870" s="2" t="str">
        <x:v>LiN3-Core</x:v>
      </x:c>
      <x:c r="B2870" s="4" t="str">
        <x:v>LiCl</x:v>
      </x:c>
      <x:c r="C2870" s="23" t="n">
        <x:v>1.136048</x:v>
      </x:c>
      <x:c r="D2870" s="23" t="n">
        <x:v>-17.72681</x:v>
      </x:c>
      <x:c r="E2870" s="23" t="n">
        <x:f>'Parameters'!$B$2*'Parameters'!$B$3*LN(4*PI()*C2870^2)</x:f>
        <x:v>6.906709917465447</x:v>
      </x:c>
      <x:c r="F2870" s="23" t="n">
        <x:f>D2870+E2870</x:f>
        <x:v>-10.820100082534553</x:v>
      </x:c>
      <x:c r="G2870" s="23" t="n">
        <x:f>AVERAGE($F$2945:$F$2968)</x:f>
        <x:v>-10.295726568251665</x:v>
      </x:c>
      <x:c r="H2870" s="24" t="n">
        <x:f>F2870-G2870</x:f>
        <x:v>-0.5243735142828889</x:v>
      </x:c>
    </x:row>
    <x:row r="2871">
      <x:c r="A2871" s="2" t="str">
        <x:v>LiN3-Core</x:v>
      </x:c>
      <x:c r="B2871" s="4" t="str">
        <x:v>LiCl</x:v>
      </x:c>
      <x:c r="C2871" s="23" t="n">
        <x:v>1.148449</x:v>
      </x:c>
      <x:c r="D2871" s="23" t="n">
        <x:v>-17.9283</x:v>
      </x:c>
      <x:c r="E2871" s="23" t="n">
        <x:f>'Parameters'!$B$2*'Parameters'!$B$3*LN(4*PI()*C2871^2)</x:f>
        <x:v>6.960536817795077</x:v>
      </x:c>
      <x:c r="F2871" s="23" t="n">
        <x:f>D2871+E2871</x:f>
        <x:v>-10.967763182204923</x:v>
      </x:c>
      <x:c r="G2871" s="23" t="n">
        <x:f>AVERAGE($F$2945:$F$2968)</x:f>
        <x:v>-10.295726568251665</x:v>
      </x:c>
      <x:c r="H2871" s="24" t="n">
        <x:f>F2871-G2871</x:f>
        <x:v>-0.6720366139532583</x:v>
      </x:c>
    </x:row>
    <x:row r="2872">
      <x:c r="A2872" s="2" t="str">
        <x:v>LiN3-Core</x:v>
      </x:c>
      <x:c r="B2872" s="4" t="str">
        <x:v>LiCl</x:v>
      </x:c>
      <x:c r="C2872" s="23" t="n">
        <x:v>1.160849</x:v>
      </x:c>
      <x:c r="D2872" s="23" t="n">
        <x:v>-18.00184</x:v>
      </x:c>
      <x:c r="E2872" s="23" t="n">
        <x:f>'Parameters'!$B$2*'Parameters'!$B$3*LN(4*PI()*C2872^2)</x:f>
        <x:v>7.013781332103732</x:v>
      </x:c>
      <x:c r="F2872" s="23" t="n">
        <x:f>D2872+E2872</x:f>
        <x:v>-10.988058667896269</x:v>
      </x:c>
      <x:c r="G2872" s="23" t="n">
        <x:f>AVERAGE($F$2945:$F$2968)</x:f>
        <x:v>-10.295726568251665</x:v>
      </x:c>
      <x:c r="H2872" s="24" t="n">
        <x:f>F2872-G2872</x:f>
        <x:v>-0.6923320996446041</x:v>
      </x:c>
    </x:row>
    <x:row r="2873">
      <x:c r="A2873" s="2" t="str">
        <x:v>LiN3-Core</x:v>
      </x:c>
      <x:c r="B2873" s="4" t="str">
        <x:v>LiCl</x:v>
      </x:c>
      <x:c r="C2873" s="23" t="n">
        <x:v>1.17325</x:v>
      </x:c>
      <x:c r="D2873" s="23" t="n">
        <x:v>-18.15188</x:v>
      </x:c>
      <x:c r="E2873" s="23" t="n">
        <x:f>'Parameters'!$B$2*'Parameters'!$B$3*LN(4*PI()*C2873^2)</x:f>
        <x:v>7.066464333780976</x:v>
      </x:c>
      <x:c r="F2873" s="23" t="n">
        <x:f>D2873+E2873</x:f>
        <x:v>-11.085415666219022</x:v>
      </x:c>
      <x:c r="G2873" s="23" t="n">
        <x:f>AVERAGE($F$2945:$F$2968)</x:f>
        <x:v>-10.295726568251665</x:v>
      </x:c>
      <x:c r="H2873" s="24" t="n">
        <x:f>F2873-G2873</x:f>
        <x:v>-0.7896890979673579</x:v>
      </x:c>
    </x:row>
    <x:row r="2874">
      <x:c r="A2874" s="2" t="str">
        <x:v>LiN3-Core</x:v>
      </x:c>
      <x:c r="B2874" s="4" t="str">
        <x:v>LiCl</x:v>
      </x:c>
      <x:c r="C2874" s="23" t="n">
        <x:v>1.18565</x:v>
      </x:c>
      <x:c r="D2874" s="23" t="n">
        <x:v>-18.14256</x:v>
      </x:c>
      <x:c r="E2874" s="23" t="n">
        <x:f>'Parameters'!$B$2*'Parameters'!$B$3*LN(4*PI()*C2874^2)</x:f>
        <x:v>7.118589223020677</x:v>
      </x:c>
      <x:c r="F2874" s="23" t="n">
        <x:f>D2874+E2874</x:f>
        <x:v>-11.023970776979322</x:v>
      </x:c>
      <x:c r="G2874" s="23" t="n">
        <x:f>AVERAGE($F$2945:$F$2968)</x:f>
        <x:v>-10.295726568251665</x:v>
      </x:c>
      <x:c r="H2874" s="24" t="n">
        <x:f>F2874-G2874</x:f>
        <x:v>-0.7282442087276575</x:v>
      </x:c>
    </x:row>
    <x:row r="2875">
      <x:c r="A2875" s="2" t="str">
        <x:v>LiN3-Core</x:v>
      </x:c>
      <x:c r="B2875" s="4" t="str">
        <x:v>LiCl</x:v>
      </x:c>
      <x:c r="C2875" s="23" t="n">
        <x:v>1.198051</x:v>
      </x:c>
      <x:c r="D2875" s="23" t="n">
        <x:v>-18.18585</x:v>
      </x:c>
      <x:c r="E2875" s="23" t="n">
        <x:f>'Parameters'!$B$2*'Parameters'!$B$3*LN(4*PI()*C2875^2)</x:f>
        <x:v>7.1701759337192925</x:v>
      </x:c>
      <x:c r="F2875" s="23" t="n">
        <x:f>D2875+E2875</x:f>
        <x:v>-11.015674066280706</x:v>
      </x:c>
      <x:c r="G2875" s="23" t="n">
        <x:f>AVERAGE($F$2945:$F$2968)</x:f>
        <x:v>-10.295726568251665</x:v>
      </x:c>
      <x:c r="H2875" s="24" t="n">
        <x:f>F2875-G2875</x:f>
        <x:v>-0.7199474980290415</x:v>
      </x:c>
    </x:row>
    <x:row r="2876">
      <x:c r="A2876" s="2" t="str">
        <x:v>LiN3-Core</x:v>
      </x:c>
      <x:c r="B2876" s="4" t="str">
        <x:v>LiCl</x:v>
      </x:c>
      <x:c r="C2876" s="23" t="n">
        <x:v>1.210451</x:v>
      </x:c>
      <x:c r="D2876" s="23" t="n">
        <x:v>-18.1795</x:v>
      </x:c>
      <x:c r="E2876" s="23" t="n">
        <x:f>'Parameters'!$B$2*'Parameters'!$B$3*LN(4*PI()*C2876^2)</x:f>
        <x:v>7.221227315473624</x:v>
      </x:c>
      <x:c r="F2876" s="23" t="n">
        <x:f>D2876+E2876</x:f>
        <x:v>-10.958272684526378</x:v>
      </x:c>
      <x:c r="G2876" s="23" t="n">
        <x:f>AVERAGE($F$2945:$F$2968)</x:f>
        <x:v>-10.295726568251665</x:v>
      </x:c>
      <x:c r="H2876" s="24" t="n">
        <x:f>F2876-G2876</x:f>
        <x:v>-0.6625461162747133</x:v>
      </x:c>
    </x:row>
    <x:row r="2877">
      <x:c r="A2877" s="2" t="str">
        <x:v>LiN3-Core</x:v>
      </x:c>
      <x:c r="B2877" s="4" t="str">
        <x:v>LiCl</x:v>
      </x:c>
      <x:c r="C2877" s="23" t="n">
        <x:v>1.222852</x:v>
      </x:c>
      <x:c r="D2877" s="23" t="n">
        <x:v>-18.13203</x:v>
      </x:c>
      <x:c r="E2877" s="23" t="n">
        <x:f>'Parameters'!$B$2*'Parameters'!$B$3*LN(4*PI()*C2877^2)</x:f>
        <x:v>7.271762431367768</x:v>
      </x:c>
      <x:c r="F2877" s="23" t="n">
        <x:f>D2877+E2877</x:f>
        <x:v>-10.860267568632231</x:v>
      </x:c>
      <x:c r="G2877" s="23" t="n">
        <x:f>AVERAGE($F$2945:$F$2968)</x:f>
        <x:v>-10.295726568251665</x:v>
      </x:c>
      <x:c r="H2877" s="24" t="n">
        <x:f>F2877-G2877</x:f>
        <x:v>-0.5645410003805669</x:v>
      </x:c>
    </x:row>
    <x:row r="2878">
      <x:c r="A2878" s="2" t="str">
        <x:v>LiN3-Core</x:v>
      </x:c>
      <x:c r="B2878" s="4" t="str">
        <x:v>LiCl</x:v>
      </x:c>
      <x:c r="C2878" s="23" t="n">
        <x:v>1.235252</x:v>
      </x:c>
      <x:c r="D2878" s="23" t="n">
        <x:v>-18.21873</x:v>
      </x:c>
      <x:c r="E2878" s="23" t="n">
        <x:f>'Parameters'!$B$2*'Parameters'!$B$3*LN(4*PI()*C2878^2)</x:f>
        <x:v>7.321783631306959</x:v>
      </x:c>
      <x:c r="F2878" s="23" t="n">
        <x:f>D2878+E2878</x:f>
        <x:v>-10.896946368693042</x:v>
      </x:c>
      <x:c r="G2878" s="23" t="n">
        <x:f>AVERAGE($F$2945:$F$2968)</x:f>
        <x:v>-10.295726568251665</x:v>
      </x:c>
      <x:c r="H2878" s="24" t="n">
        <x:f>F2878-G2878</x:f>
        <x:v>-0.6012198004413776</x:v>
      </x:c>
    </x:row>
    <x:row r="2879">
      <x:c r="A2879" s="2" t="str">
        <x:v>LiN3-Core</x:v>
      </x:c>
      <x:c r="B2879" s="4" t="str">
        <x:v>LiCl</x:v>
      </x:c>
      <x:c r="C2879" s="23" t="n">
        <x:v>1.247652</x:v>
      </x:c>
      <x:c r="D2879" s="23" t="n">
        <x:v>-18.17618</x:v>
      </x:c>
      <x:c r="E2879" s="23" t="n">
        <x:f>'Parameters'!$B$2*'Parameters'!$B$3*LN(4*PI()*C2879^2)</x:f>
        <x:v>7.371305195944064</x:v>
      </x:c>
      <x:c r="F2879" s="23" t="n">
        <x:f>D2879+E2879</x:f>
        <x:v>-10.804874804055935</x:v>
      </x:c>
      <x:c r="G2879" s="23" t="n">
        <x:f>AVERAGE($F$2945:$F$2968)</x:f>
        <x:v>-10.295726568251665</x:v>
      </x:c>
      <x:c r="H2879" s="24" t="n">
        <x:f>F2879-G2879</x:f>
        <x:v>-0.50914823580427</x:v>
      </x:c>
    </x:row>
    <x:row r="2880">
      <x:c r="A2880" s="2" t="str">
        <x:v>LiN3-Core</x:v>
      </x:c>
      <x:c r="B2880" s="4" t="str">
        <x:v>LiCl</x:v>
      </x:c>
      <x:c r="C2880" s="23" t="n">
        <x:v>1.260053</x:v>
      </x:c>
      <x:c r="D2880" s="23" t="n">
        <x:v>-18.18788</x:v>
      </x:c>
      <x:c r="E2880" s="23" t="n">
        <x:f>'Parameters'!$B$2*'Parameters'!$B$3*LN(4*PI()*C2880^2)</x:f>
        <x:v>7.420340942522694</x:v>
      </x:c>
      <x:c r="F2880" s="23" t="n">
        <x:f>D2880+E2880</x:f>
        <x:v>-10.767539057477306</x:v>
      </x:c>
      <x:c r="G2880" s="23" t="n">
        <x:f>AVERAGE($F$2945:$F$2968)</x:f>
        <x:v>-10.295726568251665</x:v>
      </x:c>
      <x:c r="H2880" s="24" t="n">
        <x:f>F2880-G2880</x:f>
        <x:v>-0.47181248922564123</x:v>
      </x:c>
    </x:row>
    <x:row r="2881">
      <x:c r="A2881" s="2" t="str">
        <x:v>LiN3-Core</x:v>
      </x:c>
      <x:c r="B2881" s="4" t="str">
        <x:v>LiCl</x:v>
      </x:c>
      <x:c r="C2881" s="23" t="n">
        <x:v>1.272453</x:v>
      </x:c>
      <x:c r="D2881" s="23" t="n">
        <x:v>-18.13835</x:v>
      </x:c>
      <x:c r="E2881" s="23" t="n">
        <x:f>'Parameters'!$B$2*'Parameters'!$B$3*LN(4*PI()*C2881^2)</x:f>
        <x:v>7.468892555538121</x:v>
      </x:c>
      <x:c r="F2881" s="23" t="n">
        <x:f>D2881+E2881</x:f>
        <x:v>-10.669457444461878</x:v>
      </x:c>
      <x:c r="G2881" s="23" t="n">
        <x:f>AVERAGE($F$2945:$F$2968)</x:f>
        <x:v>-10.295726568251665</x:v>
      </x:c>
      <x:c r="H2881" s="24" t="n">
        <x:f>F2881-G2881</x:f>
        <x:v>-0.37373087621021384</x:v>
      </x:c>
    </x:row>
    <x:row r="2882">
      <x:c r="A2882" s="2" t="str">
        <x:v>LiN3-Core</x:v>
      </x:c>
      <x:c r="B2882" s="4" t="str">
        <x:v>LiCl</x:v>
      </x:c>
      <x:c r="C2882" s="23" t="n">
        <x:v>1.284854</x:v>
      </x:c>
      <x:c r="D2882" s="23" t="n">
        <x:v>-18.17869</x:v>
      </x:c>
      <x:c r="E2882" s="23" t="n">
        <x:f>'Parameters'!$B$2*'Parameters'!$B$3*LN(4*PI()*C2882^2)</x:f>
        <x:v>7.5169771806402</x:v>
      </x:c>
      <x:c r="F2882" s="23" t="n">
        <x:f>D2882+E2882</x:f>
        <x:v>-10.6617128193598</x:v>
      </x:c>
      <x:c r="G2882" s="23" t="n">
        <x:f>AVERAGE($F$2945:$F$2968)</x:f>
        <x:v>-10.295726568251665</x:v>
      </x:c>
      <x:c r="H2882" s="24" t="n">
        <x:f>F2882-G2882</x:f>
        <x:v>-0.36598625110813465</x:v>
      </x:c>
    </x:row>
    <x:row r="2883">
      <x:c r="A2883" s="2" t="str">
        <x:v>LiN3-Core</x:v>
      </x:c>
      <x:c r="B2883" s="4" t="str">
        <x:v>LiCl</x:v>
      </x:c>
      <x:c r="C2883" s="23" t="n">
        <x:v>1.297254</x:v>
      </x:c>
      <x:c r="D2883" s="23" t="n">
        <x:v>-18.1691</x:v>
      </x:c>
      <x:c r="E2883" s="23" t="n">
        <x:f>'Parameters'!$B$2*'Parameters'!$B$3*LN(4*PI()*C2883^2)</x:f>
        <x:v>7.56459610823035</x:v>
      </x:c>
      <x:c r="F2883" s="23" t="n">
        <x:f>D2883+E2883</x:f>
        <x:v>-10.60450389176965</x:v>
      </x:c>
      <x:c r="G2883" s="23" t="n">
        <x:f>AVERAGE($F$2945:$F$2968)</x:f>
        <x:v>-10.295726568251665</x:v>
      </x:c>
      <x:c r="H2883" s="24" t="n">
        <x:f>F2883-G2883</x:f>
        <x:v>-0.3087773235179849</x:v>
      </x:c>
    </x:row>
    <x:row r="2884">
      <x:c r="A2884" s="2" t="str">
        <x:v>LiN3-Core</x:v>
      </x:c>
      <x:c r="B2884" s="4" t="str">
        <x:v>LiCl</x:v>
      </x:c>
      <x:c r="C2884" s="23" t="n">
        <x:v>1.309655</x:v>
      </x:c>
      <x:c r="D2884" s="23" t="n">
        <x:v>-18.2315</x:v>
      </x:c>
      <x:c r="E2884" s="23" t="n">
        <x:f>'Parameters'!$B$2*'Parameters'!$B$3*LN(4*PI()*C2884^2)</x:f>
        <x:v>7.611765806917584</x:v>
      </x:c>
      <x:c r="F2884" s="23" t="n">
        <x:f>D2884+E2884</x:f>
        <x:v>-10.619734193082415</x:v>
      </x:c>
      <x:c r="G2884" s="23" t="n">
        <x:f>AVERAGE($F$2945:$F$2968)</x:f>
        <x:v>-10.295726568251665</x:v>
      </x:c>
      <x:c r="H2884" s="24" t="n">
        <x:f>F2884-G2884</x:f>
        <x:v>-0.32400762483075063</x:v>
      </x:c>
    </x:row>
    <x:row r="2885">
      <x:c r="A2885" s="2" t="str">
        <x:v>LiN3-Core</x:v>
      </x:c>
      <x:c r="B2885" s="4" t="str">
        <x:v>LiCl</x:v>
      </x:c>
      <x:c r="C2885" s="23" t="n">
        <x:v>1.322055</x:v>
      </x:c>
      <x:c r="D2885" s="23" t="n">
        <x:v>-18.39332</x:v>
      </x:c>
      <x:c r="E2885" s="23" t="n">
        <x:f>'Parameters'!$B$2*'Parameters'!$B$3*LN(4*PI()*C2885^2)</x:f>
        <x:v>7.6584872080548</x:v>
      </x:c>
      <x:c r="F2885" s="23" t="n">
        <x:f>D2885+E2885</x:f>
        <x:v>-10.734832791945198</x:v>
      </x:c>
      <x:c r="G2885" s="23" t="n">
        <x:f>AVERAGE($F$2945:$F$2968)</x:f>
        <x:v>-10.295726568251665</x:v>
      </x:c>
      <x:c r="H2885" s="24" t="n">
        <x:f>F2885-G2885</x:f>
        <x:v>-0.4391062236935337</x:v>
      </x:c>
    </x:row>
    <x:row r="2886">
      <x:c r="A2886" s="2" t="str">
        <x:v>LiN3-Core</x:v>
      </x:c>
      <x:c r="B2886" s="4" t="str">
        <x:v>LiCl</x:v>
      </x:c>
      <x:c r="C2886" s="23" t="n">
        <x:v>1.334455</x:v>
      </x:c>
      <x:c r="D2886" s="23" t="n">
        <x:v>-18.47677</x:v>
      </x:c>
      <x:c r="E2886" s="23" t="n">
        <x:f>'Parameters'!$B$2*'Parameters'!$B$3*LN(4*PI()*C2886^2)</x:f>
        <x:v>7.704772432532294</x:v>
      </x:c>
      <x:c r="F2886" s="23" t="n">
        <x:f>D2886+E2886</x:f>
        <x:v>-10.771997567467704</x:v>
      </x:c>
      <x:c r="G2886" s="23" t="n">
        <x:f>AVERAGE($F$2945:$F$2968)</x:f>
        <x:v>-10.295726568251665</x:v>
      </x:c>
      <x:c r="H2886" s="24" t="n">
        <x:f>F2886-G2886</x:f>
        <x:v>-0.4762709992160392</x:v>
      </x:c>
    </x:row>
    <x:row r="2887">
      <x:c r="A2887" s="2" t="str">
        <x:v>LiN3-Core</x:v>
      </x:c>
      <x:c r="B2887" s="4" t="str">
        <x:v>LiCl</x:v>
      </x:c>
      <x:c r="C2887" s="23" t="n">
        <x:v>1.346856</x:v>
      </x:c>
      <x:c r="D2887" s="23" t="n">
        <x:v>-18.44568</x:v>
      </x:c>
      <x:c r="E2887" s="23" t="n">
        <x:f>'Parameters'!$B$2*'Parameters'!$B$3*LN(4*PI()*C2887^2)</x:f>
        <x:v>7.750633230206716</x:v>
      </x:c>
      <x:c r="F2887" s="23" t="n">
        <x:f>D2887+E2887</x:f>
        <x:v>-10.695046769793283</x:v>
      </x:c>
      <x:c r="G2887" s="23" t="n">
        <x:f>AVERAGE($F$2945:$F$2968)</x:f>
        <x:v>-10.295726568251665</x:v>
      </x:c>
      <x:c r="H2887" s="24" t="n">
        <x:f>F2887-G2887</x:f>
        <x:v>-0.3993202015416184</x:v>
      </x:c>
    </x:row>
    <x:row r="2888">
      <x:c r="A2888" s="2" t="str">
        <x:v>LiN3-Core</x:v>
      </x:c>
      <x:c r="B2888" s="4" t="str">
        <x:v>LiCl</x:v>
      </x:c>
      <x:c r="C2888" s="23" t="n">
        <x:v>1.359256</x:v>
      </x:c>
      <x:c r="D2888" s="23" t="n">
        <x:v>-18.46994</x:v>
      </x:c>
      <x:c r="E2888" s="23" t="n">
        <x:f>'Parameters'!$B$2*'Parameters'!$B$3*LN(4*PI()*C2888^2)</x:f>
        <x:v>7.796070052200529</x:v>
      </x:c>
      <x:c r="F2888" s="23" t="n">
        <x:f>D2888+E2888</x:f>
        <x:v>-10.673869947799473</x:v>
      </x:c>
      <x:c r="G2888" s="23" t="n">
        <x:f>AVERAGE($F$2945:$F$2968)</x:f>
        <x:v>-10.295726568251665</x:v>
      </x:c>
      <x:c r="H2888" s="24" t="n">
        <x:f>F2888-G2888</x:f>
        <x:v>-0.37814337954780797</x:v>
      </x:c>
    </x:row>
    <x:row r="2889">
      <x:c r="A2889" s="2" t="str">
        <x:v>LiN3-Core</x:v>
      </x:c>
      <x:c r="B2889" s="4" t="str">
        <x:v>LiCl</x:v>
      </x:c>
      <x:c r="C2889" s="23" t="n">
        <x:v>1.371657</x:v>
      </x:c>
      <x:c r="D2889" s="23" t="n">
        <x:v>-18.52898</x:v>
      </x:c>
      <x:c r="E2889" s="23" t="n">
        <x:f>'Parameters'!$B$2*'Parameters'!$B$3*LN(4*PI()*C2889^2)</x:f>
        <x:v>7.8410978614760305</x:v>
      </x:c>
      <x:c r="F2889" s="23" t="n">
        <x:f>D2889+E2889</x:f>
        <x:v>-10.687882138523971</x:v>
      </x:c>
      <x:c r="G2889" s="23" t="n">
        <x:f>AVERAGE($F$2945:$F$2968)</x:f>
        <x:v>-10.295726568251665</x:v>
      </x:c>
      <x:c r="H2889" s="24" t="n">
        <x:f>F2889-G2889</x:f>
        <x:v>-0.3921555702723065</x:v>
      </x:c>
    </x:row>
    <x:row r="2890">
      <x:c r="A2890" s="2" t="str">
        <x:v>LiN3-Core</x:v>
      </x:c>
      <x:c r="B2890" s="4" t="str">
        <x:v>LiCl</x:v>
      </x:c>
      <x:c r="C2890" s="23" t="n">
        <x:v>1.384057</x:v>
      </x:c>
      <x:c r="D2890" s="23" t="n">
        <x:v>-18.39086</x:v>
      </x:c>
      <x:c r="E2890" s="23" t="n">
        <x:f>'Parameters'!$B$2*'Parameters'!$B$3*LN(4*PI()*C2890^2)</x:f>
        <x:v>7.885716823580857</x:v>
      </x:c>
      <x:c r="F2890" s="23" t="n">
        <x:f>D2890+E2890</x:f>
        <x:v>-10.505143176419143</x:v>
      </x:c>
      <x:c r="G2890" s="23" t="n">
        <x:f>AVERAGE($F$2945:$F$2968)</x:f>
        <x:v>-10.295726568251665</x:v>
      </x:c>
      <x:c r="H2890" s="24" t="n">
        <x:f>F2890-G2890</x:f>
        <x:v>-0.2094166081674782</x:v>
      </x:c>
    </x:row>
    <x:row r="2891">
      <x:c r="A2891" s="2" t="str">
        <x:v>LiN3-Core</x:v>
      </x:c>
      <x:c r="B2891" s="4" t="str">
        <x:v>LiCl</x:v>
      </x:c>
      <x:c r="C2891" s="23" t="n">
        <x:v>1.396458</x:v>
      </x:c>
      <x:c r="D2891" s="23" t="n">
        <x:v>-18.49671</x:v>
      </x:c>
      <x:c r="E2891" s="23" t="n">
        <x:f>'Parameters'!$B$2*'Parameters'!$B$3*LN(4*PI()*C2891^2)</x:f>
        <x:v>7.929941364655</x:v>
      </x:c>
      <x:c r="F2891" s="23" t="n">
        <x:f>D2891+E2891</x:f>
        <x:v>-10.566768635345</x:v>
      </x:c>
      <x:c r="G2891" s="23" t="n">
        <x:f>AVERAGE($F$2945:$F$2968)</x:f>
        <x:v>-10.295726568251665</x:v>
      </x:c>
      <x:c r="H2891" s="24" t="n">
        <x:f>F2891-G2891</x:f>
        <x:v>-0.2710420670933349</x:v>
      </x:c>
    </x:row>
    <x:row r="2892">
      <x:c r="A2892" s="2" t="str">
        <x:v>LiN3-Core</x:v>
      </x:c>
      <x:c r="B2892" s="4" t="str">
        <x:v>LiCl</x:v>
      </x:c>
      <x:c r="C2892" s="23" t="n">
        <x:v>1.408858</x:v>
      </x:c>
      <x:c r="D2892" s="23" t="n">
        <x:v>-18.4848</x:v>
      </x:c>
      <x:c r="E2892" s="23" t="n">
        <x:f>'Parameters'!$B$2*'Parameters'!$B$3*LN(4*PI()*C2892^2)</x:f>
        <x:v>7.973771389311859</x:v>
      </x:c>
      <x:c r="F2892" s="23" t="n">
        <x:f>D2892+E2892</x:f>
        <x:v>-10.51102861068814</x:v>
      </x:c>
      <x:c r="G2892" s="23" t="n">
        <x:f>AVERAGE($F$2945:$F$2968)</x:f>
        <x:v>-10.295726568251665</x:v>
      </x:c>
      <x:c r="H2892" s="24" t="n">
        <x:f>F2892-G2892</x:f>
        <x:v>-0.2153020424364751</x:v>
      </x:c>
    </x:row>
    <x:row r="2893">
      <x:c r="A2893" s="2" t="str">
        <x:v>LiN3-Core</x:v>
      </x:c>
      <x:c r="B2893" s="4" t="str">
        <x:v>LiCl</x:v>
      </x:c>
      <x:c r="C2893" s="23" t="n">
        <x:v>1.421258</x:v>
      </x:c>
      <x:c r="D2893" s="23" t="n">
        <x:v>-18.59069</x:v>
      </x:c>
      <x:c r="E2893" s="23" t="n">
        <x:f>'Parameters'!$B$2*'Parameters'!$B$3*LN(4*PI()*C2893^2)</x:f>
        <x:v>8.017217331272287</x:v>
      </x:c>
      <x:c r="F2893" s="23" t="n">
        <x:f>D2893+E2893</x:f>
        <x:v>-10.573472668727712</x:v>
      </x:c>
      <x:c r="G2893" s="23" t="n">
        <x:f>AVERAGE($F$2945:$F$2968)</x:f>
        <x:v>-10.295726568251665</x:v>
      </x:c>
      <x:c r="H2893" s="24" t="n">
        <x:f>F2893-G2893</x:f>
        <x:v>-0.27774610047604753</x:v>
      </x:c>
    </x:row>
    <x:row r="2894">
      <x:c r="A2894" s="2" t="str">
        <x:v>LiN3-Core</x:v>
      </x:c>
      <x:c r="B2894" s="4" t="str">
        <x:v>LiCl</x:v>
      </x:c>
      <x:c r="C2894" s="23" t="n">
        <x:v>1.433659</x:v>
      </x:c>
      <x:c r="D2894" s="23" t="n">
        <x:v>-18.61871</x:v>
      </x:c>
      <x:c r="E2894" s="23" t="n">
        <x:f>'Parameters'!$B$2*'Parameters'!$B$3*LN(4*PI()*C2894^2)</x:f>
        <x:v>8.060289321765005</x:v>
      </x:c>
      <x:c r="F2894" s="23" t="n">
        <x:f>D2894+E2894</x:f>
        <x:v>-10.558420678234995</x:v>
      </x:c>
      <x:c r="G2894" s="23" t="n">
        <x:f>AVERAGE($F$2945:$F$2968)</x:f>
        <x:v>-10.295726568251665</x:v>
      </x:c>
      <x:c r="H2894" s="24" t="n">
        <x:f>F2894-G2894</x:f>
        <x:v>-0.26269410998333065</x:v>
      </x:c>
    </x:row>
    <x:row r="2895">
      <x:c r="A2895" s="2" t="str">
        <x:v>LiN3-Core</x:v>
      </x:c>
      <x:c r="B2895" s="4" t="str">
        <x:v>LiCl</x:v>
      </x:c>
      <x:c r="C2895" s="23" t="n">
        <x:v>1.446059</x:v>
      </x:c>
      <x:c r="D2895" s="23" t="n">
        <x:v>-18.53641</x:v>
      </x:c>
      <x:c r="E2895" s="23" t="n">
        <x:f>'Parameters'!$B$2*'Parameters'!$B$3*LN(4*PI()*C2895^2)</x:f>
        <x:v>8.10298691528127</x:v>
      </x:c>
      <x:c r="F2895" s="23" t="n">
        <x:f>D2895+E2895</x:f>
        <x:v>-10.43342308471873</x:v>
      </x:c>
      <x:c r="G2895" s="23" t="n">
        <x:f>AVERAGE($F$2945:$F$2968)</x:f>
        <x:v>-10.295726568251665</x:v>
      </x:c>
      <x:c r="H2895" s="24" t="n">
        <x:f>F2895-G2895</x:f>
        <x:v>-0.1376965164670647</x:v>
      </x:c>
    </x:row>
    <x:row r="2896">
      <x:c r="A2896" s="2" t="str">
        <x:v>LiN3-Core</x:v>
      </x:c>
      <x:c r="B2896" s="4" t="str">
        <x:v>LiCl</x:v>
      </x:c>
      <x:c r="C2896" s="23" t="n">
        <x:v>1.45846</x:v>
      </x:c>
      <x:c r="D2896" s="23" t="n">
        <x:v>-18.63955</x:v>
      </x:c>
      <x:c r="E2896" s="23" t="n">
        <x:f>'Parameters'!$B$2*'Parameters'!$B$3*LN(4*PI()*C2896^2)</x:f>
        <x:v>8.145323333700897</x:v>
      </x:c>
      <x:c r="F2896" s="23" t="n">
        <x:f>D2896+E2896</x:f>
        <x:v>-10.494226666299102</x:v>
      </x:c>
      <x:c r="G2896" s="23" t="n">
        <x:f>AVERAGE($F$2945:$F$2968)</x:f>
        <x:v>-10.295726568251665</x:v>
      </x:c>
      <x:c r="H2896" s="24" t="n">
        <x:f>F2896-G2896</x:f>
        <x:v>-0.19850009804743785</x:v>
      </x:c>
    </x:row>
    <x:row r="2897">
      <x:c r="A2897" s="2" t="str">
        <x:v>LiN3-Core</x:v>
      </x:c>
      <x:c r="B2897" s="4" t="str">
        <x:v>LiCl</x:v>
      </x:c>
      <x:c r="C2897" s="23" t="n">
        <x:v>1.47086</x:v>
      </x:c>
      <x:c r="D2897" s="23" t="n">
        <x:v>-18.66332</x:v>
      </x:c>
      <x:c r="E2897" s="23" t="n">
        <x:f>'Parameters'!$B$2*'Parameters'!$B$3*LN(4*PI()*C2897^2)</x:f>
        <x:v>8.187297922713755</x:v>
      </x:c>
      <x:c r="F2897" s="23" t="n">
        <x:f>D2897+E2897</x:f>
        <x:v>-10.476022077286244</x:v>
      </x:c>
      <x:c r="G2897" s="23" t="n">
        <x:f>AVERAGE($F$2945:$F$2968)</x:f>
        <x:v>-10.295726568251665</x:v>
      </x:c>
      <x:c r="H2897" s="24" t="n">
        <x:f>F2897-G2897</x:f>
        <x:v>-0.18029550903457903</x:v>
      </x:c>
    </x:row>
    <x:row r="2898">
      <x:c r="A2898" s="2" t="str">
        <x:v>LiN3-Core</x:v>
      </x:c>
      <x:c r="B2898" s="4" t="str">
        <x:v>LiCl</x:v>
      </x:c>
      <x:c r="C2898" s="23" t="n">
        <x:v>1.483261</x:v>
      </x:c>
      <x:c r="D2898" s="23" t="n">
        <x:v>-18.73775</x:v>
      </x:c>
      <x:c r="E2898" s="23" t="n">
        <x:f>'Parameters'!$B$2*'Parameters'!$B$3*LN(4*PI()*C2898^2)</x:f>
        <x:v>8.228923471162908</x:v>
      </x:c>
      <x:c r="F2898" s="23" t="n">
        <x:f>D2898+E2898</x:f>
        <x:v>-10.50882652883709</x:v>
      </x:c>
      <x:c r="G2898" s="23" t="n">
        <x:f>AVERAGE($F$2945:$F$2968)</x:f>
        <x:v>-10.295726568251665</x:v>
      </x:c>
      <x:c r="H2898" s="24" t="n">
        <x:f>F2898-G2898</x:f>
        <x:v>-0.21309996058542602</x:v>
      </x:c>
    </x:row>
    <x:row r="2899">
      <x:c r="A2899" s="2" t="str">
        <x:v>LiN3-Core</x:v>
      </x:c>
      <x:c r="B2899" s="4" t="str">
        <x:v>LiCl</x:v>
      </x:c>
      <x:c r="C2899" s="23" t="n">
        <x:v>1.495661</x:v>
      </x:c>
      <x:c r="D2899" s="23" t="n">
        <x:v>-18.89234</x:v>
      </x:c>
      <x:c r="E2899" s="23" t="n">
        <x:f>'Parameters'!$B$2*'Parameters'!$B$3*LN(4*PI()*C2899^2)</x:f>
        <x:v>8.270199133578007</x:v>
      </x:c>
      <x:c r="F2899" s="23" t="n">
        <x:f>D2899+E2899</x:f>
        <x:v>-10.622140866421994</x:v>
      </x:c>
      <x:c r="G2899" s="23" t="n">
        <x:f>AVERAGE($F$2945:$F$2968)</x:f>
        <x:v>-10.295726568251665</x:v>
      </x:c>
      <x:c r="H2899" s="24" t="n">
        <x:f>F2899-G2899</x:f>
        <x:v>-0.3264142981703291</x:v>
      </x:c>
    </x:row>
    <x:row r="2900">
      <x:c r="A2900" s="2" t="str">
        <x:v>LiN3-Core</x:v>
      </x:c>
      <x:c r="B2900" s="4" t="str">
        <x:v>LiCl</x:v>
      </x:c>
      <x:c r="C2900" s="23" t="n">
        <x:v>1.508061</x:v>
      </x:c>
      <x:c r="D2900" s="23" t="n">
        <x:v>-18.87449</x:v>
      </x:c>
      <x:c r="E2900" s="23" t="n">
        <x:f>'Parameters'!$B$2*'Parameters'!$B$3*LN(4*PI()*C2900^2)</x:f>
        <x:v>8.311134002768421</x:v>
      </x:c>
      <x:c r="F2900" s="23" t="n">
        <x:f>D2900+E2900</x:f>
        <x:v>-10.56335599723158</x:v>
      </x:c>
      <x:c r="G2900" s="23" t="n">
        <x:f>AVERAGE($F$2945:$F$2968)</x:f>
        <x:v>-10.295726568251665</x:v>
      </x:c>
      <x:c r="H2900" s="24" t="n">
        <x:f>F2900-G2900</x:f>
        <x:v>-0.26762942897991593</x:v>
      </x:c>
    </x:row>
    <x:row r="2901">
      <x:c r="A2901" s="2" t="str">
        <x:v>LiN3-Core</x:v>
      </x:c>
      <x:c r="B2901" s="4" t="str">
        <x:v>LiCl</x:v>
      </x:c>
      <x:c r="C2901" s="23" t="n">
        <x:v>1.520462</x:v>
      </x:c>
      <x:c r="D2901" s="23" t="n">
        <x:v>-18.79457</x:v>
      </x:c>
      <x:c r="E2901" s="23" t="n">
        <x:f>'Parameters'!$B$2*'Parameters'!$B$3*LN(4*PI()*C2901^2)</x:f>
        <x:v>8.351736921007927</x:v>
      </x:c>
      <x:c r="F2901" s="23" t="n">
        <x:f>D2901+E2901</x:f>
        <x:v>-10.442833078992074</x:v>
      </x:c>
      <x:c r="G2901" s="23" t="n">
        <x:f>AVERAGE($F$2945:$F$2968)</x:f>
        <x:v>-10.295726568251665</x:v>
      </x:c>
      <x:c r="H2901" s="24" t="n">
        <x:f>F2901-G2901</x:f>
        <x:v>-0.14710651074040904</x:v>
      </x:c>
    </x:row>
    <x:row r="2902">
      <x:c r="A2902" s="2" t="str">
        <x:v>LiN3-Core</x:v>
      </x:c>
      <x:c r="B2902" s="4" t="str">
        <x:v>LiCl</x:v>
      </x:c>
      <x:c r="C2902" s="23" t="n">
        <x:v>1.532862</x:v>
      </x:c>
      <x:c r="D2902" s="23" t="n">
        <x:v>-19.00554</x:v>
      </x:c>
      <x:c r="E2902" s="23" t="n">
        <x:f>'Parameters'!$B$2*'Parameters'!$B$3*LN(4*PI()*C2902^2)</x:f>
        <x:v>8.392006785799321</x:v>
      </x:c>
      <x:c r="F2902" s="23" t="n">
        <x:f>D2902+E2902</x:f>
        <x:v>-10.613533214200679</x:v>
      </x:c>
      <x:c r="G2902" s="23" t="n">
        <x:f>AVERAGE($F$2945:$F$2968)</x:f>
        <x:v>-10.295726568251665</x:v>
      </x:c>
      <x:c r="H2902" s="24" t="n">
        <x:f>F2902-G2902</x:f>
        <x:v>-0.3178066459490143</x:v>
      </x:c>
    </x:row>
    <x:row r="2903">
      <x:c r="A2903" s="2" t="str">
        <x:v>LiN3-Core</x:v>
      </x:c>
      <x:c r="B2903" s="4" t="str">
        <x:v>LiCl</x:v>
      </x:c>
      <x:c r="C2903" s="23" t="n">
        <x:v>1.545263</x:v>
      </x:c>
      <x:c r="D2903" s="23" t="n">
        <x:v>-18.85072</x:v>
      </x:c>
      <x:c r="E2903" s="23" t="n">
        <x:f>'Parameters'!$B$2*'Parameters'!$B$3*LN(4*PI()*C2903^2)</x:f>
        <x:v>8.43195540704902</x:v>
      </x:c>
      <x:c r="F2903" s="23" t="n">
        <x:f>D2903+E2903</x:f>
        <x:v>-10.418764592950978</x:v>
      </x:c>
      <x:c r="G2903" s="23" t="n">
        <x:f>AVERAGE($F$2945:$F$2968)</x:f>
        <x:v>-10.295726568251665</x:v>
      </x:c>
      <x:c r="H2903" s="24" t="n">
        <x:f>F2903-G2903</x:f>
        <x:v>-0.12303802469931391</x:v>
      </x:c>
    </x:row>
    <x:row r="2904">
      <x:c r="A2904" s="2" t="str">
        <x:v>LiN3-Core</x:v>
      </x:c>
      <x:c r="B2904" s="4" t="str">
        <x:v>LiCl</x:v>
      </x:c>
      <x:c r="C2904" s="23" t="n">
        <x:v>1.557663</x:v>
      </x:c>
      <x:c r="D2904" s="23" t="n">
        <x:v>-18.97629</x:v>
      </x:c>
      <x:c r="E2904" s="23" t="n">
        <x:f>'Parameters'!$B$2*'Parameters'!$B$3*LN(4*PI()*C2904^2)</x:f>
        <x:v>8.471581528717778</x:v>
      </x:c>
      <x:c r="F2904" s="23" t="n">
        <x:f>D2904+E2904</x:f>
        <x:v>-10.504708471282221</x:v>
      </x:c>
      <x:c r="G2904" s="23" t="n">
        <x:f>AVERAGE($F$2945:$F$2968)</x:f>
        <x:v>-10.295726568251665</x:v>
      </x:c>
      <x:c r="H2904" s="24" t="n">
        <x:f>F2904-G2904</x:f>
        <x:v>-0.20898190303055664</x:v>
      </x:c>
    </x:row>
    <x:row r="2905">
      <x:c r="A2905" s="2" t="str">
        <x:v>LiN3-Core</x:v>
      </x:c>
      <x:c r="B2905" s="4" t="str">
        <x:v>LiCl</x:v>
      </x:c>
      <x:c r="C2905" s="23" t="n">
        <x:v>1.570064</x:v>
      </x:c>
      <x:c r="D2905" s="23" t="n">
        <x:v>-19.07082</x:v>
      </x:c>
      <x:c r="E2905" s="23" t="n">
        <x:f>'Parameters'!$B$2*'Parameters'!$B$3*LN(4*PI()*C2905^2)</x:f>
        <x:v>8.510896606040708</x:v>
      </x:c>
      <x:c r="F2905" s="23" t="n">
        <x:f>D2905+E2905</x:f>
        <x:v>-10.559923393959293</x:v>
      </x:c>
      <x:c r="G2905" s="23" t="n">
        <x:f>AVERAGE($F$2945:$F$2968)</x:f>
        <x:v>-10.295726568251665</x:v>
      </x:c>
      <x:c r="H2905" s="24" t="n">
        <x:f>F2905-G2905</x:f>
        <x:v>-0.2641968257076286</x:v>
      </x:c>
    </x:row>
    <x:row r="2906">
      <x:c r="A2906" s="2" t="str">
        <x:v>LiN3-Core</x:v>
      </x:c>
      <x:c r="B2906" s="4" t="str">
        <x:v>LiCl</x:v>
      </x:c>
      <x:c r="C2906" s="23" t="n">
        <x:v>1.582464</x:v>
      </x:c>
      <x:c r="D2906" s="23" t="n">
        <x:v>-19.1927</x:v>
      </x:c>
      <x:c r="E2906" s="23" t="n">
        <x:f>'Parameters'!$B$2*'Parameters'!$B$3*LN(4*PI()*C2906^2)</x:f>
        <x:v>8.549899242264711</x:v>
      </x:c>
      <x:c r="F2906" s="23" t="n">
        <x:f>D2906+E2906</x:f>
        <x:v>-10.642800757735287</x:v>
      </x:c>
      <x:c r="G2906" s="23" t="n">
        <x:f>AVERAGE($F$2945:$F$2968)</x:f>
        <x:v>-10.295726568251665</x:v>
      </x:c>
      <x:c r="H2906" s="24" t="n">
        <x:f>F2906-G2906</x:f>
        <x:v>-0.3470741894836227</x:v>
      </x:c>
    </x:row>
    <x:row r="2907">
      <x:c r="A2907" s="2" t="str">
        <x:v>LiN3-Core</x:v>
      </x:c>
      <x:c r="B2907" s="4" t="str">
        <x:v>LiCl</x:v>
      </x:c>
      <x:c r="C2907" s="23" t="n">
        <x:v>1.594864</x:v>
      </x:c>
      <x:c r="D2907" s="23" t="n">
        <x:v>-19.26386</x:v>
      </x:c>
      <x:c r="E2907" s="23" t="n">
        <x:f>'Parameters'!$B$2*'Parameters'!$B$3*LN(4*PI()*C2907^2)</x:f>
        <x:v>8.58859744808728</x:v>
      </x:c>
      <x:c r="F2907" s="23" t="n">
        <x:f>D2907+E2907</x:f>
        <x:v>-10.675262551912722</x:v>
      </x:c>
      <x:c r="G2907" s="23" t="n">
        <x:f>AVERAGE($F$2945:$F$2968)</x:f>
        <x:v>-10.295726568251665</x:v>
      </x:c>
      <x:c r="H2907" s="24" t="n">
        <x:f>F2907-G2907</x:f>
        <x:v>-0.37953598366105723</x:v>
      </x:c>
    </x:row>
    <x:row r="2908">
      <x:c r="A2908" s="2" t="str">
        <x:v>LiN3-Core</x:v>
      </x:c>
      <x:c r="B2908" s="4" t="str">
        <x:v>LiCl</x:v>
      </x:c>
      <x:c r="C2908" s="23" t="n">
        <x:v>1.607265</x:v>
      </x:c>
      <x:c r="D2908" s="23" t="n">
        <x:v>-19.3144</x:v>
      </x:c>
      <x:c r="E2908" s="23" t="n">
        <x:f>'Parameters'!$B$2*'Parameters'!$B$3*LN(4*PI()*C2908^2)</x:f>
        <x:v>8.626999023805901</x:v>
      </x:c>
      <x:c r="F2908" s="23" t="n">
        <x:f>D2908+E2908</x:f>
        <x:v>-10.687400976194098</x:v>
      </x:c>
      <x:c r="G2908" s="23" t="n">
        <x:f>AVERAGE($F$2945:$F$2968)</x:f>
        <x:v>-10.295726568251665</x:v>
      </x:c>
      <x:c r="H2908" s="24" t="n">
        <x:f>F2908-G2908</x:f>
        <x:v>-0.3916744079424337</x:v>
      </x:c>
    </x:row>
    <x:row r="2909">
      <x:c r="A2909" s="2" t="str">
        <x:v>LiN3-Core</x:v>
      </x:c>
      <x:c r="B2909" s="4" t="str">
        <x:v>LiCl</x:v>
      </x:c>
      <x:c r="C2909" s="23" t="n">
        <x:v>1.619665</x:v>
      </x:c>
      <x:c r="D2909" s="23" t="n">
        <x:v>-19.31817</x:v>
      </x:c>
      <x:c r="E2909" s="23" t="n">
        <x:f>'Parameters'!$B$2*'Parameters'!$B$3*LN(4*PI()*C2909^2)</x:f>
        <x:v>8.665102383304363</x:v>
      </x:c>
      <x:c r="F2909" s="23" t="n">
        <x:f>D2909+E2909</x:f>
        <x:v>-10.653067616695635</x:v>
      </x:c>
      <x:c r="G2909" s="23" t="n">
        <x:f>AVERAGE($F$2945:$F$2968)</x:f>
        <x:v>-10.295726568251665</x:v>
      </x:c>
      <x:c r="H2909" s="24" t="n">
        <x:f>F2909-G2909</x:f>
        <x:v>-0.3573410484439705</x:v>
      </x:c>
    </x:row>
    <x:row r="2910">
      <x:c r="A2910" s="2" t="str">
        <x:v>LiN3-Core</x:v>
      </x:c>
      <x:c r="B2910" s="4" t="str">
        <x:v>LiCl</x:v>
      </x:c>
      <x:c r="C2910" s="23" t="n">
        <x:v>1.632066</x:v>
      </x:c>
      <x:c r="D2910" s="23" t="n">
        <x:v>-19.29236</x:v>
      </x:c>
      <x:c r="E2910" s="23" t="n">
        <x:f>'Parameters'!$B$2*'Parameters'!$B$3*LN(4*PI()*C2910^2)</x:f>
        <x:v>8.702918174537436</x:v>
      </x:c>
      <x:c r="F2910" s="23" t="n">
        <x:f>D2910+E2910</x:f>
        <x:v>-10.589441825462563</x:v>
      </x:c>
      <x:c r="G2910" s="23" t="n">
        <x:f>AVERAGE($F$2945:$F$2968)</x:f>
        <x:v>-10.295726568251665</x:v>
      </x:c>
      <x:c r="H2910" s="24" t="n">
        <x:f>F2910-G2910</x:f>
        <x:v>-0.29371525721089853</x:v>
      </x:c>
    </x:row>
    <x:row r="2911">
      <x:c r="A2911" s="2" t="str">
        <x:v>LiN3-Core</x:v>
      </x:c>
      <x:c r="B2911" s="4" t="str">
        <x:v>LiCl</x:v>
      </x:c>
      <x:c r="C2911" s="23" t="n">
        <x:v>1.644466</x:v>
      </x:c>
      <x:c r="D2911" s="23" t="n">
        <x:v>-19.28191</x:v>
      </x:c>
      <x:c r="E2911" s="23" t="n">
        <x:f>'Parameters'!$B$2*'Parameters'!$B$3*LN(4*PI()*C2911^2)</x:f>
        <x:v>8.7404446982159</x:v>
      </x:c>
      <x:c r="F2911" s="23" t="n">
        <x:f>D2911+E2911</x:f>
        <x:v>-10.5414653017841</x:v>
      </x:c>
      <x:c r="G2911" s="23" t="n">
        <x:f>AVERAGE($F$2945:$F$2968)</x:f>
        <x:v>-10.295726568251665</x:v>
      </x:c>
      <x:c r="H2911" s="24" t="n">
        <x:f>F2911-G2911</x:f>
        <x:v>-0.24573873353243592</x:v>
      </x:c>
    </x:row>
    <x:row r="2912">
      <x:c r="A2912" s="2" t="str">
        <x:v>LiN3-Core</x:v>
      </x:c>
      <x:c r="B2912" s="4" t="str">
        <x:v>LiCl</x:v>
      </x:c>
      <x:c r="C2912" s="23" t="n">
        <x:v>1.656867</x:v>
      </x:c>
      <x:c r="D2912" s="23" t="n">
        <x:v>-19.29951</x:v>
      </x:c>
      <x:c r="E2912" s="23" t="n">
        <x:f>'Parameters'!$B$2*'Parameters'!$B$3*LN(4*PI()*C2912^2)</x:f>
        <x:v>8.77769230785193</x:v>
      </x:c>
      <x:c r="F2912" s="23" t="n">
        <x:f>D2912+E2912</x:f>
        <x:v>-10.52181769214807</x:v>
      </x:c>
      <x:c r="G2912" s="23" t="n">
        <x:f>AVERAGE($F$2945:$F$2968)</x:f>
        <x:v>-10.295726568251665</x:v>
      </x:c>
      <x:c r="H2912" s="24" t="n">
        <x:f>F2912-G2912</x:f>
        <x:v>-0.2260911238964063</x:v>
      </x:c>
    </x:row>
    <x:row r="2913">
      <x:c r="A2913" s="2" t="str">
        <x:v>LiN3-Core</x:v>
      </x:c>
      <x:c r="B2913" s="4" t="str">
        <x:v>LiCl</x:v>
      </x:c>
      <x:c r="C2913" s="23" t="n">
        <x:v>1.669267</x:v>
      </x:c>
      <x:c r="D2913" s="23" t="n">
        <x:v>-19.42008</x:v>
      </x:c>
      <x:c r="E2913" s="23" t="n">
        <x:f>'Parameters'!$B$2*'Parameters'!$B$3*LN(4*PI()*C2913^2)</x:f>
        <x:v>8.814659200437625</x:v>
      </x:c>
      <x:c r="F2913" s="23" t="n">
        <x:f>D2913+E2913</x:f>
        <x:v>-10.605420799562374</x:v>
      </x:c>
      <x:c r="G2913" s="23" t="n">
        <x:f>AVERAGE($F$2945:$F$2968)</x:f>
        <x:v>-10.295726568251665</x:v>
      </x:c>
      <x:c r="H2913" s="24" t="n">
        <x:f>F2913-G2913</x:f>
        <x:v>-0.3096942313107096</x:v>
      </x:c>
    </x:row>
    <x:row r="2914">
      <x:c r="A2914" s="2" t="str">
        <x:v>LiN3-Core</x:v>
      </x:c>
      <x:c r="B2914" s="4" t="str">
        <x:v>LiCl</x:v>
      </x:c>
      <x:c r="C2914" s="23" t="n">
        <x:v>1.681667</x:v>
      </x:c>
      <x:c r="D2914" s="23" t="n">
        <x:v>-19.28265</x:v>
      </x:c>
      <x:c r="E2914" s="23" t="n">
        <x:f>'Parameters'!$B$2*'Parameters'!$B$3*LN(4*PI()*C2914^2)</x:f>
        <x:v>8.8513525014406</x:v>
      </x:c>
      <x:c r="F2914" s="23" t="n">
        <x:f>D2914+E2914</x:f>
        <x:v>-10.4312974985594</x:v>
      </x:c>
      <x:c r="G2914" s="23" t="n">
        <x:f>AVERAGE($F$2945:$F$2968)</x:f>
        <x:v>-10.295726568251665</x:v>
      </x:c>
      <x:c r="H2914" s="24" t="n">
        <x:f>F2914-G2914</x:f>
        <x:v>-0.13557093030773615</x:v>
      </x:c>
    </x:row>
    <x:row r="2915">
      <x:c r="A2915" s="2" t="str">
        <x:v>LiN3-Core</x:v>
      </x:c>
      <x:c r="B2915" s="4" t="str">
        <x:v>LiCl</x:v>
      </x:c>
      <x:c r="C2915" s="23" t="n">
        <x:v>1.694068</x:v>
      </x:c>
      <x:c r="D2915" s="23" t="n">
        <x:v>-19.2983</x:v>
      </x:c>
      <x:c r="E2915" s="23" t="n">
        <x:f>'Parameters'!$B$2*'Parameters'!$B$3*LN(4*PI()*C2915^2)</x:f>
        <x:v>8.887779157457333</x:v>
      </x:c>
      <x:c r="F2915" s="23" t="n">
        <x:f>D2915+E2915</x:f>
        <x:v>-10.410520842542669</x:v>
      </x:c>
      <x:c r="G2915" s="23" t="n">
        <x:f>AVERAGE($F$2945:$F$2968)</x:f>
        <x:v>-10.295726568251665</x:v>
      </x:c>
      <x:c r="H2915" s="24" t="n">
        <x:f>F2915-G2915</x:f>
        <x:v>-0.11479427429100397</x:v>
      </x:c>
    </x:row>
    <x:row r="2916">
      <x:c r="A2916" s="2" t="str">
        <x:v>LiN3-Core</x:v>
      </x:c>
      <x:c r="B2916" s="4" t="str">
        <x:v>LiCl</x:v>
      </x:c>
      <x:c r="C2916" s="23" t="n">
        <x:v>1.706468</x:v>
      </x:c>
      <x:c r="D2916" s="23" t="n">
        <x:v>-19.3011</x:v>
      </x:c>
      <x:c r="E2916" s="23" t="n">
        <x:f>'Parameters'!$B$2*'Parameters'!$B$3*LN(4*PI()*C2916^2)</x:f>
        <x:v>8.923937225964607</x:v>
      </x:c>
      <x:c r="F2916" s="23" t="n">
        <x:f>D2916+E2916</x:f>
        <x:v>-10.377162774035394</x:v>
      </x:c>
      <x:c r="G2916" s="23" t="n">
        <x:f>AVERAGE($F$2945:$F$2968)</x:f>
        <x:v>-10.295726568251665</x:v>
      </x:c>
      <x:c r="H2916" s="24" t="n">
        <x:f>F2916-G2916</x:f>
        <x:v>-0.08143620578372968</x:v>
      </x:c>
    </x:row>
    <x:row r="2917">
      <x:c r="A2917" s="2" t="str">
        <x:v>LiN3-Core</x:v>
      </x:c>
      <x:c r="B2917" s="4" t="str">
        <x:v>LiCl</x:v>
      </x:c>
      <x:c r="C2917" s="23" t="n">
        <x:v>1.718869</x:v>
      </x:c>
      <x:c r="D2917" s="23" t="n">
        <x:v>-19.31645</x:v>
      </x:c>
      <x:c r="E2917" s="23" t="n">
        <x:f>'Parameters'!$B$2*'Parameters'!$B$3*LN(4*PI()*C2917^2)</x:f>
        <x:v>8.959836386176937</x:v>
      </x:c>
      <x:c r="F2917" s="23" t="n">
        <x:f>D2917+E2917</x:f>
        <x:v>-10.356613613823063</x:v>
      </x:c>
      <x:c r="G2917" s="23" t="n">
        <x:f>AVERAGE($F$2945:$F$2968)</x:f>
        <x:v>-10.295726568251665</x:v>
      </x:c>
      <x:c r="H2917" s="24" t="n">
        <x:f>F2917-G2917</x:f>
        <x:v>-0.060887045571398346</x:v>
      </x:c>
    </x:row>
    <x:row r="2918">
      <x:c r="A2918" s="2" t="str">
        <x:v>LiN3-Core</x:v>
      </x:c>
      <x:c r="B2918" s="4" t="str">
        <x:v>LiCl</x:v>
      </x:c>
      <x:c r="C2918" s="23" t="n">
        <x:v>1.731269</x:v>
      </x:c>
      <x:c r="D2918" s="23" t="n">
        <x:v>-19.41147</x:v>
      </x:c>
      <x:c r="E2918" s="23" t="n">
        <x:f>'Parameters'!$B$2*'Parameters'!$B$3*LN(4*PI()*C2918^2)</x:f>
        <x:v>8.995474612268701</x:v>
      </x:c>
      <x:c r="F2918" s="23" t="n">
        <x:f>D2918+E2918</x:f>
        <x:v>-10.4159953877313</x:v>
      </x:c>
      <x:c r="G2918" s="23" t="n">
        <x:f>AVERAGE($F$2945:$F$2968)</x:f>
        <x:v>-10.295726568251665</x:v>
      </x:c>
      <x:c r="H2918" s="24" t="n">
        <x:f>F2918-G2918</x:f>
        <x:v>-0.12026881947963552</x:v>
      </x:c>
    </x:row>
    <x:row r="2919">
      <x:c r="A2919" s="2" t="str">
        <x:v>LiN3-Core</x:v>
      </x:c>
      <x:c r="B2919" s="4" t="str">
        <x:v>LiCl</x:v>
      </x:c>
      <x:c r="C2919" s="23" t="n">
        <x:v>1.74367</x:v>
      </x:c>
      <x:c r="D2919" s="23" t="n">
        <x:v>-19.39023</x:v>
      </x:c>
      <x:c r="E2919" s="23" t="n">
        <x:f>'Parameters'!$B$2*'Parameters'!$B$3*LN(4*PI()*C2919^2)</x:f>
        <x:v>9.030861336040253</x:v>
      </x:c>
      <x:c r="F2919" s="23" t="n">
        <x:f>D2919+E2919</x:f>
        <x:v>-10.359368663959746</x:v>
      </x:c>
      <x:c r="G2919" s="23" t="n">
        <x:f>AVERAGE($F$2945:$F$2968)</x:f>
        <x:v>-10.295726568251665</x:v>
      </x:c>
      <x:c r="H2919" s="24" t="n">
        <x:f>F2919-G2919</x:f>
        <x:v>-0.06364209570808121</x:v>
      </x:c>
    </x:row>
    <x:row r="2920">
      <x:c r="A2920" s="2" t="str">
        <x:v>LiN3-Core</x:v>
      </x:c>
      <x:c r="B2920" s="4" t="str">
        <x:v>LiCl</x:v>
      </x:c>
      <x:c r="C2920" s="23" t="n">
        <x:v>1.75607</x:v>
      </x:c>
      <x:c r="D2920" s="23" t="n">
        <x:v>-19.3808</x:v>
      </x:c>
      <x:c r="E2920" s="23" t="n">
        <x:f>'Parameters'!$B$2*'Parameters'!$B$3*LN(4*PI()*C2920^2)</x:f>
        <x:v>9.065994455412243</x:v>
      </x:c>
      <x:c r="F2920" s="23" t="n">
        <x:f>D2920+E2920</x:f>
        <x:v>-10.314805544587758</x:v>
      </x:c>
      <x:c r="G2920" s="23" t="n">
        <x:f>AVERAGE($F$2945:$F$2968)</x:f>
        <x:v>-10.295726568251665</x:v>
      </x:c>
      <x:c r="H2920" s="24" t="n">
        <x:f>F2920-G2920</x:f>
        <x:v>-0.019078976336093234</x:v>
      </x:c>
    </x:row>
    <x:row r="2921">
      <x:c r="A2921" s="2" t="str">
        <x:v>LiN3-Core</x:v>
      </x:c>
      <x:c r="B2921" s="4" t="str">
        <x:v>LiCl</x:v>
      </x:c>
      <x:c r="C2921" s="23" t="n">
        <x:v>1.76847</x:v>
      </x:c>
      <x:c r="D2921" s="23" t="n">
        <x:v>-19.50111</x:v>
      </x:c>
      <x:c r="E2921" s="23" t="n">
        <x:f>'Parameters'!$B$2*'Parameters'!$B$3*LN(4*PI()*C2921^2)</x:f>
        <x:v>9.10088036278614</x:v>
      </x:c>
      <x:c r="F2921" s="23" t="n">
        <x:f>D2921+E2921</x:f>
        <x:v>-10.40022963721386</x:v>
      </x:c>
      <x:c r="G2921" s="23" t="n">
        <x:f>AVERAGE($F$2945:$F$2968)</x:f>
        <x:v>-10.295726568251665</x:v>
      </x:c>
      <x:c r="H2921" s="24" t="n">
        <x:f>F2921-G2921</x:f>
        <x:v>-0.1045030689621953</x:v>
      </x:c>
    </x:row>
    <x:row r="2922">
      <x:c r="A2922" s="2" t="str">
        <x:v>LiN3-Core</x:v>
      </x:c>
      <x:c r="B2922" s="4" t="str">
        <x:v>LiCl</x:v>
      </x:c>
      <x:c r="C2922" s="23" t="n">
        <x:v>1.780871</x:v>
      </x:c>
      <x:c r="D2922" s="23" t="n">
        <x:v>-19.52062</x:v>
      </x:c>
      <x:c r="E2922" s="23" t="n">
        <x:f>'Parameters'!$B$2*'Parameters'!$B$3*LN(4*PI()*C2922^2)</x:f>
        <x:v>9.135525296834423</x:v>
      </x:c>
      <x:c r="F2922" s="23" t="n">
        <x:f>D2922+E2922</x:f>
        <x:v>-10.385094703165578</x:v>
      </x:c>
      <x:c r="G2922" s="23" t="n">
        <x:f>AVERAGE($F$2945:$F$2968)</x:f>
        <x:v>-10.295726568251665</x:v>
      </x:c>
      <x:c r="H2922" s="24" t="n">
        <x:f>F2922-G2922</x:f>
        <x:v>-0.08936813491391327</x:v>
      </x:c>
    </x:row>
    <x:row r="2923">
      <x:c r="A2923" s="2" t="str">
        <x:v>LiN3-Core</x:v>
      </x:c>
      <x:c r="B2923" s="4" t="str">
        <x:v>LiCl</x:v>
      </x:c>
      <x:c r="C2923" s="23" t="n">
        <x:v>1.793271</x:v>
      </x:c>
      <x:c r="D2923" s="23" t="n">
        <x:v>-19.37364</x:v>
      </x:c>
      <x:c r="E2923" s="23" t="n">
        <x:f>'Parameters'!$B$2*'Parameters'!$B$3*LN(4*PI()*C2923^2)</x:f>
        <x:v>9.169927053113934</x:v>
      </x:c>
      <x:c r="F2923" s="23" t="n">
        <x:f>D2923+E2923</x:f>
        <x:v>-10.203712946886068</x:v>
      </x:c>
      <x:c r="G2923" s="23" t="n">
        <x:f>AVERAGE($F$2945:$F$2968)</x:f>
        <x:v>-10.295726568251665</x:v>
      </x:c>
      <x:c r="H2923" s="24" t="n">
        <x:f>F2923-G2923</x:f>
        <x:v>0.09201362136559688</x:v>
      </x:c>
    </x:row>
    <x:row r="2924">
      <x:c r="A2924" s="2" t="str">
        <x:v>LiN3-Core</x:v>
      </x:c>
      <x:c r="B2924" s="4" t="str">
        <x:v>LiCl</x:v>
      </x:c>
      <x:c r="C2924" s="23" t="n">
        <x:v>1.805672</x:v>
      </x:c>
      <x:c r="D2924" s="23" t="n">
        <x:v>-19.35587</x:v>
      </x:c>
      <x:c r="E2924" s="23" t="n">
        <x:f>'Parameters'!$B$2*'Parameters'!$B$3*LN(4*PI()*C2924^2)</x:f>
        <x:v>9.204094493710354</x:v>
      </x:c>
      <x:c r="F2924" s="23" t="n">
        <x:f>D2924+E2924</x:f>
        <x:v>-10.151775506289646</x:v>
      </x:c>
      <x:c r="G2924" s="23" t="n">
        <x:f>AVERAGE($F$2945:$F$2968)</x:f>
        <x:v>-10.295726568251665</x:v>
      </x:c>
      <x:c r="H2924" s="24" t="n">
        <x:f>F2924-G2924</x:f>
        <x:v>0.143951061962019</x:v>
      </x:c>
    </x:row>
    <x:row r="2925">
      <x:c r="A2925" s="2" t="str">
        <x:v>LiN3-Core</x:v>
      </x:c>
      <x:c r="B2925" s="4" t="str">
        <x:v>LiCl</x:v>
      </x:c>
      <x:c r="C2925" s="23" t="n">
        <x:v>1.818072</x:v>
      </x:c>
      <x:c r="D2925" s="23" t="n">
        <x:v>-19.43529</x:v>
      </x:c>
      <x:c r="E2925" s="23" t="n">
        <x:f>'Parameters'!$B$2*'Parameters'!$B$3*LN(4*PI()*C2925^2)</x:f>
        <x:v>9.23802535322455</x:v>
      </x:c>
      <x:c r="F2925" s="23" t="n">
        <x:f>D2925+E2925</x:f>
        <x:v>-10.197264646775448</x:v>
      </x:c>
      <x:c r="G2925" s="23" t="n">
        <x:f>AVERAGE($F$2945:$F$2968)</x:f>
        <x:v>-10.295726568251665</x:v>
      </x:c>
      <x:c r="H2925" s="24" t="n">
        <x:f>F2925-G2925</x:f>
        <x:v>0.09846192147621657</x:v>
      </x:c>
    </x:row>
    <x:row r="2926">
      <x:c r="A2926" s="2" t="str">
        <x:v>LiN3-Core</x:v>
      </x:c>
      <x:c r="B2926" s="4" t="str">
        <x:v>LiCl</x:v>
      </x:c>
      <x:c r="C2926" s="23" t="n">
        <x:v>1.830473</x:v>
      </x:c>
      <x:c r="D2926" s="23" t="n">
        <x:v>-19.42603</x:v>
      </x:c>
      <x:c r="E2926" s="23" t="n">
        <x:f>'Parameters'!$B$2*'Parameters'!$B$3*LN(4*PI()*C2926^2)</x:f>
        <x:v>9.271728283576186</x:v>
      </x:c>
      <x:c r="F2926" s="23" t="n">
        <x:f>D2926+E2926</x:f>
        <x:v>-10.154301716423815</x:v>
      </x:c>
      <x:c r="G2926" s="23" t="n">
        <x:f>AVERAGE($F$2945:$F$2968)</x:f>
        <x:v>-10.295726568251665</x:v>
      </x:c>
      <x:c r="H2926" s="24" t="n">
        <x:f>F2926-G2926</x:f>
        <x:v>0.1414248518278498</x:v>
      </x:c>
    </x:row>
    <x:row r="2927">
      <x:c r="A2927" s="2" t="str">
        <x:v>LiN3-Core</x:v>
      </x:c>
      <x:c r="B2927" s="4" t="str">
        <x:v>LiCl</x:v>
      </x:c>
      <x:c r="C2927" s="23" t="n">
        <x:v>1.842873</x:v>
      </x:c>
      <x:c r="D2927" s="23" t="n">
        <x:v>-19.47852</x:v>
      </x:c>
      <x:c r="E2927" s="23" t="n">
        <x:f>'Parameters'!$B$2*'Parameters'!$B$3*LN(4*PI()*C2927^2)</x:f>
        <x:v>9.305200963717434</x:v>
      </x:c>
      <x:c r="F2927" s="23" t="n">
        <x:f>D2927+E2927</x:f>
        <x:v>-10.173319036282566</x:v>
      </x:c>
      <x:c r="G2927" s="23" t="n">
        <x:f>AVERAGE($F$2945:$F$2968)</x:f>
        <x:v>-10.295726568251665</x:v>
      </x:c>
      <x:c r="H2927" s="24" t="n">
        <x:f>F2927-G2927</x:f>
        <x:v>0.12240753196909893</x:v>
      </x:c>
    </x:row>
    <x:row r="2928">
      <x:c r="A2928" s="2" t="str">
        <x:v>LiN3-Core</x:v>
      </x:c>
      <x:c r="B2928" s="4" t="str">
        <x:v>LiCl</x:v>
      </x:c>
      <x:c r="C2928" s="23" t="n">
        <x:v>1.855273</x:v>
      </x:c>
      <x:c r="D2928" s="23" t="n">
        <x:v>-19.37231</x:v>
      </x:c>
      <x:c r="E2928" s="23" t="n">
        <x:f>'Parameters'!$B$2*'Parameters'!$B$3*LN(4*PI()*C2928^2)</x:f>
        <x:v>9.338449172269268</x:v>
      </x:c>
      <x:c r="F2928" s="23" t="n">
        <x:f>D2928+E2928</x:f>
        <x:v>-10.03386082773073</x:v>
      </x:c>
      <x:c r="G2928" s="23" t="n">
        <x:f>AVERAGE($F$2945:$F$2968)</x:f>
        <x:v>-10.295726568251665</x:v>
      </x:c>
      <x:c r="H2928" s="24" t="n">
        <x:f>F2928-G2928</x:f>
        <x:v>0.2618657405209337</x:v>
      </x:c>
    </x:row>
    <x:row r="2929">
      <x:c r="A2929" s="2" t="str">
        <x:v>LiN3-Core</x:v>
      </x:c>
      <x:c r="B2929" s="4" t="str">
        <x:v>LiCl</x:v>
      </x:c>
      <x:c r="C2929" s="23" t="n">
        <x:v>1.867674</x:v>
      </x:c>
      <x:c r="D2929" s="23" t="n">
        <x:v>-19.50504</x:v>
      </x:c>
      <x:c r="E2929" s="23" t="n">
        <x:f>'Parameters'!$B$2*'Parameters'!$B$3*LN(4*PI()*C2929^2)</x:f>
        <x:v>9.371478554444826</x:v>
      </x:c>
      <x:c r="F2929" s="23" t="n">
        <x:f>D2929+E2929</x:f>
        <x:v>-10.133561445555175</x:v>
      </x:c>
      <x:c r="G2929" s="23" t="n">
        <x:f>AVERAGE($F$2945:$F$2968)</x:f>
        <x:v>-10.295726568251665</x:v>
      </x:c>
      <x:c r="H2929" s="24" t="n">
        <x:f>F2929-G2929</x:f>
        <x:v>0.1621651226964893</x:v>
      </x:c>
    </x:row>
    <x:row r="2930">
      <x:c r="A2930" s="2" t="str">
        <x:v>LiN3-Core</x:v>
      </x:c>
      <x:c r="B2930" s="4" t="str">
        <x:v>LiCl</x:v>
      </x:c>
      <x:c r="C2930" s="23" t="n">
        <x:v>1.880074</x:v>
      </x:c>
      <x:c r="D2930" s="23" t="n">
        <x:v>-19.46462</x:v>
      </x:c>
      <x:c r="E2930" s="23" t="n">
        <x:f>'Parameters'!$B$2*'Parameters'!$B$3*LN(4*PI()*C2930^2)</x:f>
        <x:v>9.40428671479776</x:v>
      </x:c>
      <x:c r="F2930" s="23" t="n">
        <x:f>D2930+E2930</x:f>
        <x:v>-10.06033328520224</x:v>
      </x:c>
      <x:c r="G2930" s="23" t="n">
        <x:f>AVERAGE($F$2945:$F$2968)</x:f>
        <x:v>-10.295726568251665</x:v>
      </x:c>
      <x:c r="H2930" s="24" t="n">
        <x:f>F2930-G2930</x:f>
        <x:v>0.23539328304942408</x:v>
      </x:c>
    </x:row>
    <x:row r="2931">
      <x:c r="A2931" s="2" t="str">
        <x:v>LiN3-Core</x:v>
      </x:c>
      <x:c r="B2931" s="4" t="str">
        <x:v>LiCl</x:v>
      </x:c>
      <x:c r="C2931" s="23" t="n">
        <x:v>1.892475</x:v>
      </x:c>
      <x:c r="D2931" s="23" t="n">
        <x:v>-19.678</x:v>
      </x:c>
      <x:c r="E2931" s="23" t="n">
        <x:f>'Parameters'!$B$2*'Parameters'!$B$3*LN(4*PI()*C2931^2)</x:f>
        <x:v>9.436881818904217</x:v>
      </x:c>
      <x:c r="F2931" s="23" t="n">
        <x:f>D2931+E2931</x:f>
        <x:v>-10.241118181095784</x:v>
      </x:c>
      <x:c r="G2931" s="23" t="n">
        <x:f>AVERAGE($F$2945:$F$2968)</x:f>
        <x:v>-10.295726568251665</x:v>
      </x:c>
      <x:c r="H2931" s="24" t="n">
        <x:f>F2931-G2931</x:f>
        <x:v>0.05460838715588068</x:v>
      </x:c>
    </x:row>
    <x:row r="2932">
      <x:c r="A2932" s="2" t="str">
        <x:v>LiN3-Core</x:v>
      </x:c>
      <x:c r="B2932" s="4" t="str">
        <x:v>LiCl</x:v>
      </x:c>
      <x:c r="C2932" s="23" t="n">
        <x:v>1.904875</x:v>
      </x:c>
      <x:c r="D2932" s="23" t="n">
        <x:v>-19.64842</x:v>
      </x:c>
      <x:c r="E2932" s="23" t="n">
        <x:f>'Parameters'!$B$2*'Parameters'!$B$3*LN(4*PI()*C2932^2)</x:f>
        <x:v>9.469261427236702</x:v>
      </x:c>
      <x:c r="F2932" s="23" t="n">
        <x:f>D2932+E2932</x:f>
        <x:v>-10.1791585727633</x:v>
      </x:c>
      <x:c r="G2932" s="23" t="n">
        <x:f>AVERAGE($F$2945:$F$2968)</x:f>
        <x:v>-10.295726568251665</x:v>
      </x:c>
      <x:c r="H2932" s="24" t="n">
        <x:f>F2932-G2932</x:f>
        <x:v>0.11656799548836538</x:v>
      </x:c>
    </x:row>
    <x:row r="2933">
      <x:c r="A2933" s="2" t="str">
        <x:v>LiN3-Core</x:v>
      </x:c>
      <x:c r="B2933" s="4" t="str">
        <x:v>LiCl</x:v>
      </x:c>
      <x:c r="C2933" s="23" t="n">
        <x:v>1.917276</x:v>
      </x:c>
      <x:c r="D2933" s="23" t="n">
        <x:v>-19.60406</x:v>
      </x:c>
      <x:c r="E2933" s="23" t="n">
        <x:f>'Parameters'!$B$2*'Parameters'!$B$3*LN(4*PI()*C2933^2)</x:f>
        <x:v>9.501433525089618</x:v>
      </x:c>
      <x:c r="F2933" s="23" t="n">
        <x:f>D2933+E2933</x:f>
        <x:v>-10.102626474910382</x:v>
      </x:c>
      <x:c r="G2933" s="23" t="n">
        <x:f>AVERAGE($F$2945:$F$2968)</x:f>
        <x:v>-10.295726568251665</x:v>
      </x:c>
      <x:c r="H2933" s="24" t="n">
        <x:f>F2933-G2933</x:f>
        <x:v>0.19310009334128253</x:v>
      </x:c>
    </x:row>
    <x:row r="2934">
      <x:c r="A2934" s="2" t="str">
        <x:v>LiN3-Core</x:v>
      </x:c>
      <x:c r="B2934" s="4" t="str">
        <x:v>LiCl</x:v>
      </x:c>
      <x:c r="C2934" s="23" t="n">
        <x:v>1.929676</x:v>
      </x:c>
      <x:c r="D2934" s="23" t="n">
        <x:v>-19.58866</x:v>
      </x:c>
      <x:c r="E2934" s="23" t="n">
        <x:f>'Parameters'!$B$2*'Parameters'!$B$3*LN(4*PI()*C2934^2)</x:f>
        <x:v>9.533395632884016</x:v>
      </x:c>
      <x:c r="F2934" s="23" t="n">
        <x:f>D2934+E2934</x:f>
        <x:v>-10.055264367115985</x:v>
      </x:c>
      <x:c r="G2934" s="23" t="n">
        <x:f>AVERAGE($F$2945:$F$2968)</x:f>
        <x:v>-10.295726568251665</x:v>
      </x:c>
      <x:c r="H2934" s="24" t="n">
        <x:f>F2934-G2934</x:f>
        <x:v>0.24046220113567962</x:v>
      </x:c>
    </x:row>
    <x:row r="2935">
      <x:c r="A2935" s="2" t="str">
        <x:v>LiN3-Core</x:v>
      </x:c>
      <x:c r="B2935" s="4" t="str">
        <x:v>LiCl</x:v>
      </x:c>
      <x:c r="C2935" s="23" t="n">
        <x:v>1.942076</x:v>
      </x:c>
      <x:c r="D2935" s="23" t="n">
        <x:v>-19.7041</x:v>
      </x:c>
      <x:c r="E2935" s="23" t="n">
        <x:f>'Parameters'!$B$2*'Parameters'!$B$3*LN(4*PI()*C2935^2)</x:f>
        <x:v>9.565153010181437</x:v>
      </x:c>
      <x:c r="F2935" s="23" t="n">
        <x:f>D2935+E2935</x:f>
        <x:v>-10.138946989818564</x:v>
      </x:c>
      <x:c r="G2935" s="23" t="n">
        <x:f>AVERAGE($F$2945:$F$2968)</x:f>
        <x:v>-10.295726568251665</x:v>
      </x:c>
      <x:c r="H2935" s="24" t="n">
        <x:f>F2935-G2935</x:f>
        <x:v>0.15677957843310075</x:v>
      </x:c>
    </x:row>
    <x:row r="2936">
      <x:c r="A2936" s="2" t="str">
        <x:v>LiN3-Core</x:v>
      </x:c>
      <x:c r="B2936" s="4" t="str">
        <x:v>LiCl</x:v>
      </x:c>
      <x:c r="C2936" s="23" t="n">
        <x:v>1.954477</x:v>
      </x:c>
      <x:c r="D2936" s="23" t="n">
        <x:v>-19.6228</x:v>
      </x:c>
      <x:c r="E2936" s="23" t="n">
        <x:f>'Parameters'!$B$2*'Parameters'!$B$3*LN(4*PI()*C2936^2)</x:f>
        <x:v>9.596710799761112</x:v>
      </x:c>
      <x:c r="F2936" s="23" t="n">
        <x:f>D2936+E2936</x:f>
        <x:v>-10.02608920023889</x:v>
      </x:c>
      <x:c r="G2936" s="23" t="n">
        <x:f>AVERAGE($F$2945:$F$2968)</x:f>
        <x:v>-10.295726568251665</x:v>
      </x:c>
      <x:c r="H2936" s="24" t="n">
        <x:f>F2936-G2936</x:f>
        <x:v>0.26963736801277527</x:v>
      </x:c>
    </x:row>
    <x:row r="2937">
      <x:c r="A2937" s="2" t="str">
        <x:v>LiN3-Core</x:v>
      </x:c>
      <x:c r="B2937" s="4" t="str">
        <x:v>LiCl</x:v>
      </x:c>
      <x:c r="C2937" s="23" t="n">
        <x:v>1.966877</x:v>
      </x:c>
      <x:c r="D2937" s="23" t="n">
        <x:v>-19.88008</x:v>
      </x:c>
      <x:c r="E2937" s="23" t="n">
        <x:f>'Parameters'!$B$2*'Parameters'!$B$3*LN(4*PI()*C2937^2)</x:f>
        <x:v>9.628066468873836</x:v>
      </x:c>
      <x:c r="F2937" s="23" t="n">
        <x:f>D2937+E2937</x:f>
        <x:v>-10.252013531126163</x:v>
      </x:c>
      <x:c r="G2937" s="23" t="n">
        <x:f>AVERAGE($F$2945:$F$2968)</x:f>
        <x:v>-10.295726568251665</x:v>
      </x:c>
      <x:c r="H2937" s="24" t="n">
        <x:f>F2937-G2937</x:f>
        <x:v>0.04371303712550123</x:v>
      </x:c>
    </x:row>
    <x:row r="2938">
      <x:c r="A2938" s="2" t="str">
        <x:v>LiN3-Core</x:v>
      </x:c>
      <x:c r="B2938" s="4" t="str">
        <x:v>LiCl</x:v>
      </x:c>
      <x:c r="C2938" s="23" t="n">
        <x:v>1.979278</x:v>
      </x:c>
      <x:c r="D2938" s="23" t="n">
        <x:v>-19.77456</x:v>
      </x:c>
      <x:c r="E2938" s="23" t="n">
        <x:f>'Parameters'!$B$2*'Parameters'!$B$3*LN(4*PI()*C2938^2)</x:f>
        <x:v>9.659227583753664</x:v>
      </x:c>
      <x:c r="F2938" s="23" t="n">
        <x:f>D2938+E2938</x:f>
        <x:v>-10.115332416246337</x:v>
      </x:c>
      <x:c r="G2938" s="23" t="n">
        <x:f>AVERAGE($F$2945:$F$2968)</x:f>
        <x:v>-10.295726568251665</x:v>
      </x:c>
      <x:c r="H2938" s="24" t="n">
        <x:f>F2938-G2938</x:f>
        <x:v>0.18039415200532716</x:v>
      </x:c>
    </x:row>
    <x:row r="2939">
      <x:c r="A2939" s="2" t="str">
        <x:v>LiN3-Core</x:v>
      </x:c>
      <x:c r="B2939" s="4" t="str">
        <x:v>LiCl</x:v>
      </x:c>
      <x:c r="C2939" s="23" t="n">
        <x:v>1.991678</x:v>
      </x:c>
      <x:c r="D2939" s="23" t="n">
        <x:v>-19.90252</x:v>
      </x:c>
      <x:c r="E2939" s="23" t="n">
        <x:f>'Parameters'!$B$2*'Parameters'!$B$3*LN(4*PI()*C2939^2)</x:f>
        <x:v>9.69019158041422</x:v>
      </x:c>
      <x:c r="F2939" s="23" t="n">
        <x:f>D2939+E2939</x:f>
        <x:v>-10.212328419585779</x:v>
      </x:c>
      <x:c r="G2939" s="23" t="n">
        <x:f>AVERAGE($F$2945:$F$2968)</x:f>
        <x:v>-10.295726568251665</x:v>
      </x:c>
      <x:c r="H2939" s="24" t="n">
        <x:f>F2939-G2939</x:f>
        <x:v>0.08339814866588569</x:v>
      </x:c>
    </x:row>
    <x:row r="2940">
      <x:c r="A2940" s="2" t="str">
        <x:v>LiN3-Core</x:v>
      </x:c>
      <x:c r="B2940" s="4" t="str">
        <x:v>LiCl</x:v>
      </x:c>
      <x:c r="C2940" s="23" t="n">
        <x:v>2.004079</x:v>
      </x:c>
      <x:c r="D2940" s="23" t="n">
        <x:v>-19.82032</x:v>
      </x:c>
      <x:c r="E2940" s="23" t="n">
        <x:f>'Parameters'!$B$2*'Parameters'!$B$3*LN(4*PI()*C2940^2)</x:f>
        <x:v>9.720965869066163</x:v>
      </x:c>
      <x:c r="F2940" s="23" t="n">
        <x:f>D2940+E2940</x:f>
        <x:v>-10.099354130933836</x:v>
      </x:c>
      <x:c r="G2940" s="23" t="n">
        <x:f>AVERAGE($F$2945:$F$2968)</x:f>
        <x:v>-10.295726568251665</x:v>
      </x:c>
      <x:c r="H2940" s="24" t="n">
        <x:f>F2940-G2940</x:f>
        <x:v>0.19637243731782839</x:v>
      </x:c>
    </x:row>
    <x:row r="2941">
      <x:c r="A2941" s="2" t="str">
        <x:v>LiN3-Core</x:v>
      </x:c>
      <x:c r="B2941" s="4" t="str">
        <x:v>LiCl</x:v>
      </x:c>
      <x:c r="C2941" s="23" t="n">
        <x:v>2.016479</x:v>
      </x:c>
      <x:c r="D2941" s="23" t="n">
        <x:v>-19.72837</x:v>
      </x:c>
      <x:c r="E2941" s="23" t="n">
        <x:f>'Parameters'!$B$2*'Parameters'!$B$3*LN(4*PI()*C2941^2)</x:f>
        <x:v>9.751547857566969</x:v>
      </x:c>
      <x:c r="F2941" s="23" t="n">
        <x:f>D2941+E2941</x:f>
        <x:v>-9.976822142433033</x:v>
      </x:c>
      <x:c r="G2941" s="23" t="n">
        <x:f>AVERAGE($F$2945:$F$2968)</x:f>
        <x:v>-10.295726568251665</x:v>
      </x:c>
      <x:c r="H2941" s="24" t="n">
        <x:f>F2941-G2941</x:f>
        <x:v>0.31890442581863176</x:v>
      </x:c>
    </x:row>
    <x:row r="2942">
      <x:c r="A2942" s="2" t="str">
        <x:v>LiN3-Core</x:v>
      </x:c>
      <x:c r="B2942" s="4" t="str">
        <x:v>LiCl</x:v>
      </x:c>
      <x:c r="C2942" s="23" t="n">
        <x:v>2.028879</x:v>
      </x:c>
      <x:c r="D2942" s="23" t="n">
        <x:v>-19.91268</x:v>
      </x:c>
      <x:c r="E2942" s="23" t="n">
        <x:f>'Parameters'!$B$2*'Parameters'!$B$3*LN(4*PI()*C2942^2)</x:f>
        <x:v>9.781942362517448</x:v>
      </x:c>
      <x:c r="F2942" s="23" t="n">
        <x:f>D2942+E2942</x:f>
        <x:v>-10.130737637482554</x:v>
      </x:c>
      <x:c r="G2942" s="23" t="n">
        <x:f>AVERAGE($F$2945:$F$2968)</x:f>
        <x:v>-10.295726568251665</x:v>
      </x:c>
      <x:c r="H2942" s="24" t="n">
        <x:f>F2942-G2942</x:f>
        <x:v>0.1649889307691108</x:v>
      </x:c>
    </x:row>
    <x:row r="2943">
      <x:c r="A2943" s="2" t="str">
        <x:v>LiN3-Core</x:v>
      </x:c>
      <x:c r="B2943" s="4" t="str">
        <x:v>LiCl</x:v>
      </x:c>
      <x:c r="C2943" s="23" t="n">
        <x:v>2.04128</x:v>
      </x:c>
      <x:c r="D2943" s="23" t="n">
        <x:v>-19.8799</x:v>
      </x:c>
      <x:c r="E2943" s="23" t="n">
        <x:f>'Parameters'!$B$2*'Parameters'!$B$3*LN(4*PI()*C2943^2)</x:f>
        <x:v>9.812154097488714</x:v>
      </x:c>
      <x:c r="F2943" s="23" t="n">
        <x:f>D2943+E2943</x:f>
        <x:v>-10.067745902511286</x:v>
      </x:c>
      <x:c r="G2943" s="23" t="n">
        <x:f>AVERAGE($F$2945:$F$2968)</x:f>
        <x:v>-10.295726568251665</x:v>
      </x:c>
      <x:c r="H2943" s="24" t="n">
        <x:f>F2943-G2943</x:f>
        <x:v>0.2279806657403789</x:v>
      </x:c>
    </x:row>
    <x:row r="2944">
      <x:c r="A2944" s="2" t="str">
        <x:v>LiN3-Core</x:v>
      </x:c>
      <x:c r="B2944" s="4" t="str">
        <x:v>LiCl</x:v>
      </x:c>
      <x:c r="C2944" s="23" t="n">
        <x:v>2.05368</x:v>
      </x:c>
      <x:c r="D2944" s="23" t="n">
        <x:v>-20.09809</x:v>
      </x:c>
      <x:c r="E2944" s="23" t="n">
        <x:f>'Parameters'!$B$2*'Parameters'!$B$3*LN(4*PI()*C2944^2)</x:f>
        <x:v>9.842180433395484</x:v>
      </x:c>
      <x:c r="F2944" s="23" t="n">
        <x:f>D2944+E2944</x:f>
        <x:v>-10.255909566604515</x:v>
      </x:c>
      <x:c r="G2944" s="23" t="n">
        <x:f>AVERAGE($F$2945:$F$2968)</x:f>
        <x:v>-10.295726568251665</x:v>
      </x:c>
      <x:c r="H2944" s="24" t="n">
        <x:f>F2944-G2944</x:f>
        <x:v>0.0398170016471493</x:v>
      </x:c>
    </x:row>
    <x:row r="2945">
      <x:c r="A2945" s="2" t="str">
        <x:v>LiN3-Core</x:v>
      </x:c>
      <x:c r="B2945" s="4" t="str">
        <x:v>LiCl</x:v>
      </x:c>
      <x:c r="C2945" s="23" t="n">
        <x:v>2.066081</x:v>
      </x:c>
      <x:c r="D2945" s="23" t="n">
        <x:v>-19.90978</x:v>
      </x:c>
      <x:c r="E2945" s="23" t="n">
        <x:f>'Parameters'!$B$2*'Parameters'!$B$3*LN(4*PI()*C2945^2)</x:f>
        <x:v>9.872028416298255</x:v>
      </x:c>
      <x:c r="F2945" s="23" t="n">
        <x:f>D2945+E2945</x:f>
        <x:v>-10.037751583701747</x:v>
      </x:c>
      <x:c r="G2945" s="23" t="n">
        <x:f>AVERAGE($F$2945:$F$2968)</x:f>
        <x:v>-10.295726568251665</x:v>
      </x:c>
      <x:c r="H2945" s="24" t="n">
        <x:f>F2945-G2945</x:f>
        <x:v>0.25797498454991796</x:v>
      </x:c>
    </x:row>
    <x:row r="2946">
      <x:c r="A2946" s="2" t="str">
        <x:v>LiN3-Core</x:v>
      </x:c>
      <x:c r="B2946" s="4" t="str">
        <x:v>LiCl</x:v>
      </x:c>
      <x:c r="C2946" s="23" t="n">
        <x:v>2.078481</x:v>
      </x:c>
      <x:c r="D2946" s="23" t="n">
        <x:v>-20.01284</x:v>
      </x:c>
      <x:c r="E2946" s="23" t="n">
        <x:f>'Parameters'!$B$2*'Parameters'!$B$3*LN(4*PI()*C2946^2)</x:f>
        <x:v>9.901695395714425</x:v>
      </x:c>
      <x:c r="F2946" s="23" t="n">
        <x:f>D2946+E2946</x:f>
        <x:v>-10.111144604285576</x:v>
      </x:c>
      <x:c r="G2946" s="23" t="n">
        <x:f>AVERAGE($F$2945:$F$2968)</x:f>
        <x:v>-10.295726568251665</x:v>
      </x:c>
      <x:c r="H2946" s="24" t="n">
        <x:f>F2946-G2946</x:f>
        <x:v>0.18458196396608884</x:v>
      </x:c>
    </x:row>
    <x:row r="2947">
      <x:c r="A2947" s="2" t="str">
        <x:v>LiN3-Core</x:v>
      </x:c>
      <x:c r="B2947" s="4" t="str">
        <x:v>LiCl</x:v>
      </x:c>
      <x:c r="C2947" s="23" t="n">
        <x:v>2.090882</x:v>
      </x:c>
      <x:c r="D2947" s="23" t="n">
        <x:v>-19.97311</x:v>
      </x:c>
      <x:c r="E2947" s="23" t="n">
        <x:f>'Parameters'!$B$2*'Parameters'!$B$3*LN(4*PI()*C2947^2)</x:f>
        <x:v>9.93118828158385</x:v>
      </x:c>
      <x:c r="F2947" s="23" t="n">
        <x:f>D2947+E2947</x:f>
        <x:v>-10.041921718416148</x:v>
      </x:c>
      <x:c r="G2947" s="23" t="n">
        <x:f>AVERAGE($F$2945:$F$2968)</x:f>
        <x:v>-10.295726568251665</x:v>
      </x:c>
      <x:c r="H2947" s="24" t="n">
        <x:f>F2947-G2947</x:f>
        <x:v>0.2538048498355163</x:v>
      </x:c>
    </x:row>
    <x:row r="2948">
      <x:c r="A2948" s="2" t="str">
        <x:v>LiN3-Core</x:v>
      </x:c>
      <x:c r="B2948" s="4" t="str">
        <x:v>LiCl</x:v>
      </x:c>
      <x:c r="C2948" s="23" t="n">
        <x:v>2.103282</x:v>
      </x:c>
      <x:c r="D2948" s="23" t="n">
        <x:v>-20.13285</x:v>
      </x:c>
      <x:c r="E2948" s="23" t="n">
        <x:f>'Parameters'!$B$2*'Parameters'!$B$3*LN(4*PI()*C2948^2)</x:f>
        <x:v>9.960504404395612</x:v>
      </x:c>
      <x:c r="F2948" s="23" t="n">
        <x:f>D2948+E2948</x:f>
        <x:v>-10.172345595604389</x:v>
      </x:c>
      <x:c r="G2948" s="23" t="n">
        <x:f>AVERAGE($F$2945:$F$2968)</x:f>
        <x:v>-10.295726568251665</x:v>
      </x:c>
      <x:c r="H2948" s="24" t="n">
        <x:f>F2948-G2948</x:f>
        <x:v>0.12338097264727566</x:v>
      </x:c>
    </x:row>
    <x:row r="2949">
      <x:c r="A2949" s="2" t="str">
        <x:v>LiN3-Core</x:v>
      </x:c>
      <x:c r="B2949" s="4" t="str">
        <x:v>LiCl</x:v>
      </x:c>
      <x:c r="C2949" s="23" t="n">
        <x:v>2.115682</x:v>
      </x:c>
      <x:c r="D2949" s="23" t="n">
        <x:v>-20.07907</x:v>
      </x:c>
      <x:c r="E2949" s="23" t="n">
        <x:f>'Parameters'!$B$2*'Parameters'!$B$3*LN(4*PI()*C2949^2)</x:f>
        <x:v>9.989648199582609</x:v>
      </x:c>
      <x:c r="F2949" s="23" t="n">
        <x:f>D2949+E2949</x:f>
        <x:v>-10.089421800417393</x:v>
      </x:c>
      <x:c r="G2949" s="23" t="n">
        <x:f>AVERAGE($F$2945:$F$2968)</x:f>
        <x:v>-10.295726568251665</x:v>
      </x:c>
      <x:c r="H2949" s="24" t="n">
        <x:f>F2949-G2949</x:f>
        <x:v>0.20630476783427198</x:v>
      </x:c>
    </x:row>
    <x:row r="2950">
      <x:c r="A2950" s="2" t="str">
        <x:v>LiN3-Core</x:v>
      </x:c>
      <x:c r="B2950" s="4" t="str">
        <x:v>LiCl</x:v>
      </x:c>
      <x:c r="C2950" s="23" t="n">
        <x:v>2.128083</x:v>
      </x:c>
      <x:c r="D2950" s="23" t="n">
        <x:v>-20.11138</x:v>
      </x:c>
      <x:c r="E2950" s="23" t="n">
        <x:f>'Parameters'!$B$2*'Parameters'!$B$3*LN(4*PI()*C2950^2)</x:f>
        <x:v>10.0186240110387</x:v>
      </x:c>
      <x:c r="F2950" s="23" t="n">
        <x:f>D2950+E2950</x:f>
        <x:v>-10.0927559889613</x:v>
      </x:c>
      <x:c r="G2950" s="23" t="n">
        <x:f>AVERAGE($F$2945:$F$2968)</x:f>
        <x:v>-10.295726568251665</x:v>
      </x:c>
      <x:c r="H2950" s="24" t="n">
        <x:f>F2950-G2950</x:f>
        <x:v>0.20297057929036377</x:v>
      </x:c>
    </x:row>
    <x:row r="2951">
      <x:c r="A2951" s="2" t="str">
        <x:v>LiN3-Core</x:v>
      </x:c>
      <x:c r="B2951" s="4" t="str">
        <x:v>LiCl</x:v>
      </x:c>
      <x:c r="C2951" s="23" t="n">
        <x:v>2.140483</x:v>
      </x:c>
      <x:c r="D2951" s="23" t="n">
        <x:v>-20.13496</x:v>
      </x:c>
      <x:c r="E2951" s="23" t="n">
        <x:f>'Parameters'!$B$2*'Parameters'!$B$3*LN(4*PI()*C2951^2)</x:f>
        <x:v>10.047429144785434</x:v>
      </x:c>
      <x:c r="F2951" s="23" t="n">
        <x:f>D2951+E2951</x:f>
        <x:v>-10.087530855214565</x:v>
      </x:c>
      <x:c r="G2951" s="23" t="n">
        <x:f>AVERAGE($F$2945:$F$2968)</x:f>
        <x:v>-10.295726568251665</x:v>
      </x:c>
      <x:c r="H2951" s="24" t="n">
        <x:f>F2951-G2951</x:f>
        <x:v>0.2081957130370995</x:v>
      </x:c>
    </x:row>
    <x:row r="2952">
      <x:c r="A2952" s="2" t="str">
        <x:v>LiN3-Core</x:v>
      </x:c>
      <x:c r="B2952" s="4" t="str">
        <x:v>LiCl</x:v>
      </x:c>
      <x:c r="C2952" s="23" t="n">
        <x:v>2.152884</x:v>
      </x:c>
      <x:c r="D2952" s="23" t="n">
        <x:v>-20.30682</x:v>
      </x:c>
      <x:c r="E2952" s="23" t="n">
        <x:f>'Parameters'!$B$2*'Parameters'!$B$3*LN(4*PI()*C2952^2)</x:f>
        <x:v>10.076070191885119</x:v>
      </x:c>
      <x:c r="F2952" s="23" t="n">
        <x:f>D2952+E2952</x:f>
        <x:v>-10.23074980811488</x:v>
      </x:c>
      <x:c r="G2952" s="23" t="n">
        <x:f>AVERAGE($F$2945:$F$2968)</x:f>
        <x:v>-10.295726568251665</x:v>
      </x:c>
      <x:c r="H2952" s="24" t="n">
        <x:f>F2952-G2952</x:f>
        <x:v>0.06497676013678522</x:v>
      </x:c>
    </x:row>
    <x:row r="2953">
      <x:c r="A2953" s="2" t="str">
        <x:v>LiN3-Core</x:v>
      </x:c>
      <x:c r="B2953" s="4" t="str">
        <x:v>LiCl</x:v>
      </x:c>
      <x:c r="C2953" s="23" t="n">
        <x:v>2.165284</x:v>
      </x:c>
      <x:c r="D2953" s="23" t="n">
        <x:v>-20.33022</x:v>
      </x:c>
      <x:c r="E2953" s="23" t="n">
        <x:f>'Parameters'!$B$2*'Parameters'!$B$3*LN(4*PI()*C2953^2)</x:f>
        <x:v>10.104544444539604</x:v>
      </x:c>
      <x:c r="F2953" s="23" t="n">
        <x:f>D2953+E2953</x:f>
        <x:v>-10.225675555460397</x:v>
      </x:c>
      <x:c r="G2953" s="23" t="n">
        <x:f>AVERAGE($F$2945:$F$2968)</x:f>
        <x:v>-10.295726568251665</x:v>
      </x:c>
      <x:c r="H2953" s="24" t="n">
        <x:f>F2953-G2953</x:f>
        <x:v>0.07005101279126791</x:v>
      </x:c>
    </x:row>
    <x:row r="2954">
      <x:c r="A2954" s="2" t="str">
        <x:v>LiN3-Core</x:v>
      </x:c>
      <x:c r="B2954" s="4" t="str">
        <x:v>LiCl</x:v>
      </x:c>
      <x:c r="C2954" s="23" t="n">
        <x:v>2.177685</x:v>
      </x:c>
      <x:c r="D2954" s="23" t="n">
        <x:v>-20.49834</x:v>
      </x:c>
      <x:c r="E2954" s="23" t="n">
        <x:f>'Parameters'!$B$2*'Parameters'!$B$3*LN(4*PI()*C2954^2)</x:f>
        <x:v>10.132858374180008</x:v>
      </x:c>
      <x:c r="F2954" s="23" t="n">
        <x:f>D2954+E2954</x:f>
        <x:v>-10.36548162581999</x:v>
      </x:c>
      <x:c r="G2954" s="23" t="n">
        <x:f>AVERAGE($F$2945:$F$2968)</x:f>
        <x:v>-10.295726568251665</x:v>
      </x:c>
      <x:c r="H2954" s="24" t="n">
        <x:f>F2954-G2954</x:f>
        <x:v>-0.0697550575683259</x:v>
      </x:c>
    </x:row>
    <x:row r="2955">
      <x:c r="A2955" s="2" t="str">
        <x:v>LiN3-Core</x:v>
      </x:c>
      <x:c r="B2955" s="4" t="str">
        <x:v>LiCl</x:v>
      </x:c>
      <x:c r="C2955" s="23" t="n">
        <x:v>2.190085</x:v>
      </x:c>
      <x:c r="D2955" s="23" t="n">
        <x:v>-20.46735</x:v>
      </x:c>
      <x:c r="E2955" s="23" t="n">
        <x:f>'Parameters'!$B$2*'Parameters'!$B$3*LN(4*PI()*C2955^2)</x:f>
        <x:v>10.161009261017883</x:v>
      </x:c>
      <x:c r="F2955" s="23" t="n">
        <x:f>D2955+E2955</x:f>
        <x:v>-10.306340738982117</x:v>
      </x:c>
      <x:c r="G2955" s="23" t="n">
        <x:f>AVERAGE($F$2945:$F$2968)</x:f>
        <x:v>-10.295726568251665</x:v>
      </x:c>
      <x:c r="H2955" s="24" t="n">
        <x:f>F2955-G2955</x:f>
        <x:v>-0.010614170730452344</x:v>
      </x:c>
    </x:row>
    <x:row r="2956">
      <x:c r="A2956" s="2" t="str">
        <x:v>LiN3-Core</x:v>
      </x:c>
      <x:c r="B2956" s="4" t="str">
        <x:v>LiCl</x:v>
      </x:c>
      <x:c r="C2956" s="23" t="n">
        <x:v>2.202486</x:v>
      </x:c>
      <x:c r="D2956" s="23" t="n">
        <x:v>-20.59302</x:v>
      </x:c>
      <x:c r="E2956" s="23" t="n">
        <x:f>'Parameters'!$B$2*'Parameters'!$B$3*LN(4*PI()*C2956^2)</x:f>
        <x:v>10.189003461041356</x:v>
      </x:c>
      <x:c r="F2956" s="23" t="n">
        <x:f>D2956+E2956</x:f>
        <x:v>-10.404016538958643</x:v>
      </x:c>
      <x:c r="G2956" s="23" t="n">
        <x:f>AVERAGE($F$2945:$F$2968)</x:f>
        <x:v>-10.295726568251665</x:v>
      </x:c>
      <x:c r="H2956" s="24" t="n">
        <x:f>F2956-G2956</x:f>
        <x:v>-0.10828997070697888</x:v>
      </x:c>
    </x:row>
    <x:row r="2957">
      <x:c r="A2957" s="2" t="str">
        <x:v>LiN3-Core</x:v>
      </x:c>
      <x:c r="B2957" s="4" t="str">
        <x:v>LiCl</x:v>
      </x:c>
      <x:c r="C2957" s="23" t="n">
        <x:v>2.214886</x:v>
      </x:c>
      <x:c r="D2957" s="23" t="n">
        <x:v>-20.60506</x:v>
      </x:c>
      <x:c r="E2957" s="23" t="n">
        <x:f>'Parameters'!$B$2*'Parameters'!$B$3*LN(4*PI()*C2957^2)</x:f>
        <x:v>10.216838244171893</x:v>
      </x:c>
      <x:c r="F2957" s="23" t="n">
        <x:f>D2957+E2957</x:f>
        <x:v>-10.38822175582811</x:v>
      </x:c>
      <x:c r="G2957" s="23" t="n">
        <x:f>AVERAGE($F$2945:$F$2968)</x:f>
        <x:v>-10.295726568251665</x:v>
      </x:c>
      <x:c r="H2957" s="24" t="n">
        <x:f>F2957-G2957</x:f>
        <x:v>-0.09249518757644459</x:v>
      </x:c>
    </x:row>
    <x:row r="2958">
      <x:c r="A2958" s="2" t="str">
        <x:v>LiN3-Core</x:v>
      </x:c>
      <x:c r="B2958" s="4" t="str">
        <x:v>LiCl</x:v>
      </x:c>
      <x:c r="C2958" s="23" t="n">
        <x:v>2.227286</x:v>
      </x:c>
      <x:c r="D2958" s="23" t="n">
        <x:v>-20.60148</x:v>
      </x:c>
      <x:c r="E2958" s="23" t="n">
        <x:f>'Parameters'!$B$2*'Parameters'!$B$3*LN(4*PI()*C2958^2)</x:f>
        <x:v>10.24451762894828</x:v>
      </x:c>
      <x:c r="F2958" s="23" t="n">
        <x:f>D2958+E2958</x:f>
        <x:v>-10.356962371051718</x:v>
      </x:c>
      <x:c r="G2958" s="23" t="n">
        <x:f>AVERAGE($F$2945:$F$2968)</x:f>
        <x:v>-10.295726568251665</x:v>
      </x:c>
      <x:c r="H2958" s="24" t="n">
        <x:f>F2958-G2958</x:f>
        <x:v>-0.06123580280005392</x:v>
      </x:c>
    </x:row>
    <x:row r="2959">
      <x:c r="A2959" s="2" t="str">
        <x:v>LiN3-Core</x:v>
      </x:c>
      <x:c r="B2959" s="4" t="str">
        <x:v>LiCl</x:v>
      </x:c>
      <x:c r="C2959" s="23" t="n">
        <x:v>2.239687</x:v>
      </x:c>
      <x:c r="D2959" s="23" t="n">
        <x:v>-20.66585</x:v>
      </x:c>
      <x:c r="E2959" s="23" t="n">
        <x:f>'Parameters'!$B$2*'Parameters'!$B$3*LN(4*PI()*C2959^2)</x:f>
        <x:v>10.272045554547788</x:v>
      </x:c>
      <x:c r="F2959" s="23" t="n">
        <x:f>D2959+E2959</x:f>
        <x:v>-10.393804445452211</x:v>
      </x:c>
      <x:c r="G2959" s="23" t="n">
        <x:f>AVERAGE($F$2945:$F$2968)</x:f>
        <x:v>-10.295726568251665</x:v>
      </x:c>
      <x:c r="H2959" s="24" t="n">
        <x:f>F2959-G2959</x:f>
        <x:v>-0.09807787720054684</x:v>
      </x:c>
    </x:row>
    <x:row r="2960">
      <x:c r="A2960" s="2" t="str">
        <x:v>LiN3-Core</x:v>
      </x:c>
      <x:c r="B2960" s="4" t="str">
        <x:v>LiCl</x:v>
      </x:c>
      <x:c r="C2960" s="23" t="n">
        <x:v>2.252087</x:v>
      </x:c>
      <x:c r="D2960" s="23" t="n">
        <x:v>-20.63192</x:v>
      </x:c>
      <x:c r="E2960" s="23" t="n">
        <x:f>'Parameters'!$B$2*'Parameters'!$B$3*LN(4*PI()*C2960^2)</x:f>
        <x:v>10.299419278385287</x:v>
      </x:c>
      <x:c r="F2960" s="23" t="n">
        <x:f>D2960+E2960</x:f>
        <x:v>-10.332500721614714</x:v>
      </x:c>
      <x:c r="G2960" s="23" t="n">
        <x:f>AVERAGE($F$2945:$F$2968)</x:f>
        <x:v>-10.295726568251665</x:v>
      </x:c>
      <x:c r="H2960" s="24" t="n">
        <x:f>F2960-G2960</x:f>
        <x:v>-0.03677415336304968</x:v>
      </x:c>
    </x:row>
    <x:row r="2961">
      <x:c r="A2961" s="2" t="str">
        <x:v>LiN3-Core</x:v>
      </x:c>
      <x:c r="B2961" s="4" t="str">
        <x:v>LiCl</x:v>
      </x:c>
      <x:c r="C2961" s="23" t="n">
        <x:v>2.264488</x:v>
      </x:c>
      <x:c r="D2961" s="23" t="n">
        <x:v>-20.70087</x:v>
      </x:c>
      <x:c r="E2961" s="23" t="n">
        <x:f>'Parameters'!$B$2*'Parameters'!$B$3*LN(4*PI()*C2961^2)</x:f>
        <x:v>10.326644884845592</x:v>
      </x:c>
      <x:c r="F2961" s="23" t="n">
        <x:f>D2961+E2961</x:f>
        <x:v>-10.374225115154406</x:v>
      </x:c>
      <x:c r="G2961" s="23" t="n">
        <x:f>AVERAGE($F$2945:$F$2968)</x:f>
        <x:v>-10.295726568251665</x:v>
      </x:c>
      <x:c r="H2961" s="24" t="n">
        <x:f>F2961-G2961</x:f>
        <x:v>-0.0784985469027415</x:v>
      </x:c>
    </x:row>
    <x:row r="2962">
      <x:c r="A2962" s="2" t="str">
        <x:v>LiN3-Core</x:v>
      </x:c>
      <x:c r="B2962" s="4" t="str">
        <x:v>LiCl</x:v>
      </x:c>
      <x:c r="C2962" s="23" t="n">
        <x:v>2.276888</x:v>
      </x:c>
      <x:c r="D2962" s="23" t="n">
        <x:v>-20.76413</x:v>
      </x:c>
      <x:c r="E2962" s="23" t="n">
        <x:f>'Parameters'!$B$2*'Parameters'!$B$3*LN(4*PI()*C2962^2)</x:f>
        <x:v>10.353719624798991</x:v>
      </x:c>
      <x:c r="F2962" s="23" t="n">
        <x:f>D2962+E2962</x:f>
        <x:v>-10.41041037520101</x:v>
      </x:c>
      <x:c r="G2962" s="23" t="n">
        <x:f>AVERAGE($F$2945:$F$2968)</x:f>
        <x:v>-10.295726568251665</x:v>
      </x:c>
      <x:c r="H2962" s="24" t="n">
        <x:f>F2962-G2962</x:f>
        <x:v>-0.11468380694934588</x:v>
      </x:c>
    </x:row>
    <x:row r="2963">
      <x:c r="A2963" s="2" t="str">
        <x:v>LiN3-Core</x:v>
      </x:c>
      <x:c r="B2963" s="4" t="str">
        <x:v>LiCl</x:v>
      </x:c>
      <x:c r="C2963" s="23" t="n">
        <x:v>2.289289</x:v>
      </x:c>
      <x:c r="D2963" s="23" t="n">
        <x:v>-20.84035</x:v>
      </x:c>
      <x:c r="E2963" s="23" t="n">
        <x:f>'Parameters'!$B$2*'Parameters'!$B$3*LN(4*PI()*C2963^2)</x:f>
        <x:v>10.380649480304276</x:v>
      </x:c>
      <x:c r="F2963" s="23" t="n">
        <x:f>D2963+E2963</x:f>
        <x:v>-10.459700519695724</x:v>
      </x:c>
      <x:c r="G2963" s="23" t="n">
        <x:f>AVERAGE($F$2945:$F$2968)</x:f>
        <x:v>-10.295726568251665</x:v>
      </x:c>
      <x:c r="H2963" s="24" t="n">
        <x:f>F2963-G2963</x:f>
        <x:v>-0.1639739514440599</x:v>
      </x:c>
    </x:row>
    <x:row r="2964">
      <x:c r="A2964" s="2" t="str">
        <x:v>LiN3-Core</x:v>
      </x:c>
      <x:c r="B2964" s="4" t="str">
        <x:v>LiCl</x:v>
      </x:c>
      <x:c r="C2964" s="23" t="n">
        <x:v>2.301689</x:v>
      </x:c>
      <x:c r="D2964" s="23" t="n">
        <x:v>-20.64293</x:v>
      </x:c>
      <x:c r="E2964" s="23" t="n">
        <x:f>'Parameters'!$B$2*'Parameters'!$B$3*LN(4*PI()*C2964^2)</x:f>
        <x:v>10.40743169700484</x:v>
      </x:c>
      <x:c r="F2964" s="23" t="n">
        <x:f>D2964+E2964</x:f>
        <x:v>-10.23549830299516</x:v>
      </x:c>
      <x:c r="G2964" s="23" t="n">
        <x:f>AVERAGE($F$2945:$F$2968)</x:f>
        <x:v>-10.295726568251665</x:v>
      </x:c>
      <x:c r="H2964" s="24" t="n">
        <x:f>F2964-G2964</x:f>
        <x:v>0.060228265256505154</x:v>
      </x:c>
    </x:row>
    <x:row r="2965">
      <x:c r="A2965" s="2" t="str">
        <x:v>LiN3-Core</x:v>
      </x:c>
      <x:c r="B2965" s="4" t="str">
        <x:v>LiCl</x:v>
      </x:c>
      <x:c r="C2965" s="23" t="n">
        <x:v>2.314089</x:v>
      </x:c>
      <x:c r="D2965" s="23" t="n">
        <x:v>-20.87968</x:v>
      </x:c>
      <x:c r="E2965" s="23" t="n">
        <x:f>'Parameters'!$B$2*'Parameters'!$B$3*LN(4*PI()*C2965^2)</x:f>
        <x:v>10.434070015498321</x:v>
      </x:c>
      <x:c r="F2965" s="23" t="n">
        <x:f>D2965+E2965</x:f>
        <x:v>-10.44560998450168</x:v>
      </x:c>
      <x:c r="G2965" s="23" t="n">
        <x:f>AVERAGE($F$2945:$F$2968)</x:f>
        <x:v>-10.295726568251665</x:v>
      </x:c>
      <x:c r="H2965" s="24" t="n">
        <x:f>F2965-G2965</x:f>
        <x:v>-0.1498834162500149</x:v>
      </x:c>
    </x:row>
    <x:row r="2966">
      <x:c r="A2966" s="2" t="str">
        <x:v>LiN3-Core</x:v>
      </x:c>
      <x:c r="B2966" s="4" t="str">
        <x:v>LiCl</x:v>
      </x:c>
      <x:c r="C2966" s="23" t="n">
        <x:v>2.32649</x:v>
      </x:c>
      <x:c r="D2966" s="23" t="n">
        <x:v>-20.92043</x:v>
      </x:c>
      <x:c r="E2966" s="23" t="n">
        <x:f>'Parameters'!$B$2*'Parameters'!$B$3*LN(4*PI()*C2966^2)</x:f>
        <x:v>10.460568104897279</x:v>
      </x:c>
      <x:c r="F2966" s="23" t="n">
        <x:f>D2966+E2966</x:f>
        <x:v>-10.459861895102721</x:v>
      </x:c>
      <x:c r="G2966" s="23" t="n">
        <x:f>AVERAGE($F$2945:$F$2968)</x:f>
        <x:v>-10.295726568251665</x:v>
      </x:c>
      <x:c r="H2966" s="24" t="n">
        <x:f>F2966-G2966</x:f>
        <x:v>-0.16413532685105636</x:v>
      </x:c>
    </x:row>
    <x:row r="2967">
      <x:c r="A2967" s="2" t="str">
        <x:v>LiN3-Core</x:v>
      </x:c>
      <x:c r="B2967" s="4" t="str">
        <x:v>LiCl</x:v>
      </x:c>
      <x:c r="C2967" s="23" t="n">
        <x:v>2.33889</x:v>
      </x:c>
      <x:c r="D2967" s="23" t="n">
        <x:v>-21.01713</x:v>
      </x:c>
      <x:c r="E2967" s="23" t="n">
        <x:f>'Parameters'!$B$2*'Parameters'!$B$3*LN(4*PI()*C2967^2)</x:f>
        <x:v>10.486923205275588</x:v>
      </x:c>
      <x:c r="F2967" s="23" t="n">
        <x:f>D2967+E2967</x:f>
        <x:v>-10.530206794724414</x:v>
      </x:c>
      <x:c r="G2967" s="23" t="n">
        <x:f>AVERAGE($F$2945:$F$2968)</x:f>
        <x:v>-10.295726568251665</x:v>
      </x:c>
      <x:c r="H2967" s="24" t="n">
        <x:f>F2967-G2967</x:f>
        <x:v>-0.23448022647274946</x:v>
      </x:c>
    </x:row>
    <x:row r="2968">
      <x:c r="A2968" s="2" t="str">
        <x:v>LiN3-Core</x:v>
      </x:c>
      <x:c r="B2968" s="4" t="str">
        <x:v>LiCl</x:v>
      </x:c>
      <x:c r="C2968" s="23" t="n">
        <x:v>2.351291</x:v>
      </x:c>
      <x:c r="D2968" s="23" t="n">
        <x:v>-21.05844</x:v>
      </x:c>
      <x:c r="E2968" s="23" t="n">
        <x:f>'Parameters'!$B$2*'Parameters'!$B$3*LN(4*PI()*C2968^2)</x:f>
        <x:v>10.513141057219134</x:v>
      </x:c>
      <x:c r="F2968" s="23" t="n">
        <x:f>D2968+E2968</x:f>
        <x:v>-10.545298942780867</x:v>
      </x:c>
      <x:c r="G2968" s="23" t="n">
        <x:f>AVERAGE($F$2945:$F$2968)</x:f>
        <x:v>-10.295726568251665</x:v>
      </x:c>
      <x:c r="H2968" s="24" t="n">
        <x:f>F2968-G2968</x:f>
        <x:v>-0.2495723745292029</x:v>
      </x:c>
    </x:row>
    <x:row r="2969">
      <x:c r="A2969" s="2" t="str">
        <x:v>LiN3-Core</x:v>
      </x:c>
      <x:c r="B2969" s="4" t="str">
        <x:v>LiCl</x:v>
      </x:c>
      <x:c r="C2969" s="23" t="n">
        <x:v>2.363691</x:v>
      </x:c>
      <x:c r="D2969" s="23" t="n">
        <x:v>-20.95728</x:v>
      </x:c>
      <x:c r="E2969" s="23" t="n">
        <x:f>'Parameters'!$B$2*'Parameters'!$B$3*LN(4*PI()*C2969^2)</x:f>
        <x:v>10.539218898479847</x:v>
      </x:c>
      <x:c r="F2969" s="23" t="n">
        <x:f>D2969+E2969</x:f>
        <x:v>-10.418061101520154</x:v>
      </x:c>
      <x:c r="G2969" s="23" t="n">
        <x:f>AVERAGE($F$2945:$F$2968)</x:f>
        <x:v>-10.295726568251665</x:v>
      </x:c>
      <x:c r="H2969" s="24" t="n">
        <x:f>F2969-G2969</x:f>
        <x:v>-0.12233453326848931</x:v>
      </x:c>
    </x:row>
    <x:row r="2970">
      <x:c r="A2970" s="2" t="str">
        <x:v>LiN3-Core</x:v>
      </x:c>
      <x:c r="B2970" s="4" t="str">
        <x:v>LiCl</x:v>
      </x:c>
      <x:c r="C2970" s="23" t="n">
        <x:v>2.376092</x:v>
      </x:c>
      <x:c r="D2970" s="23" t="n">
        <x:v>-21.06319</x:v>
      </x:c>
      <x:c r="E2970" s="23" t="n">
        <x:f>'Parameters'!$B$2*'Parameters'!$B$3*LN(4*PI()*C2970^2)</x:f>
        <x:v>10.565162378398712</x:v>
      </x:c>
      <x:c r="F2970" s="23" t="n">
        <x:f>D2970+E2970</x:f>
        <x:v>-10.498027621601286</x:v>
      </x:c>
      <x:c r="G2970" s="23" t="n">
        <x:f>AVERAGE($F$2945:$F$2968)</x:f>
        <x:v>-10.295726568251665</x:v>
      </x:c>
      <x:c r="H2970" s="24" t="n">
        <x:f>F2970-G2970</x:f>
        <x:v>-0.2023010533496219</x:v>
      </x:c>
    </x:row>
    <x:row r="2971">
      <x:c r="A2971" s="2" t="str">
        <x:v>LiN3-Core</x:v>
      </x:c>
      <x:c r="B2971" s="4" t="str">
        <x:v>LiCl</x:v>
      </x:c>
      <x:c r="C2971" s="23" t="n">
        <x:v>2.388492</x:v>
      </x:c>
      <x:c r="D2971" s="23" t="n">
        <x:v>-21.0173</x:v>
      </x:c>
      <x:c r="E2971" s="23" t="n">
        <x:f>'Parameters'!$B$2*'Parameters'!$B$3*LN(4*PI()*C2971^2)</x:f>
        <x:v>10.590968733428143</x:v>
      </x:c>
      <x:c r="F2971" s="23" t="n">
        <x:f>D2971+E2971</x:f>
        <x:v>-10.426331266571855</x:v>
      </x:c>
      <x:c r="G2971" s="23" t="n">
        <x:f>AVERAGE($F$2945:$F$2968)</x:f>
        <x:v>-10.295726568251665</x:v>
      </x:c>
      <x:c r="H2971" s="24" t="n">
        <x:f>F2971-G2971</x:f>
        <x:v>-0.13060469832019095</x:v>
      </x:c>
    </x:row>
    <x:row r="2972">
      <x:c r="A2972" s="2" t="str">
        <x:v>LiN3-Core</x:v>
      </x:c>
      <x:c r="B2972" s="4" t="str">
        <x:v>LiCl</x:v>
      </x:c>
      <x:c r="C2972" s="23" t="n">
        <x:v>2.400892</x:v>
      </x:c>
      <x:c r="D2972" s="23" t="n">
        <x:v>-21.05257</x:v>
      </x:c>
      <x:c r="E2972" s="23" t="n">
        <x:f>'Parameters'!$B$2*'Parameters'!$B$3*LN(4*PI()*C2972^2)</x:f>
        <x:v>10.616641459483114</x:v>
      </x:c>
      <x:c r="F2972" s="23" t="n">
        <x:f>D2972+E2972</x:f>
        <x:v>-10.435928540516885</x:v>
      </x:c>
      <x:c r="G2972" s="23" t="n">
        <x:f>AVERAGE($F$2945:$F$2968)</x:f>
        <x:v>-10.295726568251665</x:v>
      </x:c>
      <x:c r="H2972" s="24" t="n">
        <x:f>F2972-G2972</x:f>
        <x:v>-0.14020197226522058</x:v>
      </x:c>
    </x:row>
    <x:row r="2973">
      <x:c r="A2973" s="2" t="str">
        <x:v>LiN3-Core</x:v>
      </x:c>
      <x:c r="B2973" s="4" t="str">
        <x:v>LiCl</x:v>
      </x:c>
      <x:c r="C2973" s="23" t="n">
        <x:v>2.413293</x:v>
      </x:c>
      <x:c r="D2973" s="23" t="n">
        <x:v>-21.21576</x:v>
      </x:c>
      <x:c r="E2973" s="23" t="n">
        <x:f>'Parameters'!$B$2*'Parameters'!$B$3*LN(4*PI()*C2973^2)</x:f>
        <x:v>10.64218398775624</x:v>
      </x:c>
      <x:c r="F2973" s="23" t="n">
        <x:f>D2973+E2973</x:f>
        <x:v>-10.573576012243759</x:v>
      </x:c>
      <x:c r="G2973" s="23" t="n">
        <x:f>AVERAGE($F$2945:$F$2968)</x:f>
        <x:v>-10.295726568251665</x:v>
      </x:c>
      <x:c r="H2973" s="24" t="n">
        <x:f>F2973-G2973</x:f>
        <x:v>-0.27784944399209444</x:v>
      </x:c>
    </x:row>
    <x:row r="2974">
      <x:c r="A2974" s="2" t="str">
        <x:v>LiN3-Core</x:v>
      </x:c>
      <x:c r="B2974" s="4" t="str">
        <x:v>LiCl</x:v>
      </x:c>
      <x:c r="C2974" s="23" t="n">
        <x:v>2.425693</x:v>
      </x:c>
      <x:c r="D2974" s="23" t="n">
        <x:v>-21.19158</x:v>
      </x:c>
      <x:c r="E2974" s="23" t="n">
        <x:f>'Parameters'!$B$2*'Parameters'!$B$3*LN(4*PI()*C2974^2)</x:f>
        <x:v>10.667593554512695</x:v>
      </x:c>
      <x:c r="F2974" s="23" t="n">
        <x:f>D2974+E2974</x:f>
        <x:v>-10.523986445487303</x:v>
      </x:c>
      <x:c r="G2974" s="23" t="n">
        <x:f>AVERAGE($F$2945:$F$2968)</x:f>
        <x:v>-10.295726568251665</x:v>
      </x:c>
      <x:c r="H2974" s="24" t="n">
        <x:f>F2974-G2974</x:f>
        <x:v>-0.22825987723563834</x:v>
      </x:c>
    </x:row>
    <x:row r="2975">
      <x:c r="A2975" s="2" t="str">
        <x:v>LiN3-Core</x:v>
      </x:c>
      <x:c r="B2975" s="4" t="str">
        <x:v>LiCl</x:v>
      </x:c>
      <x:c r="C2975" s="23" t="n">
        <x:v>2.438094</x:v>
      </x:c>
      <x:c r="D2975" s="23" t="n">
        <x:v>-21.29498</x:v>
      </x:c>
      <x:c r="E2975" s="23" t="n">
        <x:f>'Parameters'!$B$2*'Parameters'!$B$3*LN(4*PI()*C2975^2)</x:f>
        <x:v>10.692875593170111</x:v>
      </x:c>
      <x:c r="F2975" s="23" t="n">
        <x:f>D2975+E2975</x:f>
        <x:v>-10.602104406829888</x:v>
      </x:c>
      <x:c r="G2975" s="23" t="n">
        <x:f>AVERAGE($F$2945:$F$2968)</x:f>
        <x:v>-10.295726568251665</x:v>
      </x:c>
      <x:c r="H2975" s="24" t="n">
        <x:f>F2975-G2975</x:f>
        <x:v>-0.3063778385782232</x:v>
      </x:c>
    </x:row>
    <x:row r="2976">
      <x:c r="A2976" s="2" t="str">
        <x:v>LiN3-Core</x:v>
      </x:c>
      <x:c r="B2976" s="4" t="str">
        <x:v>LiCl</x:v>
      </x:c>
      <x:c r="C2976" s="23" t="n">
        <x:v>2.450494</x:v>
      </x:c>
      <x:c r="D2976" s="23" t="n">
        <x:v>-21.26728</x:v>
      </x:c>
      <x:c r="E2976" s="23" t="n">
        <x:f>'Parameters'!$B$2*'Parameters'!$B$3*LN(4*PI()*C2976^2)</x:f>
        <x:v>10.718027340948145</x:v>
      </x:c>
      <x:c r="F2976" s="23" t="n">
        <x:f>D2976+E2976</x:f>
        <x:v>-10.549252659051854</x:v>
      </x:c>
      <x:c r="G2976" s="23" t="n">
        <x:f>AVERAGE($F$2945:$F$2968)</x:f>
        <x:v>-10.295726568251665</x:v>
      </x:c>
      <x:c r="H2976" s="24" t="n">
        <x:f>F2976-G2976</x:f>
        <x:v>-0.2535260908001895</x:v>
      </x:c>
    </x:row>
    <x:row r="2977">
      <x:c r="A2977" s="2" t="str">
        <x:v>LiN3-Core</x:v>
      </x:c>
      <x:c r="B2977" s="4" t="str">
        <x:v>LiCl</x:v>
      </x:c>
      <x:c r="C2977" s="23" t="n">
        <x:v>2.462895</x:v>
      </x:c>
      <x:c r="D2977" s="23" t="n">
        <x:v>-21.11285</x:v>
      </x:c>
      <x:c r="E2977" s="23" t="n">
        <x:f>'Parameters'!$B$2*'Parameters'!$B$3*LN(4*PI()*C2977^2)</x:f>
        <x:v>10.743054149450918</x:v>
      </x:c>
      <x:c r="F2977" s="23" t="n">
        <x:f>D2977+E2977</x:f>
        <x:v>-10.369795850549083</x:v>
      </x:c>
      <x:c r="G2977" s="23" t="n">
        <x:f>AVERAGE($F$2945:$F$2968)</x:f>
        <x:v>-10.295726568251665</x:v>
      </x:c>
      <x:c r="H2977" s="24" t="n">
        <x:f>F2977-G2977</x:f>
        <x:v>-0.07406928229741894</x:v>
      </x:c>
    </x:row>
    <x:row r="2978">
      <x:c r="A2978" s="2" t="str">
        <x:v>LiN3-Core</x:v>
      </x:c>
      <x:c r="B2978" s="4" t="str">
        <x:v>LiCl</x:v>
      </x:c>
      <x:c r="C2978" s="23" t="n">
        <x:v>2.475295</x:v>
      </x:c>
      <x:c r="D2978" s="23" t="n">
        <x:v>-21.37288</x:v>
      </x:c>
      <x:c r="E2978" s="23" t="n">
        <x:f>'Parameters'!$B$2*'Parameters'!$B$3*LN(4*PI()*C2978^2)</x:f>
        <x:v>10.767953257645589</x:v>
      </x:c>
      <x:c r="F2978" s="23" t="n">
        <x:f>D2978+E2978</x:f>
        <x:v>-10.60492674235441</x:v>
      </x:c>
      <x:c r="G2978" s="23" t="n">
        <x:f>AVERAGE($F$2945:$F$2968)</x:f>
        <x:v>-10.295726568251665</x:v>
      </x:c>
      <x:c r="H2978" s="24" t="n">
        <x:f>F2978-G2978</x:f>
        <x:v>-0.30920017410274525</x:v>
      </x:c>
    </x:row>
    <x:row r="2979">
      <x:c r="A2979" s="2" t="str">
        <x:v>LiN3-Core</x:v>
      </x:c>
      <x:c r="B2979" s="4" t="str">
        <x:v>LiCl</x:v>
      </x:c>
      <x:c r="C2979" s="23" t="n">
        <x:v>2.487695</x:v>
      </x:c>
      <x:c r="D2979" s="23" t="n">
        <x:v>-21.39421</x:v>
      </x:c>
      <x:c r="E2979" s="23" t="n">
        <x:f>'Parameters'!$B$2*'Parameters'!$B$3*LN(4*PI()*C2979^2)</x:f>
        <x:v>10.7927279447837</x:v>
      </x:c>
      <x:c r="F2979" s="23" t="n">
        <x:f>D2979+E2979</x:f>
        <x:v>-10.601482055216302</x:v>
      </x:c>
      <x:c r="G2979" s="23" t="n">
        <x:f>AVERAGE($F$2945:$F$2968)</x:f>
        <x:v>-10.295726568251665</x:v>
      </x:c>
      <x:c r="H2979" s="24" t="n">
        <x:f>F2979-G2979</x:f>
        <x:v>-0.30575548696463706</x:v>
      </x:c>
    </x:row>
    <x:row r="2980">
      <x:c r="A2980" s="2" t="str">
        <x:v>LiN3-Core</x:v>
      </x:c>
      <x:c r="B2980" s="4" t="str">
        <x:v>LiCl</x:v>
      </x:c>
      <x:c r="C2980" s="23" t="n">
        <x:v>2.500096</x:v>
      </x:c>
      <x:c r="D2980" s="23" t="n">
        <x:v>-21.43623</x:v>
      </x:c>
      <x:c r="E2980" s="23" t="n">
        <x:f>'Parameters'!$B$2*'Parameters'!$B$3*LN(4*PI()*C2980^2)</x:f>
        <x:v>10.817381431241119</x:v>
      </x:c>
      <x:c r="F2980" s="23" t="n">
        <x:f>D2980+E2980</x:f>
        <x:v>-10.61884856875888</x:v>
      </x:c>
      <x:c r="G2980" s="23" t="n">
        <x:f>AVERAGE($F$2945:$F$2968)</x:f>
        <x:v>-10.295726568251665</x:v>
      </x:c>
      <x:c r="H2980" s="24" t="n">
        <x:f>F2980-G2980</x:f>
        <x:v>-0.3231220005072153</x:v>
      </x:c>
    </x:row>
    <x:row r="2981">
      <x:c r="A2981" s="2" t="str">
        <x:v>LiN3-Core</x:v>
      </x:c>
      <x:c r="B2981" s="4" t="str">
        <x:v>LiCl</x:v>
      </x:c>
      <x:c r="C2981" s="23" t="n">
        <x:v>2.512496</x:v>
      </x:c>
      <x:c r="D2981" s="23" t="n">
        <x:v>-21.35032</x:v>
      </x:c>
      <x:c r="E2981" s="23" t="n">
        <x:f>'Parameters'!$B$2*'Parameters'!$B$3*LN(4*PI()*C2981^2)</x:f>
        <x:v>10.841910959972175</x:v>
      </x:c>
      <x:c r="F2981" s="23" t="n">
        <x:f>D2981+E2981</x:f>
        <x:v>-10.508409040027825</x:v>
      </x:c>
      <x:c r="G2981" s="23" t="n">
        <x:f>AVERAGE($F$2945:$F$2968)</x:f>
        <x:v>-10.295726568251665</x:v>
      </x:c>
      <x:c r="H2981" s="24" t="n">
        <x:f>F2981-G2981</x:f>
        <x:v>-0.2126824717761604</x:v>
      </x:c>
    </x:row>
    <x:row r="2982">
      <x:c r="A2982" s="2" t="str">
        <x:v>LiN3-Core</x:v>
      </x:c>
      <x:c r="B2982" s="4" t="str">
        <x:v>LiCl</x:v>
      </x:c>
      <x:c r="C2982" s="23" t="n">
        <x:v>2.524897</x:v>
      </x:c>
      <x:c r="D2982" s="23" t="n">
        <x:v>-21.3632</x:v>
      </x:c>
      <x:c r="E2982" s="23" t="n">
        <x:f>'Parameters'!$B$2*'Parameters'!$B$3*LN(4*PI()*C2982^2)</x:f>
        <x:v>10.866321688479093</x:v>
      </x:c>
      <x:c r="F2982" s="23" t="n">
        <x:f>D2982+E2982</x:f>
        <x:v>-10.496878311520906</x:v>
      </x:c>
      <x:c r="G2982" s="23" t="n">
        <x:f>AVERAGE($F$2945:$F$2968)</x:f>
        <x:v>-10.295726568251665</x:v>
      </x:c>
      <x:c r="H2982" s="24" t="n">
        <x:f>F2982-G2982</x:f>
        <x:v>-0.20115174326924112</x:v>
      </x:c>
    </x:row>
    <x:row r="2983">
      <x:c r="A2983" s="2" t="str">
        <x:v>LiN3-Core</x:v>
      </x:c>
      <x:c r="B2983" s="4" t="str">
        <x:v>LiCl</x:v>
      </x:c>
      <x:c r="C2983" s="23" t="n">
        <x:v>2.537297</x:v>
      </x:c>
      <x:c r="D2983" s="23" t="n">
        <x:v>-21.36488</x:v>
      </x:c>
      <x:c r="E2983" s="23" t="n">
        <x:f>'Parameters'!$B$2*'Parameters'!$B$3*LN(4*PI()*C2983^2)</x:f>
        <x:v>10.890610863210433</x:v>
      </x:c>
      <x:c r="F2983" s="23" t="n">
        <x:f>D2983+E2983</x:f>
        <x:v>-10.474269136789566</x:v>
      </x:c>
      <x:c r="G2983" s="23" t="n">
        <x:f>AVERAGE($F$2945:$F$2968)</x:f>
        <x:v>-10.295726568251665</x:v>
      </x:c>
      <x:c r="H2983" s="24" t="n">
        <x:f>F2983-G2983</x:f>
        <x:v>-0.1785425685379014</x:v>
      </x:c>
    </x:row>
    <x:row r="2984">
      <x:c r="A2984" s="2" t="str">
        <x:v>LiN3-Core</x:v>
      </x:c>
      <x:c r="B2984" s="4" t="str">
        <x:v>LiCl</x:v>
      </x:c>
      <x:c r="C2984" s="23" t="n">
        <x:v>2.549698</x:v>
      </x:c>
      <x:c r="D2984" s="23" t="n">
        <x:v>-21.44367</x:v>
      </x:c>
      <x:c r="E2984" s="23" t="n">
        <x:f>'Parameters'!$B$2*'Parameters'!$B$3*LN(4*PI()*C2984^2)</x:f>
        <x:v>10.91478356793786</x:v>
      </x:c>
      <x:c r="F2984" s="23" t="n">
        <x:f>D2984+E2984</x:f>
        <x:v>-10.52888643206214</x:v>
      </x:c>
      <x:c r="G2984" s="23" t="n">
        <x:f>AVERAGE($F$2945:$F$2968)</x:f>
        <x:v>-10.295726568251665</x:v>
      </x:c>
      <x:c r="H2984" s="24" t="n">
        <x:f>F2984-G2984</x:f>
        <x:v>-0.23315986381047615</x:v>
      </x:c>
    </x:row>
    <x:row r="2985">
      <x:c r="A2985" s="2" t="str">
        <x:v>LiN3-Core</x:v>
      </x:c>
      <x:c r="B2985" s="4" t="str">
        <x:v>LiCl</x:v>
      </x:c>
      <x:c r="C2985" s="23" t="n">
        <x:v>2.562098</x:v>
      </x:c>
      <x:c r="D2985" s="23" t="n">
        <x:v>-21.43204</x:v>
      </x:c>
      <x:c r="E2985" s="23" t="n">
        <x:f>'Parameters'!$B$2*'Parameters'!$B$3*LN(4*PI()*C2985^2)</x:f>
        <x:v>10.938837053217888</x:v>
      </x:c>
      <x:c r="F2985" s="23" t="n">
        <x:f>D2985+E2985</x:f>
        <x:v>-10.493202946782112</x:v>
      </x:c>
      <x:c r="G2985" s="23" t="n">
        <x:f>AVERAGE($F$2945:$F$2968)</x:f>
        <x:v>-10.295726568251665</x:v>
      </x:c>
      <x:c r="H2985" s="24" t="n">
        <x:f>F2985-G2985</x:f>
        <x:v>-0.19747637853044786</x:v>
      </x:c>
    </x:row>
    <x:row r="2986">
      <x:c r="A2986" s="2" t="str">
        <x:v>LiN3-Core</x:v>
      </x:c>
      <x:c r="B2986" s="4" t="str">
        <x:v>LiCl</x:v>
      </x:c>
      <x:c r="C2986" s="23" t="n">
        <x:v>2.574498</x:v>
      </x:c>
      <x:c r="D2986" s="23" t="n">
        <x:v>-21.35035</x:v>
      </x:c>
      <x:c r="E2986" s="23" t="n">
        <x:f>'Parameters'!$B$2*'Parameters'!$B$3*LN(4*PI()*C2986^2)</x:f>
        <x:v>10.96277440540936</x:v>
      </x:c>
      <x:c r="F2986" s="23" t="n">
        <x:f>D2986+E2986</x:f>
        <x:v>-10.387575594590638</x:v>
      </x:c>
      <x:c r="G2986" s="23" t="n">
        <x:f>AVERAGE($F$2945:$F$2968)</x:f>
        <x:v>-10.295726568251665</x:v>
      </x:c>
      <x:c r="H2986" s="24" t="n">
        <x:f>F2986-G2986</x:f>
        <x:v>-0.09184902633897352</x:v>
      </x:c>
    </x:row>
    <x:row r="2987">
      <x:c r="A2987" s="2" t="str">
        <x:v>LiN3-Core</x:v>
      </x:c>
      <x:c r="B2987" s="4" t="str">
        <x:v>LiCl</x:v>
      </x:c>
      <x:c r="C2987" s="23" t="n">
        <x:v>2.586899</x:v>
      </x:c>
      <x:c r="D2987" s="23" t="n">
        <x:v>-21.5318</x:v>
      </x:c>
      <x:c r="E2987" s="23" t="n">
        <x:f>'Parameters'!$B$2*'Parameters'!$B$3*LN(4*PI()*C2987^2)</x:f>
        <x:v>10.986598657082464</x:v>
      </x:c>
      <x:c r="F2987" s="23" t="n">
        <x:f>D2987+E2987</x:f>
        <x:v>-10.545201342917537</x:v>
      </x:c>
      <x:c r="G2987" s="23" t="n">
        <x:f>AVERAGE($F$2945:$F$2968)</x:f>
        <x:v>-10.295726568251665</x:v>
      </x:c>
      <x:c r="H2987" s="24" t="n">
        <x:f>F2987-G2987</x:f>
        <x:v>-0.2494747746658721</x:v>
      </x:c>
    </x:row>
    <x:row r="2988">
      <x:c r="A2988" s="2" t="str">
        <x:v>LiN3-Core</x:v>
      </x:c>
      <x:c r="B2988" s="4" t="str">
        <x:v>LiCl</x:v>
      </x:c>
      <x:c r="C2988" s="23" t="n">
        <x:v>2.599299</x:v>
      </x:c>
      <x:c r="D2988" s="23" t="n">
        <x:v>-21.36996</x:v>
      </x:c>
      <x:c r="E2988" s="23" t="n">
        <x:f>'Parameters'!$B$2*'Parameters'!$B$3*LN(4*PI()*C2988^2)</x:f>
        <x:v>11.010307066011382</x:v>
      </x:c>
      <x:c r="F2988" s="23" t="n">
        <x:f>D2988+E2988</x:f>
        <x:v>-10.359652933988617</x:v>
      </x:c>
      <x:c r="G2988" s="23" t="n">
        <x:f>AVERAGE($F$2945:$F$2968)</x:f>
        <x:v>-10.295726568251665</x:v>
      </x:c>
      <x:c r="H2988" s="24" t="n">
        <x:f>F2988-G2988</x:f>
        <x:v>-0.0639263657369522</x:v>
      </x:c>
    </x:row>
    <x:row r="2989">
      <x:c r="A2989" s="2" t="str">
        <x:v>LiN3-Core</x:v>
      </x:c>
      <x:c r="B2989" s="4" t="str">
        <x:v>LiCl</x:v>
      </x:c>
      <x:c r="C2989" s="23" t="n">
        <x:v>2.6117</x:v>
      </x:c>
      <x:c r="D2989" s="23" t="n">
        <x:v>-21.36014</x:v>
      </x:c>
      <x:c r="E2989" s="23" t="n">
        <x:f>'Parameters'!$B$2*'Parameters'!$B$3*LN(4*PI()*C2989^2)</x:f>
        <x:v>11.033904540627985</x:v>
      </x:c>
      <x:c r="F2989" s="23" t="n">
        <x:f>D2989+E2989</x:f>
        <x:v>-10.326235459372016</x:v>
      </x:c>
      <x:c r="G2989" s="23" t="n">
        <x:f>AVERAGE($F$2945:$F$2968)</x:f>
        <x:v>-10.295726568251665</x:v>
      </x:c>
      <x:c r="H2989" s="24" t="n">
        <x:f>F2989-G2989</x:f>
        <x:v>-0.030508891120351933</x:v>
      </x:c>
    </x:row>
    <x:row r="2990">
      <x:c r="A2990" s="2" t="str">
        <x:v>LiN3-Core</x:v>
      </x:c>
      <x:c r="B2990" s="4" t="str">
        <x:v>LiCl</x:v>
      </x:c>
      <x:c r="C2990" s="23" t="n">
        <x:v>2.6241</x:v>
      </x:c>
      <x:c r="D2990" s="23" t="n">
        <x:v>-21.23398</x:v>
      </x:c>
      <x:c r="E2990" s="23" t="n">
        <x:f>'Parameters'!$B$2*'Parameters'!$B$3*LN(4*PI()*C2990^2)</x:f>
        <x:v>11.057388344163638</x:v>
      </x:c>
      <x:c r="F2990" s="23" t="n">
        <x:f>D2990+E2990</x:f>
        <x:v>-10.176591655836361</x:v>
      </x:c>
      <x:c r="G2990" s="23" t="n">
        <x:f>AVERAGE($F$2945:$F$2968)</x:f>
        <x:v>-10.295726568251665</x:v>
      </x:c>
      <x:c r="H2990" s="24" t="n">
        <x:f>F2990-G2990</x:f>
        <x:v>0.11913491241530316</x:v>
      </x:c>
    </x:row>
    <x:row r="2991">
      <x:c r="A2991" s="2" t="str">
        <x:v>LiN3-Core</x:v>
      </x:c>
      <x:c r="B2991" s="4" t="str">
        <x:v>LiCl</x:v>
      </x:c>
      <x:c r="C2991" s="23" t="n">
        <x:v>2.636501</x:v>
      </x:c>
      <x:c r="D2991" s="23" t="n">
        <x:v>-21.54673</x:v>
      </x:c>
      <x:c r="E2991" s="23" t="n">
        <x:f>'Parameters'!$B$2*'Parameters'!$B$3*LN(4*PI()*C2991^2)</x:f>
        <x:v>11.080763318291636</x:v>
      </x:c>
      <x:c r="F2991" s="23" t="n">
        <x:f>D2991+E2991</x:f>
        <x:v>-10.465966681708364</x:v>
      </x:c>
      <x:c r="G2991" s="23" t="n">
        <x:f>AVERAGE($F$2945:$F$2968)</x:f>
        <x:v>-10.295726568251665</x:v>
      </x:c>
      <x:c r="H2991" s="24" t="n">
        <x:f>F2991-G2991</x:f>
        <x:v>-0.17024011345669976</x:v>
      </x:c>
    </x:row>
    <x:row r="2992">
      <x:c r="A2992" s="2" t="str">
        <x:v>LiN3-Core</x:v>
      </x:c>
      <x:c r="B2992" s="4" t="str">
        <x:v>LiCl</x:v>
      </x:c>
      <x:c r="C2992" s="23" t="n">
        <x:v>2.648901</x:v>
      </x:c>
      <x:c r="D2992" s="23" t="n">
        <x:v>-21.39293</x:v>
      </x:c>
      <x:c r="E2992" s="23" t="n">
        <x:f>'Parameters'!$B$2*'Parameters'!$B$3*LN(4*PI()*C2992^2)</x:f>
        <x:v>11.104026732173383</x:v>
      </x:c>
      <x:c r="F2992" s="23" t="n">
        <x:f>D2992+E2992</x:f>
        <x:v>-10.288903267826617</x:v>
      </x:c>
      <x:c r="G2992" s="23" t="n">
        <x:f>AVERAGE($F$2945:$F$2968)</x:f>
        <x:v>-10.295726568251665</x:v>
      </x:c>
      <x:c r="H2992" s="24" t="n">
        <x:f>F2992-G2992</x:f>
        <x:v>0.006823300425047307</x:v>
      </x:c>
    </x:row>
    <x:row r="2993">
      <x:c r="A2993" s="2" t="str">
        <x:v>LiN3-Core</x:v>
      </x:c>
      <x:c r="B2993" s="4" t="str">
        <x:v>LiCl</x:v>
      </x:c>
      <x:c r="C2993" s="23" t="n">
        <x:v>2.661301</x:v>
      </x:c>
      <x:c r="D2993" s="23" t="n">
        <x:v>-21.17133</x:v>
      </x:c>
      <x:c r="E2993" s="23" t="n">
        <x:f>'Parameters'!$B$2*'Parameters'!$B$3*LN(4*PI()*C2993^2)</x:f>
        <x:v>11.127181499573041</x:v>
      </x:c>
      <x:c r="F2993" s="23" t="n">
        <x:f>D2993+E2993</x:f>
        <x:v>-10.04414850042696</x:v>
      </x:c>
      <x:c r="G2993" s="23" t="n">
        <x:f>AVERAGE($F$2945:$F$2968)</x:f>
        <x:v>-10.295726568251665</x:v>
      </x:c>
      <x:c r="H2993" s="24" t="n">
        <x:f>F2993-G2993</x:f>
        <x:v>0.2515780678247044</x:v>
      </x:c>
    </x:row>
    <x:row r="2994">
      <x:c r="A2994" s="2" t="str">
        <x:v>LiN3-Core</x:v>
      </x:c>
      <x:c r="B2994" s="4" t="str">
        <x:v>LiCl</x:v>
      </x:c>
      <x:c r="C2994" s="23" t="n">
        <x:v>2.673702</x:v>
      </x:c>
      <x:c r="D2994" s="23" t="n">
        <x:v>-21.3092</x:v>
      </x:c>
      <x:c r="E2994" s="23" t="n">
        <x:f>'Parameters'!$B$2*'Parameters'!$B$3*LN(4*PI()*C2994^2)</x:f>
        <x:v>11.15023048491829</x:v>
      </x:c>
      <x:c r="F2994" s="23" t="n">
        <x:f>D2994+E2994</x:f>
        <x:v>-10.158969515081711</x:v>
      </x:c>
      <x:c r="G2994" s="23" t="n">
        <x:f>AVERAGE($F$2945:$F$2968)</x:f>
        <x:v>-10.295726568251665</x:v>
      </x:c>
      <x:c r="H2994" s="24" t="n">
        <x:f>F2994-G2994</x:f>
        <x:v>0.13675705316995312</x:v>
      </x:c>
    </x:row>
    <x:row r="2995">
      <x:c r="A2995" s="2" t="str">
        <x:v>LiN3-Core</x:v>
      </x:c>
      <x:c r="B2995" s="4" t="str">
        <x:v>LiCl</x:v>
      </x:c>
      <x:c r="C2995" s="23" t="n">
        <x:v>2.686102</x:v>
      </x:c>
      <x:c r="D2995" s="23" t="n">
        <x:v>-20.65727</x:v>
      </x:c>
      <x:c r="E2995" s="23" t="n">
        <x:f>'Parameters'!$B$2*'Parameters'!$B$3*LN(4*PI()*C2995^2)</x:f>
        <x:v>11.17317096707731</x:v>
      </x:c>
      <x:c r="F2995" s="23" t="n">
        <x:f>D2995+E2995</x:f>
        <x:v>-9.48409903292269</x:v>
      </x:c>
      <x:c r="G2995" s="23" t="n">
        <x:f>AVERAGE($F$2945:$F$2968)</x:f>
        <x:v>-10.295726568251665</x:v>
      </x:c>
      <x:c r="H2995" s="24" t="n">
        <x:f>F2995-G2995</x:f>
        <x:v>0.8116275353289737</x:v>
      </x:c>
    </x:row>
    <x:row r="2996">
      <x:c r="A2996" s="2" t="str">
        <x:v>LiN3-Core</x:v>
      </x:c>
      <x:c r="B2996" s="4" t="str">
        <x:v>LiCl</x:v>
      </x:c>
      <x:c r="C2996" s="23" t="n">
        <x:v>2.698503</x:v>
      </x:c>
      <x:c r="D2996" s="23" t="n">
        <x:v>-20.71712</x:v>
      </x:c>
      <x:c r="E2996" s="23" t="n">
        <x:f>'Parameters'!$B$2*'Parameters'!$B$3*LN(4*PI()*C2996^2)</x:f>
        <x:v>11.196007628615604</x:v>
      </x:c>
      <x:c r="F2996" s="23" t="n">
        <x:f>D2996+E2996</x:f>
        <x:v>-9.521112371384397</x:v>
      </x:c>
      <x:c r="G2996" s="23" t="n">
        <x:f>AVERAGE($F$2945:$F$2968)</x:f>
        <x:v>-10.295726568251665</x:v>
      </x:c>
      <x:c r="H2996" s="24" t="n">
        <x:f>F2996-G2996</x:f>
        <x:v>0.7746141968672671</x:v>
      </x:c>
    </x:row>
    <x:row r="2997">
      <x:c r="A2997" s="2" t="str">
        <x:v>LiN3-Core</x:v>
      </x:c>
      <x:c r="B2997" s="4" t="str">
        <x:v>LiCl</x:v>
      </x:c>
      <x:c r="C2997" s="23" t="n">
        <x:v>2.710903</x:v>
      </x:c>
      <x:c r="D2997" s="23" t="n">
        <x:v>-20.85165</x:v>
      </x:c>
      <x:c r="E2997" s="23" t="n">
        <x:f>'Parameters'!$B$2*'Parameters'!$B$3*LN(4*PI()*C2997^2)</x:f>
        <x:v>11.218737755367638</x:v>
      </x:c>
      <x:c r="F2997" s="23" t="n">
        <x:f>D2997+E2997</x:f>
        <x:v>-9.632912244632362</x:v>
      </x:c>
      <x:c r="G2997" s="23" t="n">
        <x:f>AVERAGE($F$2945:$F$2968)</x:f>
        <x:v>-10.295726568251665</x:v>
      </x:c>
      <x:c r="H2997" s="24" t="n">
        <x:f>F2997-G2997</x:f>
        <x:v>0.6628143236193029</x:v>
      </x:c>
    </x:row>
    <x:row r="2998">
      <x:c r="A2998" s="2" t="str">
        <x:v>LiN3-Core</x:v>
      </x:c>
      <x:c r="B2998" s="4" t="str">
        <x:v>LiCl</x:v>
      </x:c>
      <x:c r="C2998" s="23" t="n">
        <x:v>2.723304</x:v>
      </x:c>
      <x:c r="D2998" s="23" t="n">
        <x:v>-21.77434</x:v>
      </x:c>
      <x:c r="E2998" s="23" t="n">
        <x:f>'Parameters'!$B$2*'Parameters'!$B$3*LN(4*PI()*C2998^2)</x:f>
        <x:v>11.241365969190126</x:v>
      </x:c>
      <x:c r="F2998" s="23" t="n">
        <x:f>D2998+E2998</x:f>
        <x:v>-10.532974030809873</x:v>
      </x:c>
      <x:c r="G2998" s="23" t="n">
        <x:f>AVERAGE($F$2945:$F$2968)</x:f>
        <x:v>-10.295726568251665</x:v>
      </x:c>
      <x:c r="H2998" s="24" t="n">
        <x:f>F2998-G2998</x:f>
        <x:v>-0.2372474625582086</x:v>
      </x:c>
    </x:row>
    <x:row r="2999">
      <x:c r="A2999" s="2" t="str">
        <x:v>LiN3-Core</x:v>
      </x:c>
      <x:c r="B2999" s="4" t="str">
        <x:v>LiCl</x:v>
      </x:c>
      <x:c r="C2999" s="23" t="n">
        <x:v>2.735704</x:v>
      </x:c>
      <x:c r="D2999" s="23" t="n">
        <x:v>-20.31875</x:v>
      </x:c>
      <x:c r="E2999" s="23" t="n">
        <x:f>'Parameters'!$B$2*'Parameters'!$B$3*LN(4*PI()*C2999^2)</x:f>
        <x:v>11.263889563245538</x:v>
      </x:c>
      <x:c r="F2999" s="23" t="n">
        <x:f>D2999+E2999</x:f>
        <x:v>-9.054860436754463</x:v>
      </x:c>
      <x:c r="G2999" s="23" t="n">
        <x:f>AVERAGE($F$2945:$F$2968)</x:f>
        <x:v>-10.295726568251665</x:v>
      </x:c>
      <x:c r="H2999" s="24" t="n">
        <x:f>F2999-G2999</x:f>
        <x:v>1.2408661314972012</x:v>
      </x:c>
    </x:row>
    <x:row r="3000">
      <x:c r="A3000" s="2" t="str">
        <x:v>LiN3-Core</x:v>
      </x:c>
      <x:c r="B3000" s="4" t="str">
        <x:v>LiCl</x:v>
      </x:c>
      <x:c r="C3000" s="23" t="n">
        <x:v>2.748104</x:v>
      </x:c>
      <x:c r="D3000" s="23" t="n">
        <x:v>-22.32367</x:v>
      </x:c>
      <x:c r="E3000" s="23" t="n">
        <x:f>'Parameters'!$B$2*'Parameters'!$B$3*LN(4*PI()*C3000^2)</x:f>
        <x:v>11.286311296141527</x:v>
      </x:c>
      <x:c r="F3000" s="23" t="n">
        <x:f>D3000+E3000</x:f>
        <x:v>-11.037358703858473</x:v>
      </x:c>
      <x:c r="G3000" s="23" t="n">
        <x:f>AVERAGE($F$2945:$F$2968)</x:f>
        <x:v>-10.295726568251665</x:v>
      </x:c>
      <x:c r="H3000" s="24" t="n">
        <x:f>F3000-G3000</x:f>
        <x:v>-0.7416321356068085</x:v>
      </x:c>
    </x:row>
    <x:row r="3001">
      <x:c r="A3001" s="2" t="str">
        <x:v>LiN3-Core</x:v>
      </x:c>
      <x:c r="B3001" s="4" t="str">
        <x:v>LiCl</x:v>
      </x:c>
      <x:c r="C3001" s="23" t="n">
        <x:v>2.760505</x:v>
      </x:c>
      <x:c r="D3001" s="23" t="n">
        <x:v>-22.21138</x:v>
      </x:c>
      <x:c r="E3001" s="23" t="n">
        <x:f>'Parameters'!$B$2*'Parameters'!$B$3*LN(4*PI()*C3001^2)</x:f>
        <x:v>11.308633881067143</x:v>
      </x:c>
      <x:c r="F3001" s="23" t="n">
        <x:f>D3001+E3001</x:f>
        <x:v>-10.902746118932855</x:v>
      </x:c>
      <x:c r="G3001" s="23" t="n">
        <x:f>AVERAGE($F$2945:$F$2968)</x:f>
        <x:v>-10.295726568251665</x:v>
      </x:c>
      <x:c r="H3001" s="24" t="n">
        <x:f>F3001-G3001</x:f>
        <x:v>-0.6070195506811906</x:v>
      </x:c>
    </x:row>
    <x:row r="3002">
      <x:c r="A3002" s="2" t="str">
        <x:v>LiN3-Core</x:v>
      </x:c>
      <x:c r="B3002" s="4" t="str">
        <x:v>NaCl</x:v>
      </x:c>
      <x:c r="C3002" s="23" t="n">
        <x:v>0.2377979</x:v>
      </x:c>
      <x:c r="D3002" s="23" t="n">
        <x:v>0</x:v>
      </x:c>
      <x:c r="E3002" s="23" t="n">
        <x:f>'Parameters'!$B$2*'Parameters'!$B$3*LN(4*PI()*C3002^2)</x:f>
        <x:v>-0.8469208064785277</x:v>
      </x:c>
      <x:c r="F3002" s="23" t="n">
        <x:f>D3002+E3002</x:f>
        <x:v>-0.8469208064785277</x:v>
      </x:c>
      <x:c r="G3002" s="23" t="n">
        <x:f>AVERAGE($F$3146:$F$3169)</x:f>
        <x:v>-4.701161883286471</x:v>
      </x:c>
      <x:c r="H3002" s="24" t="n">
        <x:f>F3002-G3002</x:f>
        <x:v>3.8542410768079436</x:v>
      </x:c>
    </x:row>
    <x:row r="3003">
      <x:c r="A3003" s="2" t="str">
        <x:v>LiN3-Core</x:v>
      </x:c>
      <x:c r="B3003" s="4" t="str">
        <x:v>NaCl</x:v>
      </x:c>
      <x:c r="C3003" s="23" t="n">
        <x:v>0.2504316</x:v>
      </x:c>
      <x:c r="D3003" s="23" t="n">
        <x:v>2.040029</x:v>
      </x:c>
      <x:c r="E3003" s="23" t="n">
        <x:f>'Parameters'!$B$2*'Parameters'!$B$3*LN(4*PI()*C3003^2)</x:f>
        <x:v>-0.5902759911743278</x:v>
      </x:c>
      <x:c r="F3003" s="23" t="n">
        <x:f>D3003+E3003</x:f>
        <x:v>1.4497530088256723</x:v>
      </x:c>
      <x:c r="G3003" s="23" t="n">
        <x:f>AVERAGE($F$3146:$F$3169)</x:f>
        <x:v>-4.701161883286471</x:v>
      </x:c>
      <x:c r="H3003" s="24" t="n">
        <x:f>F3003-G3003</x:f>
        <x:v>6.1509148921121435</x:v>
      </x:c>
    </x:row>
    <x:row r="3004">
      <x:c r="A3004" s="2" t="str">
        <x:v>LiN3-Core</x:v>
      </x:c>
      <x:c r="B3004" s="4" t="str">
        <x:v>NaCl</x:v>
      </x:c>
      <x:c r="C3004" s="23" t="n">
        <x:v>0.2630653</x:v>
      </x:c>
      <x:c r="D3004" s="23" t="n">
        <x:v>-0.8986787</x:v>
      </x:c>
      <x:c r="E3004" s="23" t="n">
        <x:f>'Parameters'!$B$2*'Parameters'!$B$3*LN(4*PI()*C3004^2)</x:f>
        <x:v>-0.34626500730832577</x:v>
      </x:c>
      <x:c r="F3004" s="23" t="n">
        <x:f>D3004+E3004</x:f>
        <x:v>-1.2449437073083258</x:v>
      </x:c>
      <x:c r="G3004" s="23" t="n">
        <x:f>AVERAGE($F$3146:$F$3169)</x:f>
        <x:v>-4.701161883286471</x:v>
      </x:c>
      <x:c r="H3004" s="24" t="n">
        <x:f>F3004-G3004</x:f>
        <x:v>3.4562181759781456</x:v>
      </x:c>
    </x:row>
    <x:row r="3005">
      <x:c r="A3005" s="2" t="str">
        <x:v>LiN3-Core</x:v>
      </x:c>
      <x:c r="B3005" s="4" t="str">
        <x:v>NaCl</x:v>
      </x:c>
      <x:c r="C3005" s="23" t="n">
        <x:v>0.275699</x:v>
      </x:c>
      <x:c r="D3005" s="23" t="n">
        <x:v>0.8277193</x:v>
      </x:c>
      <x:c r="E3005" s="23" t="n">
        <x:f>'Parameters'!$B$2*'Parameters'!$B$3*LN(4*PI()*C3005^2)</x:f>
        <x:v>-0.11370214659268392</x:v>
      </x:c>
      <x:c r="F3005" s="23" t="n">
        <x:f>D3005+E3005</x:f>
        <x:v>0.7140171534073161</x:v>
      </x:c>
      <x:c r="G3005" s="23" t="n">
        <x:f>AVERAGE($F$3146:$F$3169)</x:f>
        <x:v>-4.701161883286471</x:v>
      </x:c>
      <x:c r="H3005" s="24" t="n">
        <x:f>F3005-G3005</x:f>
        <x:v>5.415179036693788</x:v>
      </x:c>
    </x:row>
    <x:row r="3006">
      <x:c r="A3006" s="2" t="str">
        <x:v>LiN3-Core</x:v>
      </x:c>
      <x:c r="B3006" s="4" t="str">
        <x:v>NaCl</x:v>
      </x:c>
      <x:c r="C3006" s="23" t="n">
        <x:v>0.2883327</x:v>
      </x:c>
      <x:c r="D3006" s="23" t="n">
        <x:v>0.3510546</x:v>
      </x:c>
      <x:c r="E3006" s="23" t="n">
        <x:f>'Parameters'!$B$2*'Parameters'!$B$3*LN(4*PI()*C3006^2)</x:f>
        <x:v>0.1084388330930442</x:v>
      </x:c>
      <x:c r="F3006" s="23" t="n">
        <x:f>D3006+E3006</x:f>
        <x:v>0.4594934330930442</x:v>
      </x:c>
      <x:c r="G3006" s="23" t="n">
        <x:f>AVERAGE($F$3146:$F$3169)</x:f>
        <x:v>-4.701161883286471</x:v>
      </x:c>
      <x:c r="H3006" s="24" t="n">
        <x:f>F3006-G3006</x:f>
        <x:v>5.160655316379516</x:v>
      </x:c>
    </x:row>
    <x:row r="3007">
      <x:c r="A3007" s="2" t="str">
        <x:v>LiN3-Core</x:v>
      </x:c>
      <x:c r="B3007" s="4" t="str">
        <x:v>NaCl</x:v>
      </x:c>
      <x:c r="C3007" s="23" t="n">
        <x:v>0.3009665</x:v>
      </x:c>
      <x:c r="D3007" s="23" t="n">
        <x:v>1.929929</x:v>
      </x:c>
      <x:c r="E3007" s="23" t="n">
        <x:f>'Parameters'!$B$2*'Parameters'!$B$3*LN(4*PI()*C3007^2)</x:f>
        <x:v>0.3210537278070917</x:v>
      </x:c>
      <x:c r="F3007" s="23" t="n">
        <x:f>D3007+E3007</x:f>
        <x:v>2.2509827278070915</x:v>
      </x:c>
      <x:c r="G3007" s="23" t="n">
        <x:f>AVERAGE($F$3146:$F$3169)</x:f>
        <x:v>-4.701161883286471</x:v>
      </x:c>
      <x:c r="H3007" s="24" t="n">
        <x:f>F3007-G3007</x:f>
        <x:v>6.952144611093563</x:v>
      </x:c>
    </x:row>
    <x:row r="3008">
      <x:c r="A3008" s="2" t="str">
        <x:v>LiN3-Core</x:v>
      </x:c>
      <x:c r="B3008" s="4" t="str">
        <x:v>NaCl</x:v>
      </x:c>
      <x:c r="C3008" s="23" t="n">
        <x:v>0.3136002</x:v>
      </x:c>
      <x:c r="D3008" s="23" t="n">
        <x:v>0.8961979</x:v>
      </x:c>
      <x:c r="E3008" s="23" t="n">
        <x:f>'Parameters'!$B$2*'Parameters'!$B$3*LN(4*PI()*C3008^2)</x:f>
        <x:v>0.5249229722495538</x:v>
      </x:c>
      <x:c r="F3008" s="23" t="n">
        <x:f>D3008+E3008</x:f>
        <x:v>1.4211208722495536</x:v>
      </x:c>
      <x:c r="G3008" s="23" t="n">
        <x:f>AVERAGE($F$3146:$F$3169)</x:f>
        <x:v>-4.701161883286471</x:v>
      </x:c>
      <x:c r="H3008" s="24" t="n">
        <x:f>F3008-G3008</x:f>
        <x:v>6.122282755536025</x:v>
      </x:c>
    </x:row>
    <x:row r="3009">
      <x:c r="A3009" s="2" t="str">
        <x:v>LiN3-Core</x:v>
      </x:c>
      <x:c r="B3009" s="4" t="str">
        <x:v>NaCl</x:v>
      </x:c>
      <x:c r="C3009" s="23" t="n">
        <x:v>0.3262339</x:v>
      </x:c>
      <x:c r="D3009" s="23" t="n">
        <x:v>-0.1972891</x:v>
      </x:c>
      <x:c r="E3009" s="23" t="n">
        <x:f>'Parameters'!$B$2*'Parameters'!$B$3*LN(4*PI()*C3009^2)</x:f>
        <x:v>0.7207391719382824</x:v>
      </x:c>
      <x:c r="F3009" s="23" t="n">
        <x:f>D3009+E3009</x:f>
        <x:v>0.5234500719382824</x:v>
      </x:c>
      <x:c r="G3009" s="23" t="n">
        <x:f>AVERAGE($F$3146:$F$3169)</x:f>
        <x:v>-4.701161883286471</x:v>
      </x:c>
      <x:c r="H3009" s="24" t="n">
        <x:f>F3009-G3009</x:f>
        <x:v>5.224611955224754</x:v>
      </x:c>
    </x:row>
    <x:row r="3010">
      <x:c r="A3010" s="2" t="str">
        <x:v>LiN3-Core</x:v>
      </x:c>
      <x:c r="B3010" s="4" t="str">
        <x:v>NaCl</x:v>
      </x:c>
      <x:c r="C3010" s="23" t="n">
        <x:v>0.3388676</x:v>
      </x:c>
      <x:c r="D3010" s="23" t="n">
        <x:v>-1.509413</x:v>
      </x:c>
      <x:c r="E3010" s="23" t="n">
        <x:f>'Parameters'!$B$2*'Parameters'!$B$3*LN(4*PI()*C3010^2)</x:f>
        <x:v>0.9091144317298055</x:v>
      </x:c>
      <x:c r="F3010" s="23" t="n">
        <x:f>D3010+E3010</x:f>
        <x:v>-0.6002985682701943</x:v>
      </x:c>
      <x:c r="G3010" s="23" t="n">
        <x:f>AVERAGE($F$3146:$F$3169)</x:f>
        <x:v>-4.701161883286471</x:v>
      </x:c>
      <x:c r="H3010" s="24" t="n">
        <x:f>F3010-G3010</x:f>
        <x:v>4.100863315016277</x:v>
      </x:c>
    </x:row>
    <x:row r="3011">
      <x:c r="A3011" s="2" t="str">
        <x:v>LiN3-Core</x:v>
      </x:c>
      <x:c r="B3011" s="4" t="str">
        <x:v>NaCl</x:v>
      </x:c>
      <x:c r="C3011" s="23" t="n">
        <x:v>0.3515013</x:v>
      </x:c>
      <x:c r="D3011" s="23" t="n">
        <x:v>-2.287935</x:v>
      </x:c>
      <x:c r="E3011" s="23" t="n">
        <x:f>'Parameters'!$B$2*'Parameters'!$B$3*LN(4*PI()*C3011^2)</x:f>
        <x:v>1.0905936158141307</x:v>
      </x:c>
      <x:c r="F3011" s="23" t="n">
        <x:f>D3011+E3011</x:f>
        <x:v>-1.1973413841858693</x:v>
      </x:c>
      <x:c r="G3011" s="23" t="n">
        <x:f>AVERAGE($F$3146:$F$3169)</x:f>
        <x:v>-4.701161883286471</x:v>
      </x:c>
      <x:c r="H3011" s="24" t="n">
        <x:f>F3011-G3011</x:f>
        <x:v>3.503820499100602</x:v>
      </x:c>
    </x:row>
    <x:row r="3012">
      <x:c r="A3012" s="2" t="str">
        <x:v>LiN3-Core</x:v>
      </x:c>
      <x:c r="B3012" s="4" t="str">
        <x:v>NaCl</x:v>
      </x:c>
      <x:c r="C3012" s="23" t="n">
        <x:v>0.3641351</x:v>
      </x:c>
      <x:c r="D3012" s="23" t="n">
        <x:v>-2.47222</x:v>
      </x:c>
      <x:c r="E3012" s="23" t="n">
        <x:f>'Parameters'!$B$2*'Parameters'!$B$3*LN(4*PI()*C3012^2)</x:f>
        <x:v>1.2656652110243658</x:v>
      </x:c>
      <x:c r="F3012" s="23" t="n">
        <x:f>D3012+E3012</x:f>
        <x:v>-1.2065547889756343</x:v>
      </x:c>
      <x:c r="G3012" s="23" t="n">
        <x:f>AVERAGE($F$3146:$F$3169)</x:f>
        <x:v>-4.701161883286471</x:v>
      </x:c>
      <x:c r="H3012" s="24" t="n">
        <x:f>F3012-G3012</x:f>
        <x:v>3.494607094310837</x:v>
      </x:c>
    </x:row>
    <x:row r="3013">
      <x:c r="A3013" s="2" t="str">
        <x:v>LiN3-Core</x:v>
      </x:c>
      <x:c r="B3013" s="4" t="str">
        <x:v>NaCl</x:v>
      </x:c>
      <x:c r="C3013" s="23" t="n">
        <x:v>0.3767688</x:v>
      </x:c>
      <x:c r="D3013" s="23" t="n">
        <x:v>-2.294647</x:v>
      </x:c>
      <x:c r="E3013" s="23" t="n">
        <x:f>'Parameters'!$B$2*'Parameters'!$B$3*LN(4*PI()*C3013^2)</x:f>
        <x:v>1.4347637154467252</x:v>
      </x:c>
      <x:c r="F3013" s="23" t="n">
        <x:f>D3013+E3013</x:f>
        <x:v>-0.8598832845532747</x:v>
      </x:c>
      <x:c r="G3013" s="23" t="n">
        <x:f>AVERAGE($F$3146:$F$3169)</x:f>
        <x:v>-4.701161883286471</x:v>
      </x:c>
      <x:c r="H3013" s="24" t="n">
        <x:f>F3013-G3013</x:f>
        <x:v>3.8412785987331968</x:v>
      </x:c>
    </x:row>
    <x:row r="3014">
      <x:c r="A3014" s="2" t="str">
        <x:v>LiN3-Core</x:v>
      </x:c>
      <x:c r="B3014" s="4" t="str">
        <x:v>NaCl</x:v>
      </x:c>
      <x:c r="C3014" s="23" t="n">
        <x:v>0.3894025</x:v>
      </x:c>
      <x:c r="D3014" s="23" t="n">
        <x:v>-1.637775</x:v>
      </x:c>
      <x:c r="E3014" s="23" t="n">
        <x:f>'Parameters'!$B$2*'Parameters'!$B$3*LN(4*PI()*C3014^2)</x:f>
        <x:v>1.5982845279855538</x:v>
      </x:c>
      <x:c r="F3014" s="23" t="n">
        <x:f>D3014+E3014</x:f>
        <x:v>-0.03949047201444622</x:v>
      </x:c>
      <x:c r="G3014" s="23" t="n">
        <x:f>AVERAGE($F$3146:$F$3169)</x:f>
        <x:v>-4.701161883286471</x:v>
      </x:c>
      <x:c r="H3014" s="24" t="n">
        <x:f>F3014-G3014</x:f>
        <x:v>4.6616714112720254</x:v>
      </x:c>
    </x:row>
    <x:row r="3015">
      <x:c r="A3015" s="2" t="str">
        <x:v>LiN3-Core</x:v>
      </x:c>
      <x:c r="B3015" s="4" t="str">
        <x:v>NaCl</x:v>
      </x:c>
      <x:c r="C3015" s="23" t="n">
        <x:v>0.4020362</x:v>
      </x:c>
      <x:c r="D3015" s="23" t="n">
        <x:v>-1.451004</x:v>
      </x:c>
      <x:c r="E3015" s="23" t="n">
        <x:f>'Parameters'!$B$2*'Parameters'!$B$3*LN(4*PI()*C3015^2)</x:f>
        <x:v>1.7565838882463238</x:v>
      </x:c>
      <x:c r="F3015" s="23" t="n">
        <x:f>D3015+E3015</x:f>
        <x:v>0.30557988824632387</x:v>
      </x:c>
      <x:c r="G3015" s="23" t="n">
        <x:f>AVERAGE($F$3146:$F$3169)</x:f>
        <x:v>-4.701161883286471</x:v>
      </x:c>
      <x:c r="H3015" s="24" t="n">
        <x:f>F3015-G3015</x:f>
        <x:v>5.006741771532795</x:v>
      </x:c>
    </x:row>
    <x:row r="3016">
      <x:c r="A3016" s="2" t="str">
        <x:v>LiN3-Core</x:v>
      </x:c>
      <x:c r="B3016" s="4" t="str">
        <x:v>NaCl</x:v>
      </x:c>
      <x:c r="C3016" s="23" t="n">
        <x:v>0.4146699</x:v>
      </x:c>
      <x:c r="D3016" s="23" t="n">
        <x:v>-1.699828</x:v>
      </x:c>
      <x:c r="E3016" s="23" t="n">
        <x:f>'Parameters'!$B$2*'Parameters'!$B$3*LN(4*PI()*C3016^2)</x:f>
        <x:v>1.9099849605397332</x:v>
      </x:c>
      <x:c r="F3016" s="23" t="n">
        <x:f>D3016+E3016</x:f>
        <x:v>0.21015696053973332</x:v>
      </x:c>
      <x:c r="G3016" s="23" t="n">
        <x:f>AVERAGE($F$3146:$F$3169)</x:f>
        <x:v>-4.701161883286471</x:v>
      </x:c>
      <x:c r="H3016" s="24" t="n">
        <x:f>F3016-G3016</x:f>
        <x:v>4.911318843826205</x:v>
      </x:c>
    </x:row>
    <x:row r="3017">
      <x:c r="A3017" s="2" t="str">
        <x:v>LiN3-Core</x:v>
      </x:c>
      <x:c r="B3017" s="4" t="str">
        <x:v>NaCl</x:v>
      </x:c>
      <x:c r="C3017" s="23" t="n">
        <x:v>0.4273037</x:v>
      </x:c>
      <x:c r="D3017" s="23" t="n">
        <x:v>-2.261138</x:v>
      </x:c>
      <x:c r="E3017" s="23" t="n">
        <x:f>'Parameters'!$B$2*'Parameters'!$B$3*LN(4*PI()*C3017^2)</x:f>
        <x:v>2.0587829660721964</x:v>
      </x:c>
      <x:c r="F3017" s="23" t="n">
        <x:f>D3017+E3017</x:f>
        <x:v>-0.20235503392780352</x:v>
      </x:c>
      <x:c r="G3017" s="23" t="n">
        <x:f>AVERAGE($F$3146:$F$3169)</x:f>
        <x:v>-4.701161883286471</x:v>
      </x:c>
      <x:c r="H3017" s="24" t="n">
        <x:f>F3017-G3017</x:f>
        <x:v>4.498806849358668</x:v>
      </x:c>
    </x:row>
    <x:row r="3018">
      <x:c r="A3018" s="2" t="str">
        <x:v>LiN3-Core</x:v>
      </x:c>
      <x:c r="B3018" s="4" t="str">
        <x:v>NaCl</x:v>
      </x:c>
      <x:c r="C3018" s="23" t="n">
        <x:v>0.4399374</x:v>
      </x:c>
      <x:c r="D3018" s="23" t="n">
        <x:v>-2.932919</x:v>
      </x:c>
      <x:c r="E3018" s="23" t="n">
        <x:f>'Parameters'!$B$2*'Parameters'!$B$3*LN(4*PI()*C3018^2)</x:f>
        <x:v>2.203243901540477</x:v>
      </x:c>
      <x:c r="F3018" s="23" t="n">
        <x:f>D3018+E3018</x:f>
        <x:v>-0.729675098459523</x:v>
      </x:c>
      <x:c r="G3018" s="23" t="n">
        <x:f>AVERAGE($F$3146:$F$3169)</x:f>
        <x:v>-4.701161883286471</x:v>
      </x:c>
      <x:c r="H3018" s="24" t="n">
        <x:f>F3018-G3018</x:f>
        <x:v>3.9714867848269484</x:v>
      </x:c>
    </x:row>
    <x:row r="3019">
      <x:c r="A3019" s="2" t="str">
        <x:v>LiN3-Core</x:v>
      </x:c>
      <x:c r="B3019" s="4" t="str">
        <x:v>NaCl</x:v>
      </x:c>
      <x:c r="C3019" s="23" t="n">
        <x:v>0.4525711</x:v>
      </x:c>
      <x:c r="D3019" s="23" t="n">
        <x:v>-3.433882</x:v>
      </x:c>
      <x:c r="E3019" s="23" t="n">
        <x:f>'Parameters'!$B$2*'Parameters'!$B$3*LN(4*PI()*C3019^2)</x:f>
        <x:v>2.343614515154223</x:v>
      </x:c>
      <x:c r="F3019" s="23" t="n">
        <x:f>D3019+E3019</x:f>
        <x:v>-1.0902674848457772</x:v>
      </x:c>
      <x:c r="G3019" s="23" t="n">
        <x:f>AVERAGE($F$3146:$F$3169)</x:f>
        <x:v>-4.701161883286471</x:v>
      </x:c>
      <x:c r="H3019" s="24" t="n">
        <x:f>F3019-G3019</x:f>
        <x:v>3.6108943984406943</x:v>
      </x:c>
    </x:row>
    <x:row r="3020">
      <x:c r="A3020" s="2" t="str">
        <x:v>LiN3-Core</x:v>
      </x:c>
      <x:c r="B3020" s="4" t="str">
        <x:v>NaCl</x:v>
      </x:c>
      <x:c r="C3020" s="23" t="n">
        <x:v>0.4652048</x:v>
      </x:c>
      <x:c r="D3020" s="23" t="n">
        <x:v>-4.485389</x:v>
      </x:c>
      <x:c r="E3020" s="23" t="n">
        <x:f>'Parameters'!$B$2*'Parameters'!$B$3*LN(4*PI()*C3020^2)</x:f>
        <x:v>2.480120073128786</x:v>
      </x:c>
      <x:c r="F3020" s="23" t="n">
        <x:f>D3020+E3020</x:f>
        <x:v>-2.0052689268712136</x:v>
      </x:c>
      <x:c r="G3020" s="23" t="n">
        <x:f>AVERAGE($F$3146:$F$3169)</x:f>
        <x:v>-4.701161883286471</x:v>
      </x:c>
      <x:c r="H3020" s="24" t="n">
        <x:f>F3020-G3020</x:f>
        <x:v>2.695892956415258</x:v>
      </x:c>
    </x:row>
    <x:row r="3021">
      <x:c r="A3021" s="2" t="str">
        <x:v>LiN3-Core</x:v>
      </x:c>
      <x:c r="B3021" s="4" t="str">
        <x:v>NaCl</x:v>
      </x:c>
      <x:c r="C3021" s="23" t="n">
        <x:v>0.4778385</x:v>
      </x:c>
      <x:c r="D3021" s="23" t="n">
        <x:v>-5.409864</x:v>
      </x:c>
      <x:c r="E3021" s="23" t="n">
        <x:f>'Parameters'!$B$2*'Parameters'!$B$3*LN(4*PI()*C3021^2)</x:f>
        <x:v>2.6129677301708556</x:v>
      </x:c>
      <x:c r="F3021" s="23" t="n">
        <x:f>D3021+E3021</x:f>
        <x:v>-2.796896269829144</x:v>
      </x:c>
      <x:c r="G3021" s="23" t="n">
        <x:f>AVERAGE($F$3146:$F$3169)</x:f>
        <x:v>-4.701161883286471</x:v>
      </x:c>
      <x:c r="H3021" s="24" t="n">
        <x:f>F3021-G3021</x:f>
        <x:v>1.9042656134573273</x:v>
      </x:c>
    </x:row>
    <x:row r="3022">
      <x:c r="A3022" s="2" t="str">
        <x:v>LiN3-Core</x:v>
      </x:c>
      <x:c r="B3022" s="4" t="str">
        <x:v>NaCl</x:v>
      </x:c>
      <x:c r="C3022" s="23" t="n">
        <x:v>0.4904722</x:v>
      </x:c>
      <x:c r="D3022" s="23" t="n">
        <x:v>-6.443056</x:v>
      </x:c>
      <x:c r="E3022" s="23" t="n">
        <x:f>'Parameters'!$B$2*'Parameters'!$B$3*LN(4*PI()*C3022^2)</x:f>
        <x:v>2.7423484204745847</x:v>
      </x:c>
      <x:c r="F3022" s="23" t="n">
        <x:f>D3022+E3022</x:f>
        <x:v>-3.7007075795254156</x:v>
      </x:c>
      <x:c r="G3022" s="23" t="n">
        <x:f>AVERAGE($F$3146:$F$3169)</x:f>
        <x:v>-4.701161883286471</x:v>
      </x:c>
      <x:c r="H3022" s="24" t="n">
        <x:f>F3022-G3022</x:f>
        <x:v>1.0004543037610558</x:v>
      </x:c>
    </x:row>
    <x:row r="3023">
      <x:c r="A3023" s="2" t="str">
        <x:v>LiN3-Core</x:v>
      </x:c>
      <x:c r="B3023" s="4" t="str">
        <x:v>NaCl</x:v>
      </x:c>
      <x:c r="C3023" s="23" t="n">
        <x:v>0.503106</x:v>
      </x:c>
      <x:c r="D3023" s="23" t="n">
        <x:v>-7.122051</x:v>
      </x:c>
      <x:c r="E3023" s="23" t="n">
        <x:f>'Parameters'!$B$2*'Parameters'!$B$3*LN(4*PI()*C3023^2)</x:f>
        <x:v>2.8684394936488364</x:v>
      </x:c>
      <x:c r="F3023" s="23" t="n">
        <x:f>D3023+E3023</x:f>
        <x:v>-4.253611506351163</x:v>
      </x:c>
      <x:c r="G3023" s="23" t="n">
        <x:f>AVERAGE($F$3146:$F$3169)</x:f>
        <x:v>-4.701161883286471</x:v>
      </x:c>
      <x:c r="H3023" s="24" t="n">
        <x:f>F3023-G3023</x:f>
        <x:v>0.4475503769353084</x:v>
      </x:c>
    </x:row>
    <x:row r="3024">
      <x:c r="A3024" s="2" t="str">
        <x:v>LiN3-Core</x:v>
      </x:c>
      <x:c r="B3024" s="4" t="str">
        <x:v>NaCl</x:v>
      </x:c>
      <x:c r="C3024" s="23" t="n">
        <x:v>0.5157397</x:v>
      </x:c>
      <x:c r="D3024" s="23" t="n">
        <x:v>-7.408886</x:v>
      </x:c>
      <x:c r="E3024" s="23" t="n">
        <x:f>'Parameters'!$B$2*'Parameters'!$B$3*LN(4*PI()*C3024^2)</x:f>
        <x:v>2.9914021944728817</x:v>
      </x:c>
      <x:c r="F3024" s="23" t="n">
        <x:f>D3024+E3024</x:f>
        <x:v>-4.417483805527118</x:v>
      </x:c>
      <x:c r="G3024" s="23" t="n">
        <x:f>AVERAGE($F$3146:$F$3169)</x:f>
        <x:v>-4.701161883286471</x:v>
      </x:c>
      <x:c r="H3024" s="24" t="n">
        <x:f>F3024-G3024</x:f>
        <x:v>0.2836780777593537</x:v>
      </x:c>
    </x:row>
    <x:row r="3025">
      <x:c r="A3025" s="2" t="str">
        <x:v>LiN3-Core</x:v>
      </x:c>
      <x:c r="B3025" s="4" t="str">
        <x:v>NaCl</x:v>
      </x:c>
      <x:c r="C3025" s="23" t="n">
        <x:v>0.5283734</x:v>
      </x:c>
      <x:c r="D3025" s="23" t="n">
        <x:v>-7.748693</x:v>
      </x:c>
      <x:c r="E3025" s="23" t="n">
        <x:f>'Parameters'!$B$2*'Parameters'!$B$3*LN(4*PI()*C3025^2)</x:f>
        <x:v>3.111388919990936</x:v>
      </x:c>
      <x:c r="F3025" s="23" t="n">
        <x:f>D3025+E3025</x:f>
        <x:v>-4.637304080009065</x:v>
      </x:c>
      <x:c r="G3025" s="23" t="n">
        <x:f>AVERAGE($F$3146:$F$3169)</x:f>
        <x:v>-4.701161883286471</x:v>
      </x:c>
      <x:c r="H3025" s="24" t="n">
        <x:f>F3025-G3025</x:f>
        <x:v>0.06385780327740687</x:v>
      </x:c>
    </x:row>
    <x:row r="3026">
      <x:c r="A3026" s="2" t="str">
        <x:v>LiN3-Core</x:v>
      </x:c>
      <x:c r="B3026" s="4" t="str">
        <x:v>NaCl</x:v>
      </x:c>
      <x:c r="C3026" s="23" t="n">
        <x:v>0.5410071</x:v>
      </x:c>
      <x:c r="D3026" s="23" t="n">
        <x:v>-7.599662</x:v>
      </x:c>
      <x:c r="E3026" s="23" t="n">
        <x:f>'Parameters'!$B$2*'Parameters'!$B$3*LN(4*PI()*C3026^2)</x:f>
        <x:v>3.2285403234377674</x:v>
      </x:c>
      <x:c r="F3026" s="23" t="n">
        <x:f>D3026+E3026</x:f>
        <x:v>-4.3711216765622325</x:v>
      </x:c>
      <x:c r="G3026" s="23" t="n">
        <x:f>AVERAGE($F$3146:$F$3169)</x:f>
        <x:v>-4.701161883286471</x:v>
      </x:c>
      <x:c r="H3026" s="24" t="n">
        <x:f>F3026-G3026</x:f>
        <x:v>0.33004020672423895</x:v>
      </x:c>
    </x:row>
    <x:row r="3027">
      <x:c r="A3027" s="2" t="str">
        <x:v>LiN3-Core</x:v>
      </x:c>
      <x:c r="B3027" s="4" t="str">
        <x:v>NaCl</x:v>
      </x:c>
      <x:c r="C3027" s="23" t="n">
        <x:v>0.5536408</x:v>
      </x:c>
      <x:c r="D3027" s="23" t="n">
        <x:v>-7.412218</x:v>
      </x:c>
      <x:c r="E3027" s="23" t="n">
        <x:f>'Parameters'!$B$2*'Parameters'!$B$3*LN(4*PI()*C3027^2)</x:f>
        <x:v>3.342987316296673</x:v>
      </x:c>
      <x:c r="F3027" s="23" t="n">
        <x:f>D3027+E3027</x:f>
        <x:v>-4.069230683703328</x:v>
      </x:c>
      <x:c r="G3027" s="23" t="n">
        <x:f>AVERAGE($F$3146:$F$3169)</x:f>
        <x:v>-4.701161883286471</x:v>
      </x:c>
      <x:c r="H3027" s="24" t="n">
        <x:f>F3027-G3027</x:f>
        <x:v>0.6319311995831436</x:v>
      </x:c>
    </x:row>
    <x:row r="3028">
      <x:c r="A3028" s="2" t="str">
        <x:v>LiN3-Core</x:v>
      </x:c>
      <x:c r="B3028" s="4" t="str">
        <x:v>NaCl</x:v>
      </x:c>
      <x:c r="C3028" s="23" t="n">
        <x:v>0.5662746</x:v>
      </x:c>
      <x:c r="D3028" s="23" t="n">
        <x:v>-7.321994</x:v>
      </x:c>
      <x:c r="E3028" s="23" t="n">
        <x:f>'Parameters'!$B$2*'Parameters'!$B$3*LN(4*PI()*C3028^2)</x:f>
        <x:v>3.4548528231959437</x:v>
      </x:c>
      <x:c r="F3028" s="23" t="n">
        <x:f>D3028+E3028</x:f>
        <x:v>-3.8671411768040564</x:v>
      </x:c>
      <x:c r="G3028" s="23" t="n">
        <x:f>AVERAGE($F$3146:$F$3169)</x:f>
        <x:v>-4.701161883286471</x:v>
      </x:c>
      <x:c r="H3028" s="24" t="n">
        <x:f>F3028-G3028</x:f>
        <x:v>0.834020706482415</x:v>
      </x:c>
    </x:row>
    <x:row r="3029">
      <x:c r="A3029" s="2" t="str">
        <x:v>LiN3-Core</x:v>
      </x:c>
      <x:c r="B3029" s="4" t="str">
        <x:v>NaCl</x:v>
      </x:c>
      <x:c r="C3029" s="23" t="n">
        <x:v>0.5789083</x:v>
      </x:c>
      <x:c r="D3029" s="23" t="n">
        <x:v>-7.426982</x:v>
      </x:c>
      <x:c r="E3029" s="23" t="n">
        <x:f>'Parameters'!$B$2*'Parameters'!$B$3*LN(4*PI()*C3029^2)</x:f>
        <x:v>3.5642490430021976</x:v>
      </x:c>
      <x:c r="F3029" s="23" t="n">
        <x:f>D3029+E3029</x:f>
        <x:v>-3.862732956997802</x:v>
      </x:c>
      <x:c r="G3029" s="23" t="n">
        <x:f>AVERAGE($F$3146:$F$3169)</x:f>
        <x:v>-4.701161883286471</x:v>
      </x:c>
      <x:c r="H3029" s="24" t="n">
        <x:f>F3029-G3029</x:f>
        <x:v>0.8384289262886693</x:v>
      </x:c>
    </x:row>
    <x:row r="3030">
      <x:c r="A3030" s="2" t="str">
        <x:v>LiN3-Core</x:v>
      </x:c>
      <x:c r="B3030" s="4" t="str">
        <x:v>NaCl</x:v>
      </x:c>
      <x:c r="C3030" s="23" t="n">
        <x:v>0.591542</x:v>
      </x:c>
      <x:c r="D3030" s="23" t="n">
        <x:v>-7.396035</x:v>
      </x:c>
      <x:c r="E3030" s="23" t="n">
        <x:f>'Parameters'!$B$2*'Parameters'!$B$3*LN(4*PI()*C3030^2)</x:f>
        <x:v>3.671283458012041</x:v>
      </x:c>
      <x:c r="F3030" s="23" t="n">
        <x:f>D3030+E3030</x:f>
        <x:v>-3.7247515419879593</x:v>
      </x:c>
      <x:c r="G3030" s="23" t="n">
        <x:f>AVERAGE($F$3146:$F$3169)</x:f>
        <x:v>-4.701161883286471</x:v>
      </x:c>
      <x:c r="H3030" s="24" t="n">
        <x:f>F3030-G3030</x:f>
        <x:v>0.9764103412985121</x:v>
      </x:c>
    </x:row>
    <x:row r="3031">
      <x:c r="A3031" s="2" t="str">
        <x:v>LiN3-Core</x:v>
      </x:c>
      <x:c r="B3031" s="4" t="str">
        <x:v>NaCl</x:v>
      </x:c>
      <x:c r="C3031" s="23" t="n">
        <x:v>0.6041757</x:v>
      </x:c>
      <x:c r="D3031" s="23" t="n">
        <x:v>-7.642247</x:v>
      </x:c>
      <x:c r="E3031" s="23" t="n">
        <x:f>'Parameters'!$B$2*'Parameters'!$B$3*LN(4*PI()*C3031^2)</x:f>
        <x:v>3.7760558969313327</x:v>
      </x:c>
      <x:c r="F3031" s="23" t="n">
        <x:f>D3031+E3031</x:f>
        <x:v>-3.8661911030686675</x:v>
      </x:c>
      <x:c r="G3031" s="23" t="n">
        <x:f>AVERAGE($F$3146:$F$3169)</x:f>
        <x:v>-4.701161883286471</x:v>
      </x:c>
      <x:c r="H3031" s="24" t="n">
        <x:f>F3031-G3031</x:f>
        <x:v>0.8349707802178039</x:v>
      </x:c>
    </x:row>
    <x:row r="3032">
      <x:c r="A3032" s="2" t="str">
        <x:v>LiN3-Core</x:v>
      </x:c>
      <x:c r="B3032" s="4" t="str">
        <x:v>NaCl</x:v>
      </x:c>
      <x:c r="C3032" s="23" t="n">
        <x:v>0.6168094</x:v>
      </x:c>
      <x:c r="D3032" s="23" t="n">
        <x:v>-7.618426</x:v>
      </x:c>
      <x:c r="E3032" s="23" t="n">
        <x:f>'Parameters'!$B$2*'Parameters'!$B$3*LN(4*PI()*C3032^2)</x:f>
        <x:v>3.878659989904522</x:v>
      </x:c>
      <x:c r="F3032" s="23" t="n">
        <x:f>D3032+E3032</x:f>
        <x:v>-3.739766010095478</x:v>
      </x:c>
      <x:c r="G3032" s="23" t="n">
        <x:f>AVERAGE($F$3146:$F$3169)</x:f>
        <x:v>-4.701161883286471</x:v>
      </x:c>
      <x:c r="H3032" s="24" t="n">
        <x:f>F3032-G3032</x:f>
        <x:v>0.9613958731909933</x:v>
      </x:c>
    </x:row>
    <x:row r="3033">
      <x:c r="A3033" s="2" t="str">
        <x:v>LiN3-Core</x:v>
      </x:c>
      <x:c r="B3033" s="4" t="str">
        <x:v>NaCl</x:v>
      </x:c>
      <x:c r="C3033" s="23" t="n">
        <x:v>0.6294432</x:v>
      </x:c>
      <x:c r="D3033" s="23" t="n">
        <x:v>-7.719136</x:v>
      </x:c>
      <x:c r="E3033" s="23" t="n">
        <x:f>'Parameters'!$B$2*'Parameters'!$B$3*LN(4*PI()*C3033^2)</x:f>
        <x:v>3.9791844589671523</x:v>
      </x:c>
      <x:c r="F3033" s="23" t="n">
        <x:f>D3033+E3033</x:f>
        <x:v>-3.7399515410328474</x:v>
      </x:c>
      <x:c r="G3033" s="23" t="n">
        <x:f>AVERAGE($F$3146:$F$3169)</x:f>
        <x:v>-4.701161883286471</x:v>
      </x:c>
      <x:c r="H3033" s="24" t="n">
        <x:f>F3033-G3033</x:f>
        <x:v>0.961210342253624</x:v>
      </x:c>
    </x:row>
    <x:row r="3034">
      <x:c r="A3034" s="2" t="str">
        <x:v>LiN3-Core</x:v>
      </x:c>
      <x:c r="B3034" s="4" t="str">
        <x:v>NaCl</x:v>
      </x:c>
      <x:c r="C3034" s="23" t="n">
        <x:v>0.6420769</x:v>
      </x:c>
      <x:c r="D3034" s="23" t="n">
        <x:v>-7.873341</x:v>
      </x:c>
      <x:c r="E3034" s="23" t="n">
        <x:f>'Parameters'!$B$2*'Parameters'!$B$3*LN(4*PI()*C3034^2)</x:f>
        <x:v>4.077710404699805</x:v>
      </x:c>
      <x:c r="F3034" s="23" t="n">
        <x:f>D3034+E3034</x:f>
        <x:v>-3.795630595300195</x:v>
      </x:c>
      <x:c r="G3034" s="23" t="n">
        <x:f>AVERAGE($F$3146:$F$3169)</x:f>
        <x:v>-4.701161883286471</x:v>
      </x:c>
      <x:c r="H3034" s="24" t="n">
        <x:f>F3034-G3034</x:f>
        <x:v>0.9055312879862765</x:v>
      </x:c>
    </x:row>
    <x:row r="3035">
      <x:c r="A3035" s="2" t="str">
        <x:v>LiN3-Core</x:v>
      </x:c>
      <x:c r="B3035" s="4" t="str">
        <x:v>NaCl</x:v>
      </x:c>
      <x:c r="C3035" s="23" t="n">
        <x:v>0.6547106</x:v>
      </x:c>
      <x:c r="D3035" s="23" t="n">
        <x:v>-7.829418</x:v>
      </x:c>
      <x:c r="E3035" s="23" t="n">
        <x:f>'Parameters'!$B$2*'Parameters'!$B$3*LN(4*PI()*C3035^2)</x:f>
        <x:v>4.174316488016777</x:v>
      </x:c>
      <x:c r="F3035" s="23" t="n">
        <x:f>D3035+E3035</x:f>
        <x:v>-3.655101511983223</x:v>
      </x:c>
      <x:c r="G3035" s="23" t="n">
        <x:f>AVERAGE($F$3146:$F$3169)</x:f>
        <x:v>-4.701161883286471</x:v>
      </x:c>
      <x:c r="H3035" s="24" t="n">
        <x:f>F3035-G3035</x:f>
        <x:v>1.0460603713032484</x:v>
      </x:c>
    </x:row>
    <x:row r="3036">
      <x:c r="A3036" s="2" t="str">
        <x:v>LiN3-Core</x:v>
      </x:c>
      <x:c r="B3036" s="4" t="str">
        <x:v>NaCl</x:v>
      </x:c>
      <x:c r="C3036" s="23" t="n">
        <x:v>0.6673443</x:v>
      </x:c>
      <x:c r="D3036" s="23" t="n">
        <x:v>-8.129388</x:v>
      </x:c>
      <x:c r="E3036" s="23" t="n">
        <x:f>'Parameters'!$B$2*'Parameters'!$B$3*LN(4*PI()*C3036^2)</x:f>
        <x:v>4.269076101406335</x:v>
      </x:c>
      <x:c r="F3036" s="23" t="n">
        <x:f>D3036+E3036</x:f>
        <x:v>-3.8603118985936655</x:v>
      </x:c>
      <x:c r="G3036" s="23" t="n">
        <x:f>AVERAGE($F$3146:$F$3169)</x:f>
        <x:v>-4.701161883286471</x:v>
      </x:c>
      <x:c r="H3036" s="24" t="n">
        <x:f>F3036-G3036</x:f>
        <x:v>0.8408499846928059</x:v>
      </x:c>
    </x:row>
    <x:row r="3037">
      <x:c r="A3037" s="2" t="str">
        <x:v>LiN3-Core</x:v>
      </x:c>
      <x:c r="B3037" s="4" t="str">
        <x:v>NaCl</x:v>
      </x:c>
      <x:c r="C3037" s="23" t="n">
        <x:v>0.679978</x:v>
      </x:c>
      <x:c r="D3037" s="23" t="n">
        <x:v>-8.170673</x:v>
      </x:c>
      <x:c r="E3037" s="23" t="n">
        <x:f>'Parameters'!$B$2*'Parameters'!$B$3*LN(4*PI()*C3037^2)</x:f>
        <x:v>4.362058507696356</x:v>
      </x:c>
      <x:c r="F3037" s="23" t="n">
        <x:f>D3037+E3037</x:f>
        <x:v>-3.8086144923036445</x:v>
      </x:c>
      <x:c r="G3037" s="23" t="n">
        <x:f>AVERAGE($F$3146:$F$3169)</x:f>
        <x:v>-4.701161883286471</x:v>
      </x:c>
      <x:c r="H3037" s="24" t="n">
        <x:f>F3037-G3037</x:f>
        <x:v>0.892547390982827</x:v>
      </x:c>
    </x:row>
    <x:row r="3038">
      <x:c r="A3038" s="2" t="str">
        <x:v>LiN3-Core</x:v>
      </x:c>
      <x:c r="B3038" s="4" t="str">
        <x:v>NaCl</x:v>
      </x:c>
      <x:c r="C3038" s="23" t="n">
        <x:v>0.6926118</x:v>
      </x:c>
      <x:c r="D3038" s="23" t="n">
        <x:v>-8.475105</x:v>
      </x:c>
      <x:c r="E3038" s="23" t="n">
        <x:f>'Parameters'!$B$2*'Parameters'!$B$3*LN(4*PI()*C3038^2)</x:f>
        <x:v>4.4533298600120945</x:v>
      </x:c>
      <x:c r="F3038" s="23" t="n">
        <x:f>D3038+E3038</x:f>
        <x:v>-4.021775139987905</x:v>
      </x:c>
      <x:c r="G3038" s="23" t="n">
        <x:f>AVERAGE($F$3146:$F$3169)</x:f>
        <x:v>-4.701161883286471</x:v>
      </x:c>
      <x:c r="H3038" s="24" t="n">
        <x:f>F3038-G3038</x:f>
        <x:v>0.6793867432985667</x:v>
      </x:c>
    </x:row>
    <x:row r="3039">
      <x:c r="A3039" s="2" t="str">
        <x:v>LiN3-Core</x:v>
      </x:c>
      <x:c r="B3039" s="4" t="str">
        <x:v>NaCl</x:v>
      </x:c>
      <x:c r="C3039" s="23" t="n">
        <x:v>0.7052455</x:v>
      </x:c>
      <x:c r="D3039" s="23" t="n">
        <x:v>-8.568819</x:v>
      </x:c>
      <x:c r="E3039" s="23" t="n">
        <x:f>'Parameters'!$B$2*'Parameters'!$B$3*LN(4*PI()*C3039^2)</x:f>
        <x:v>4.5429506022753</x:v>
      </x:c>
      <x:c r="F3039" s="23" t="n">
        <x:f>D3039+E3039</x:f>
        <x:v>-4.025868397724699</x:v>
      </x:c>
      <x:c r="G3039" s="23" t="n">
        <x:f>AVERAGE($F$3146:$F$3169)</x:f>
        <x:v>-4.701161883286471</x:v>
      </x:c>
      <x:c r="H3039" s="24" t="n">
        <x:f>F3039-G3039</x:f>
        <x:v>0.675293485561772</x:v>
      </x:c>
    </x:row>
    <x:row r="3040">
      <x:c r="A3040" s="2" t="str">
        <x:v>LiN3-Core</x:v>
      </x:c>
      <x:c r="B3040" s="4" t="str">
        <x:v>NaCl</x:v>
      </x:c>
      <x:c r="C3040" s="23" t="n">
        <x:v>0.7178792</x:v>
      </x:c>
      <x:c r="D3040" s="23" t="n">
        <x:v>-8.765501</x:v>
      </x:c>
      <x:c r="E3040" s="23" t="n">
        <x:f>'Parameters'!$B$2*'Parameters'!$B$3*LN(4*PI()*C3040^2)</x:f>
        <x:v>4.6309800551730005</x:v>
      </x:c>
      <x:c r="F3040" s="23" t="n">
        <x:f>D3040+E3040</x:f>
        <x:v>-4.134520944827</x:v>
      </x:c>
      <x:c r="G3040" s="23" t="n">
        <x:f>AVERAGE($F$3146:$F$3169)</x:f>
        <x:v>-4.701161883286471</x:v>
      </x:c>
      <x:c r="H3040" s="24" t="n">
        <x:f>F3040-G3040</x:f>
        <x:v>0.5666409384594715</x:v>
      </x:c>
    </x:row>
    <x:row r="3041">
      <x:c r="A3041" s="2" t="str">
        <x:v>LiN3-Core</x:v>
      </x:c>
      <x:c r="B3041" s="4" t="str">
        <x:v>NaCl</x:v>
      </x:c>
      <x:c r="C3041" s="23" t="n">
        <x:v>0.7305129</x:v>
      </x:c>
      <x:c r="D3041" s="23" t="n">
        <x:v>-9.025532</x:v>
      </x:c>
      <x:c r="E3041" s="23" t="n">
        <x:f>'Parameters'!$B$2*'Parameters'!$B$3*LN(4*PI()*C3041^2)</x:f>
        <x:v>4.717473743530632</x:v>
      </x:c>
      <x:c r="F3041" s="23" t="n">
        <x:f>D3041+E3041</x:f>
        <x:v>-4.308058256469368</x:v>
      </x:c>
      <x:c r="G3041" s="23" t="n">
        <x:f>AVERAGE($F$3146:$F$3169)</x:f>
        <x:v>-4.701161883286471</x:v>
      </x:c>
      <x:c r="H3041" s="24" t="n">
        <x:f>F3041-G3041</x:f>
        <x:v>0.3931036268171031</x:v>
      </x:c>
    </x:row>
    <x:row r="3042">
      <x:c r="A3042" s="2" t="str">
        <x:v>LiN3-Core</x:v>
      </x:c>
      <x:c r="B3042" s="4" t="str">
        <x:v>NaCl</x:v>
      </x:c>
      <x:c r="C3042" s="23" t="n">
        <x:v>0.7431466</x:v>
      </x:c>
      <x:c r="D3042" s="23" t="n">
        <x:v>-9.273134</x:v>
      </x:c>
      <x:c r="E3042" s="23" t="n">
        <x:f>'Parameters'!$B$2*'Parameters'!$B$3*LN(4*PI()*C3042^2)</x:f>
        <x:v>4.802484335796388</x:v>
      </x:c>
      <x:c r="F3042" s="23" t="n">
        <x:f>D3042+E3042</x:f>
        <x:v>-4.470649664203613</x:v>
      </x:c>
      <x:c r="G3042" s="23" t="n">
        <x:f>AVERAGE($F$3146:$F$3169)</x:f>
        <x:v>-4.701161883286471</x:v>
      </x:c>
      <x:c r="H3042" s="24" t="n">
        <x:f>F3042-G3042</x:f>
        <x:v>0.23051221908285857</x:v>
      </x:c>
    </x:row>
    <x:row r="3043">
      <x:c r="A3043" s="2" t="str">
        <x:v>LiN3-Core</x:v>
      </x:c>
      <x:c r="B3043" s="4" t="str">
        <x:v>NaCl</x:v>
      </x:c>
      <x:c r="C3043" s="23" t="n">
        <x:v>0.7557804</x:v>
      </x:c>
      <x:c r="D3043" s="23" t="n">
        <x:v>-9.403972</x:v>
      </x:c>
      <x:c r="E3043" s="23" t="n">
        <x:f>'Parameters'!$B$2*'Parameters'!$B$3*LN(4*PI()*C3043^2)</x:f>
        <x:v>4.886062492663893</x:v>
      </x:c>
      <x:c r="F3043" s="23" t="n">
        <x:f>D3043+E3043</x:f>
        <x:v>-4.517909507336107</x:v>
      </x:c>
      <x:c r="G3043" s="23" t="n">
        <x:f>AVERAGE($F$3146:$F$3169)</x:f>
        <x:v>-4.701161883286471</x:v>
      </x:c>
      <x:c r="H3043" s="24" t="n">
        <x:f>F3043-G3043</x:f>
        <x:v>0.1832523759503646</x:v>
      </x:c>
    </x:row>
    <x:row r="3044">
      <x:c r="A3044" s="2" t="str">
        <x:v>LiN3-Core</x:v>
      </x:c>
      <x:c r="B3044" s="4" t="str">
        <x:v>NaCl</x:v>
      </x:c>
      <x:c r="C3044" s="23" t="n">
        <x:v>0.7684141</x:v>
      </x:c>
      <x:c r="D3044" s="23" t="n">
        <x:v>-9.500788</x:v>
      </x:c>
      <x:c r="E3044" s="23" t="n">
        <x:f>'Parameters'!$B$2*'Parameters'!$B$3*LN(4*PI()*C3044^2)</x:f>
        <x:v>4.968254408944341</x:v>
      </x:c>
      <x:c r="F3044" s="23" t="n">
        <x:f>D3044+E3044</x:f>
        <x:v>-4.5325335910556594</x:v>
      </x:c>
      <x:c r="G3044" s="23" t="n">
        <x:f>AVERAGE($F$3146:$F$3169)</x:f>
        <x:v>-4.701161883286471</x:v>
      </x:c>
      <x:c r="H3044" s="24" t="n">
        <x:f>F3044-G3044</x:f>
        <x:v>0.168628292230812</x:v>
      </x:c>
    </x:row>
    <x:row r="3045">
      <x:c r="A3045" s="2" t="str">
        <x:v>LiN3-Core</x:v>
      </x:c>
      <x:c r="B3045" s="4" t="str">
        <x:v>NaCl</x:v>
      </x:c>
      <x:c r="C3045" s="23" t="n">
        <x:v>0.7810478</x:v>
      </x:c>
      <x:c r="D3045" s="23" t="n">
        <x:v>-9.71577</x:v>
      </x:c>
      <x:c r="E3045" s="23" t="n">
        <x:f>'Parameters'!$B$2*'Parameters'!$B$3*LN(4*PI()*C3045^2)</x:f>
        <x:v>5.0491059445169855</x:v>
      </x:c>
      <x:c r="F3045" s="23" t="n">
        <x:f>D3045+E3045</x:f>
        <x:v>-4.666664055483014</x:v>
      </x:c>
      <x:c r="G3045" s="23" t="n">
        <x:f>AVERAGE($F$3146:$F$3169)</x:f>
        <x:v>-4.701161883286471</x:v>
      </x:c>
      <x:c r="H3045" s="24" t="n">
        <x:f>F3045-G3045</x:f>
        <x:v>0.03449782780345778</x:v>
      </x:c>
    </x:row>
    <x:row r="3046">
      <x:c r="A3046" s="2" t="str">
        <x:v>LiN3-Core</x:v>
      </x:c>
      <x:c r="B3046" s="4" t="str">
        <x:v>NaCl</x:v>
      </x:c>
      <x:c r="C3046" s="23" t="n">
        <x:v>0.7936815</x:v>
      </x:c>
      <x:c r="D3046" s="23" t="n">
        <x:v>-9.798997</x:v>
      </x:c>
      <x:c r="E3046" s="23" t="n">
        <x:f>'Parameters'!$B$2*'Parameters'!$B$3*LN(4*PI()*C3046^2)</x:f>
        <x:v>5.128660116491485</x:v>
      </x:c>
      <x:c r="F3046" s="23" t="n">
        <x:f>D3046+E3046</x:f>
        <x:v>-4.670336883508515</x:v>
      </x:c>
      <x:c r="G3046" s="23" t="n">
        <x:f>AVERAGE($F$3146:$F$3169)</x:f>
        <x:v>-4.701161883286471</x:v>
      </x:c>
      <x:c r="H3046" s="24" t="n">
        <x:f>F3046-G3046</x:f>
        <x:v>0.030824999777956386</x:v>
      </x:c>
    </x:row>
    <x:row r="3047">
      <x:c r="A3047" s="2" t="str">
        <x:v>LiN3-Core</x:v>
      </x:c>
      <x:c r="B3047" s="4" t="str">
        <x:v>NaCl</x:v>
      </x:c>
      <x:c r="C3047" s="23" t="n">
        <x:v>0.8063152</x:v>
      </x:c>
      <x:c r="D3047" s="23" t="n">
        <x:v>-9.97357</x:v>
      </x:c>
      <x:c r="E3047" s="23" t="n">
        <x:f>'Parameters'!$B$2*'Parameters'!$B$3*LN(4*PI()*C3047^2)</x:f>
        <x:v>5.206957903804976</x:v>
      </x:c>
      <x:c r="F3047" s="23" t="n">
        <x:f>D3047+E3047</x:f>
        <x:v>-4.766612096195025</x:v>
      </x:c>
      <x:c r="G3047" s="23" t="n">
        <x:f>AVERAGE($F$3146:$F$3169)</x:f>
        <x:v>-4.701161883286471</x:v>
      </x:c>
      <x:c r="H3047" s="24" t="n">
        <x:f>F3047-G3047</x:f>
        <x:v>-0.06545021290855324</x:v>
      </x:c>
    </x:row>
    <x:row r="3048">
      <x:c r="A3048" s="2" t="str">
        <x:v>LiN3-Core</x:v>
      </x:c>
      <x:c r="B3048" s="4" t="str">
        <x:v>NaCl</x:v>
      </x:c>
      <x:c r="C3048" s="23" t="n">
        <x:v>0.818949</x:v>
      </x:c>
      <x:c r="D3048" s="23" t="n">
        <x:v>-9.819973</x:v>
      </x:c>
      <x:c r="E3048" s="23" t="n">
        <x:f>'Parameters'!$B$2*'Parameters'!$B$3*LN(4*PI()*C3048^2)</x:f>
        <x:v>5.284038979381861</x:v>
      </x:c>
      <x:c r="F3048" s="23" t="n">
        <x:f>D3048+E3048</x:f>
        <x:v>-4.535934020618138</x:v>
      </x:c>
      <x:c r="G3048" s="23" t="n">
        <x:f>AVERAGE($F$3146:$F$3169)</x:f>
        <x:v>-4.701161883286471</x:v>
      </x:c>
      <x:c r="H3048" s="24" t="n">
        <x:f>F3048-G3048</x:f>
        <x:v>0.165227862668333</x:v>
      </x:c>
    </x:row>
    <x:row r="3049">
      <x:c r="A3049" s="2" t="str">
        <x:v>LiN3-Core</x:v>
      </x:c>
      <x:c r="B3049" s="4" t="str">
        <x:v>NaCl</x:v>
      </x:c>
      <x:c r="C3049" s="23" t="n">
        <x:v>0.8315827</x:v>
      </x:c>
      <x:c r="D3049" s="23" t="n">
        <x:v>-9.925059</x:v>
      </x:c>
      <x:c r="E3049" s="23" t="n">
        <x:f>'Parameters'!$B$2*'Parameters'!$B$3*LN(4*PI()*C3049^2)</x:f>
        <x:v>5.359939396394101</x:v>
      </x:c>
      <x:c r="F3049" s="23" t="n">
        <x:f>D3049+E3049</x:f>
        <x:v>-4.565119603605898</x:v>
      </x:c>
      <x:c r="G3049" s="23" t="n">
        <x:f>AVERAGE($F$3146:$F$3169)</x:f>
        <x:v>-4.701161883286471</x:v>
      </x:c>
      <x:c r="H3049" s="24" t="n">
        <x:f>F3049-G3049</x:f>
        <x:v>0.13604227968057359</x:v>
      </x:c>
    </x:row>
    <x:row r="3050">
      <x:c r="A3050" s="2" t="str">
        <x:v>LiN3-Core</x:v>
      </x:c>
      <x:c r="B3050" s="4" t="str">
        <x:v>NaCl</x:v>
      </x:c>
      <x:c r="C3050" s="23" t="n">
        <x:v>0.8442164</x:v>
      </x:c>
      <x:c r="D3050" s="23" t="n">
        <x:v>-9.903841</x:v>
      </x:c>
      <x:c r="E3050" s="23" t="n">
        <x:f>'Parameters'!$B$2*'Parameters'!$B$3*LN(4*PI()*C3050^2)</x:f>
        <x:v>5.434695356757234</x:v>
      </x:c>
      <x:c r="F3050" s="23" t="n">
        <x:f>D3050+E3050</x:f>
        <x:v>-4.469145643242766</x:v>
      </x:c>
      <x:c r="G3050" s="23" t="n">
        <x:f>AVERAGE($F$3146:$F$3169)</x:f>
        <x:v>-4.701161883286471</x:v>
      </x:c>
      <x:c r="H3050" s="24" t="n">
        <x:f>F3050-G3050</x:f>
        <x:v>0.23201624004370558</x:v>
      </x:c>
    </x:row>
    <x:row r="3051">
      <x:c r="A3051" s="2" t="str">
        <x:v>LiN3-Core</x:v>
      </x:c>
      <x:c r="B3051" s="4" t="str">
        <x:v>NaCl</x:v>
      </x:c>
      <x:c r="C3051" s="23" t="n">
        <x:v>0.8568501</x:v>
      </x:c>
      <x:c r="D3051" s="23" t="n">
        <x:v>-10.04449</x:v>
      </x:c>
      <x:c r="E3051" s="23" t="n">
        <x:f>'Parameters'!$B$2*'Parameters'!$B$3*LN(4*PI()*C3051^2)</x:f>
        <x:v>5.508340861568082</x:v>
      </x:c>
      <x:c r="F3051" s="23" t="n">
        <x:f>D3051+E3051</x:f>
        <x:v>-4.5361491384319175</x:v>
      </x:c>
      <x:c r="G3051" s="23" t="n">
        <x:f>AVERAGE($F$3146:$F$3169)</x:f>
        <x:v>-4.701161883286471</x:v>
      </x:c>
      <x:c r="H3051" s="24" t="n">
        <x:f>F3051-G3051</x:f>
        <x:v>0.16501274485455397</x:v>
      </x:c>
    </x:row>
    <x:row r="3052">
      <x:c r="A3052" s="2" t="str">
        <x:v>LiN3-Core</x:v>
      </x:c>
      <x:c r="B3052" s="4" t="str">
        <x:v>NaCl</x:v>
      </x:c>
      <x:c r="C3052" s="23" t="n">
        <x:v>0.8694838</x:v>
      </x:c>
      <x:c r="D3052" s="23" t="n">
        <x:v>-10.18656</x:v>
      </x:c>
      <x:c r="E3052" s="23" t="n">
        <x:f>'Parameters'!$B$2*'Parameters'!$B$3*LN(4*PI()*C3052^2)</x:f>
        <x:v>5.5809084188483595</x:v>
      </x:c>
      <x:c r="F3052" s="23" t="n">
        <x:f>D3052+E3052</x:f>
        <x:v>-4.6056515811516405</x:v>
      </x:c>
      <x:c r="G3052" s="23" t="n">
        <x:f>AVERAGE($F$3146:$F$3169)</x:f>
        <x:v>-4.701161883286471</x:v>
      </x:c>
      <x:c r="H3052" s="24" t="n">
        <x:f>F3052-G3052</x:f>
        <x:v>0.09551030213483092</x:v>
      </x:c>
    </x:row>
    <x:row r="3053">
      <x:c r="A3053" s="2" t="str">
        <x:v>LiN3-Core</x:v>
      </x:c>
      <x:c r="B3053" s="4" t="str">
        <x:v>NaCl</x:v>
      </x:c>
      <x:c r="C3053" s="23" t="n">
        <x:v>0.8821176</x:v>
      </x:c>
      <x:c r="D3053" s="23" t="n">
        <x:v>-10.23808</x:v>
      </x:c>
      <x:c r="E3053" s="23" t="n">
        <x:f>'Parameters'!$B$2*'Parameters'!$B$3*LN(4*PI()*C3053^2)</x:f>
        <x:v>5.652429691751548</x:v>
      </x:c>
      <x:c r="F3053" s="23" t="n">
        <x:f>D3053+E3053</x:f>
        <x:v>-4.585650308248452</x:v>
      </x:c>
      <x:c r="G3053" s="23" t="n">
        <x:f>AVERAGE($F$3146:$F$3169)</x:f>
        <x:v>-4.701161883286471</x:v>
      </x:c>
      <x:c r="H3053" s="24" t="n">
        <x:f>F3053-G3053</x:f>
        <x:v>0.11551157503801956</x:v>
      </x:c>
    </x:row>
    <x:row r="3054">
      <x:c r="A3054" s="2" t="str">
        <x:v>LiN3-Core</x:v>
      </x:c>
      <x:c r="B3054" s="4" t="str">
        <x:v>NaCl</x:v>
      </x:c>
      <x:c r="C3054" s="23" t="n">
        <x:v>0.8947513</x:v>
      </x:c>
      <x:c r="D3054" s="23" t="n">
        <x:v>-10.31077</x:v>
      </x:c>
      <x:c r="E3054" s="23" t="n">
        <x:f>'Parameters'!$B$2*'Parameters'!$B$3*LN(4*PI()*C3054^2)</x:f>
        <x:v>5.722933322472742</x:v>
      </x:c>
      <x:c r="F3054" s="23" t="n">
        <x:f>D3054+E3054</x:f>
        <x:v>-4.587836677527258</x:v>
      </x:c>
      <x:c r="G3054" s="23" t="n">
        <x:f>AVERAGE($F$3146:$F$3169)</x:f>
        <x:v>-4.701161883286471</x:v>
      </x:c>
      <x:c r="H3054" s="24" t="n">
        <x:f>F3054-G3054</x:f>
        <x:v>0.11332520575921379</x:v>
      </x:c>
    </x:row>
    <x:row r="3055">
      <x:c r="A3055" s="2" t="str">
        <x:v>LiN3-Core</x:v>
      </x:c>
      <x:c r="B3055" s="4" t="str">
        <x:v>NaCl</x:v>
      </x:c>
      <x:c r="C3055" s="23" t="n">
        <x:v>0.907385</x:v>
      </x:c>
      <x:c r="D3055" s="23" t="n">
        <x:v>-10.36065</x:v>
      </x:c>
      <x:c r="E3055" s="23" t="n">
        <x:f>'Parameters'!$B$2*'Parameters'!$B$3*LN(4*PI()*C3055^2)</x:f>
        <x:v>5.79244840298089</x:v>
      </x:c>
      <x:c r="F3055" s="23" t="n">
        <x:f>D3055+E3055</x:f>
        <x:v>-4.56820159701911</x:v>
      </x:c>
      <x:c r="G3055" s="23" t="n">
        <x:f>AVERAGE($F$3146:$F$3169)</x:f>
        <x:v>-4.701161883286471</x:v>
      </x:c>
      <x:c r="H3055" s="24" t="n">
        <x:f>F3055-G3055</x:f>
        <x:v>0.13296028626736156</x:v>
      </x:c>
    </x:row>
    <x:row r="3056">
      <x:c r="A3056" s="2" t="str">
        <x:v>LiN3-Core</x:v>
      </x:c>
      <x:c r="B3056" s="4" t="str">
        <x:v>NaCl</x:v>
      </x:c>
      <x:c r="C3056" s="23" t="n">
        <x:v>0.9200187</x:v>
      </x:c>
      <x:c r="D3056" s="23" t="n">
        <x:v>-10.60664</x:v>
      </x:c>
      <x:c r="E3056" s="23" t="n">
        <x:f>'Parameters'!$B$2*'Parameters'!$B$3*LN(4*PI()*C3056^2)</x:f>
        <x:v>5.861002271848702</x:v>
      </x:c>
      <x:c r="F3056" s="23" t="n">
        <x:f>D3056+E3056</x:f>
        <x:v>-4.745637728151299</x:v>
      </x:c>
      <x:c r="G3056" s="23" t="n">
        <x:f>AVERAGE($F$3146:$F$3169)</x:f>
        <x:v>-4.701161883286471</x:v>
      </x:c>
      <x:c r="H3056" s="24" t="n">
        <x:f>F3056-G3056</x:f>
        <x:v>-0.04447584486482725</x:v>
      </x:c>
    </x:row>
    <x:row r="3057">
      <x:c r="A3057" s="2" t="str">
        <x:v>LiN3-Core</x:v>
      </x:c>
      <x:c r="B3057" s="4" t="str">
        <x:v>NaCl</x:v>
      </x:c>
      <x:c r="C3057" s="23" t="n">
        <x:v>0.9326524</x:v>
      </x:c>
      <x:c r="D3057" s="23" t="n">
        <x:v>-10.55408</x:v>
      </x:c>
      <x:c r="E3057" s="23" t="n">
        <x:f>'Parameters'!$B$2*'Parameters'!$B$3*LN(4*PI()*C3057^2)</x:f>
        <x:v>5.92862114901798</x:v>
      </x:c>
      <x:c r="F3057" s="23" t="n">
        <x:f>D3057+E3057</x:f>
        <x:v>-4.625458850982021</x:v>
      </x:c>
      <x:c r="G3057" s="23" t="n">
        <x:f>AVERAGE($F$3146:$F$3169)</x:f>
        <x:v>-4.701161883286471</x:v>
      </x:c>
      <x:c r="H3057" s="24" t="n">
        <x:f>F3057-G3057</x:f>
        <x:v>0.07570303230445052</x:v>
      </x:c>
    </x:row>
    <x:row r="3058">
      <x:c r="A3058" s="2" t="str">
        <x:v>LiN3-Core</x:v>
      </x:c>
      <x:c r="B3058" s="4" t="str">
        <x:v>NaCl</x:v>
      </x:c>
      <x:c r="C3058" s="23" t="n">
        <x:v>0.9452861</x:v>
      </x:c>
      <x:c r="D3058" s="23" t="n">
        <x:v>-10.70624</x:v>
      </x:c>
      <x:c r="E3058" s="23" t="n">
        <x:f>'Parameters'!$B$2*'Parameters'!$B$3*LN(4*PI()*C3058^2)</x:f>
        <x:v>5.995330196008366</x:v>
      </x:c>
      <x:c r="F3058" s="23" t="n">
        <x:f>D3058+E3058</x:f>
        <x:v>-4.710909803991633</x:v>
      </x:c>
      <x:c r="G3058" s="23" t="n">
        <x:f>AVERAGE($F$3146:$F$3169)</x:f>
        <x:v>-4.701161883286471</x:v>
      </x:c>
      <x:c r="H3058" s="24" t="n">
        <x:f>F3058-G3058</x:f>
        <x:v>-0.009747920705161839</x:v>
      </x:c>
    </x:row>
    <x:row r="3059">
      <x:c r="A3059" s="2" t="str">
        <x:v>LiN3-Core</x:v>
      </x:c>
      <x:c r="B3059" s="4" t="str">
        <x:v>NaCl</x:v>
      </x:c>
      <x:c r="C3059" s="23" t="n">
        <x:v>0.9579199</x:v>
      </x:c>
      <x:c r="D3059" s="23" t="n">
        <x:v>-10.75801</x:v>
      </x:c>
      <x:c r="E3059" s="23" t="n">
        <x:f>'Parameters'!$B$2*'Parameters'!$B$3*LN(4*PI()*C3059^2)</x:f>
        <x:v>6.061154089699884</x:v>
      </x:c>
      <x:c r="F3059" s="23" t="n">
        <x:f>D3059+E3059</x:f>
        <x:v>-4.696855910300116</x:v>
      </x:c>
      <x:c r="G3059" s="23" t="n">
        <x:f>AVERAGE($F$3146:$F$3169)</x:f>
        <x:v>-4.701161883286471</x:v>
      </x:c>
      <x:c r="H3059" s="24" t="n">
        <x:f>F3059-G3059</x:f>
        <x:v>0.0043059729863550444</x:v>
      </x:c>
    </x:row>
    <x:row r="3060">
      <x:c r="A3060" s="2" t="str">
        <x:v>LiN3-Core</x:v>
      </x:c>
      <x:c r="B3060" s="4" t="str">
        <x:v>NaCl</x:v>
      </x:c>
      <x:c r="C3060" s="23" t="n">
        <x:v>0.9705536</x:v>
      </x:c>
      <x:c r="D3060" s="23" t="n">
        <x:v>-10.77869</x:v>
      </x:c>
      <x:c r="E3060" s="23" t="n">
        <x:f>'Parameters'!$B$2*'Parameters'!$B$3*LN(4*PI()*C3060^2)</x:f>
        <x:v>6.126114997841085</x:v>
      </x:c>
      <x:c r="F3060" s="23" t="n">
        <x:f>D3060+E3060</x:f>
        <x:v>-4.6525750021589145</x:v>
      </x:c>
      <x:c r="G3060" s="23" t="n">
        <x:f>AVERAGE($F$3146:$F$3169)</x:f>
        <x:v>-4.701161883286471</x:v>
      </x:c>
      <x:c r="H3060" s="24" t="n">
        <x:f>F3060-G3060</x:f>
        <x:v>0.048586881127556936</x:v>
      </x:c>
    </x:row>
    <x:row r="3061">
      <x:c r="A3061" s="2" t="str">
        <x:v>LiN3-Core</x:v>
      </x:c>
      <x:c r="B3061" s="4" t="str">
        <x:v>NaCl</x:v>
      </x:c>
      <x:c r="C3061" s="23" t="n">
        <x:v>0.9831873</x:v>
      </x:c>
      <x:c r="D3061" s="23" t="n">
        <x:v>-10.91425</x:v>
      </x:c>
      <x:c r="E3061" s="23" t="n">
        <x:f>'Parameters'!$B$2*'Parameters'!$B$3*LN(4*PI()*C3061^2)</x:f>
        <x:v>6.190235753990865</x:v>
      </x:c>
      <x:c r="F3061" s="23" t="n">
        <x:f>D3061+E3061</x:f>
        <x:v>-4.724014246009134</x:v>
      </x:c>
      <x:c r="G3061" s="23" t="n">
        <x:f>AVERAGE($F$3146:$F$3169)</x:f>
        <x:v>-4.701161883286471</x:v>
      </x:c>
      <x:c r="H3061" s="24" t="n">
        <x:f>F3061-G3061</x:f>
        <x:v>-0.02285236272266289</x:v>
      </x:c>
    </x:row>
    <x:row r="3062">
      <x:c r="A3062" s="2" t="str">
        <x:v>LiN3-Core</x:v>
      </x:c>
      <x:c r="B3062" s="4" t="str">
        <x:v>NaCl</x:v>
      </x:c>
      <x:c r="C3062" s="23" t="n">
        <x:v>0.995821</x:v>
      </x:c>
      <x:c r="D3062" s="23" t="n">
        <x:v>-10.99514</x:v>
      </x:c>
      <x:c r="E3062" s="23" t="n">
        <x:f>'Parameters'!$B$2*'Parameters'!$B$3*LN(4*PI()*C3062^2)</x:f>
        <x:v>6.253537812665492</x:v>
      </x:c>
      <x:c r="F3062" s="23" t="n">
        <x:f>D3062+E3062</x:f>
        <x:v>-4.741602187334507</x:v>
      </x:c>
      <x:c r="G3062" s="23" t="n">
        <x:f>AVERAGE($F$3146:$F$3169)</x:f>
        <x:v>-4.701161883286471</x:v>
      </x:c>
      <x:c r="H3062" s="24" t="n">
        <x:f>F3062-G3062</x:f>
        <x:v>-0.04044030404803589</x:v>
      </x:c>
    </x:row>
    <x:row r="3063">
      <x:c r="A3063" s="2" t="str">
        <x:v>LiN3-Core</x:v>
      </x:c>
      <x:c r="B3063" s="4" t="str">
        <x:v>NaCl</x:v>
      </x:c>
      <x:c r="C3063" s="23" t="n">
        <x:v>1.008455</x:v>
      </x:c>
      <x:c r="D3063" s="23" t="n">
        <x:v>-11.15068</x:v>
      </x:c>
      <x:c r="E3063" s="23" t="n">
        <x:f>'Parameters'!$B$2*'Parameters'!$B$3*LN(4*PI()*C3063^2)</x:f>
        <x:v>6.316043291826457</x:v>
      </x:c>
      <x:c r="F3063" s="23" t="n">
        <x:f>D3063+E3063</x:f>
        <x:v>-4.834636708173543</x:v>
      </x:c>
      <x:c r="G3063" s="23" t="n">
        <x:f>AVERAGE($F$3146:$F$3169)</x:f>
        <x:v>-4.701161883286471</x:v>
      </x:c>
      <x:c r="H3063" s="24" t="n">
        <x:f>F3063-G3063</x:f>
        <x:v>-0.1334748248870712</x:v>
      </x:c>
    </x:row>
    <x:row r="3064">
      <x:c r="A3064" s="2" t="str">
        <x:v>LiN3-Core</x:v>
      </x:c>
      <x:c r="B3064" s="4" t="str">
        <x:v>NaCl</x:v>
      </x:c>
      <x:c r="C3064" s="23" t="n">
        <x:v>1.021088</x:v>
      </x:c>
      <x:c r="D3064" s="23" t="n">
        <x:v>-11.27219</x:v>
      </x:c>
      <x:c r="E3064" s="23" t="n">
        <x:f>'Parameters'!$B$2*'Parameters'!$B$3*LN(4*PI()*C3064^2)</x:f>
        <x:v>6.3777656965645555</x:v>
      </x:c>
      <x:c r="F3064" s="23" t="n">
        <x:f>D3064+E3064</x:f>
        <x:v>-4.894424303435445</x:v>
      </x:c>
      <x:c r="G3064" s="23" t="n">
        <x:f>AVERAGE($F$3146:$F$3169)</x:f>
        <x:v>-4.701161883286471</x:v>
      </x:c>
      <x:c r="H3064" s="24" t="n">
        <x:f>F3064-G3064</x:f>
        <x:v>-0.1932624201489732</x:v>
      </x:c>
    </x:row>
    <x:row r="3065">
      <x:c r="A3065" s="2" t="str">
        <x:v>LiN3-Core</x:v>
      </x:c>
      <x:c r="B3065" s="4" t="str">
        <x:v>NaCl</x:v>
      </x:c>
      <x:c r="C3065" s="23" t="n">
        <x:v>1.033722</x:v>
      </x:c>
      <x:c r="D3065" s="23" t="n">
        <x:v>-11.3379</x:v>
      </x:c>
      <x:c r="E3065" s="23" t="n">
        <x:f>'Parameters'!$B$2*'Parameters'!$B$3*LN(4*PI()*C3065^2)</x:f>
        <x:v>6.4387339374909685</x:v>
      </x:c>
      <x:c r="F3065" s="23" t="n">
        <x:f>D3065+E3065</x:f>
        <x:v>-4.899166062509031</x:v>
      </x:c>
      <x:c r="G3065" s="23" t="n">
        <x:f>AVERAGE($F$3146:$F$3169)</x:f>
        <x:v>-4.701161883286471</x:v>
      </x:c>
      <x:c r="H3065" s="24" t="n">
        <x:f>F3065-G3065</x:f>
        <x:v>-0.19800417922255953</x:v>
      </x:c>
    </x:row>
    <x:row r="3066">
      <x:c r="A3066" s="2" t="str">
        <x:v>LiN3-Core</x:v>
      </x:c>
      <x:c r="B3066" s="4" t="str">
        <x:v>NaCl</x:v>
      </x:c>
      <x:c r="C3066" s="23" t="n">
        <x:v>1.046356</x:v>
      </x:c>
      <x:c r="D3066" s="23" t="n">
        <x:v>-11.38522</x:v>
      </x:c>
      <x:c r="E3066" s="23" t="n">
        <x:f>'Parameters'!$B$2*'Parameters'!$B$3*LN(4*PI()*C3066^2)</x:f>
        <x:v>6.498961540982503</x:v>
      </x:c>
      <x:c r="F3066" s="23" t="n">
        <x:f>D3066+E3066</x:f>
        <x:v>-4.886258459017498</x:v>
      </x:c>
      <x:c r="G3066" s="23" t="n">
        <x:f>AVERAGE($F$3146:$F$3169)</x:f>
        <x:v>-4.701161883286471</x:v>
      </x:c>
      <x:c r="H3066" s="24" t="n">
        <x:f>F3066-G3066</x:f>
        <x:v>-0.18509657573102611</x:v>
      </x:c>
    </x:row>
    <x:row r="3067">
      <x:c r="A3067" s="2" t="str">
        <x:v>LiN3-Core</x:v>
      </x:c>
      <x:c r="B3067" s="4" t="str">
        <x:v>NaCl</x:v>
      </x:c>
      <x:c r="C3067" s="23" t="n">
        <x:v>1.05899</x:v>
      </x:c>
      <x:c r="D3067" s="23" t="n">
        <x:v>-11.39272</x:v>
      </x:c>
      <x:c r="E3067" s="23" t="n">
        <x:f>'Parameters'!$B$2*'Parameters'!$B$3*LN(4*PI()*C3067^2)</x:f>
        <x:v>6.558466285693028</x:v>
      </x:c>
      <x:c r="F3067" s="23" t="n">
        <x:f>D3067+E3067</x:f>
        <x:v>-4.834253714306973</x:v>
      </x:c>
      <x:c r="G3067" s="23" t="n">
        <x:f>AVERAGE($F$3146:$F$3169)</x:f>
        <x:v>-4.701161883286471</x:v>
      </x:c>
      <x:c r="H3067" s="24" t="n">
        <x:f>F3067-G3067</x:f>
        <x:v>-0.1330918310205016</x:v>
      </x:c>
    </x:row>
    <x:row r="3068">
      <x:c r="A3068" s="2" t="str">
        <x:v>LiN3-Core</x:v>
      </x:c>
      <x:c r="B3068" s="4" t="str">
        <x:v>NaCl</x:v>
      </x:c>
      <x:c r="C3068" s="23" t="n">
        <x:v>1.071623</x:v>
      </x:c>
      <x:c r="D3068" s="23" t="n">
        <x:v>-11.28251</x:v>
      </x:c>
      <x:c r="E3068" s="23" t="n">
        <x:f>'Parameters'!$B$2*'Parameters'!$B$3*LN(4*PI()*C3068^2)</x:f>
        <x:v>6.617260691164067</x:v>
      </x:c>
      <x:c r="F3068" s="23" t="n">
        <x:f>D3068+E3068</x:f>
        <x:v>-4.665249308835933</x:v>
      </x:c>
      <x:c r="G3068" s="23" t="n">
        <x:f>AVERAGE($F$3146:$F$3169)</x:f>
        <x:v>-4.701161883286471</x:v>
      </x:c>
      <x:c r="H3068" s="24" t="n">
        <x:f>F3068-G3068</x:f>
        <x:v>0.035912574450538415</x:v>
      </x:c>
    </x:row>
    <x:row r="3069">
      <x:c r="A3069" s="2" t="str">
        <x:v>LiN3-Core</x:v>
      </x:c>
      <x:c r="B3069" s="4" t="str">
        <x:v>NaCl</x:v>
      </x:c>
      <x:c r="C3069" s="23" t="n">
        <x:v>1.084257</x:v>
      </x:c>
      <x:c r="D3069" s="23" t="n">
        <x:v>-11.44006</x:v>
      </x:c>
      <x:c r="E3069" s="23" t="n">
        <x:f>'Parameters'!$B$2*'Parameters'!$B$3*LN(4*PI()*C3069^2)</x:f>
        <x:v>6.675370607570972</x:v>
      </x:c>
      <x:c r="F3069" s="23" t="n">
        <x:f>D3069+E3069</x:f>
        <x:v>-4.764689392429029</x:v>
      </x:c>
      <x:c r="G3069" s="23" t="n">
        <x:f>AVERAGE($F$3146:$F$3169)</x:f>
        <x:v>-4.701161883286471</x:v>
      </x:c>
      <x:c r="H3069" s="24" t="n">
        <x:f>F3069-G3069</x:f>
        <x:v>-0.06352750914255711</x:v>
      </x:c>
    </x:row>
    <x:row r="3070">
      <x:c r="A3070" s="2" t="str">
        <x:v>LiN3-Core</x:v>
      </x:c>
      <x:c r="B3070" s="4" t="str">
        <x:v>NaCl</x:v>
      </x:c>
      <x:c r="C3070" s="23" t="n">
        <x:v>1.096891</x:v>
      </x:c>
      <x:c r="D3070" s="23" t="n">
        <x:v>-11.59361</x:v>
      </x:c>
      <x:c r="E3070" s="23" t="n">
        <x:f>'Parameters'!$B$2*'Parameters'!$B$3*LN(4*PI()*C3070^2)</x:f>
        <x:v>6.73280732142395</x:v>
      </x:c>
      <x:c r="F3070" s="23" t="n">
        <x:f>D3070+E3070</x:f>
        <x:v>-4.86080267857605</x:v>
      </x:c>
      <x:c r="G3070" s="23" t="n">
        <x:f>AVERAGE($F$3146:$F$3169)</x:f>
        <x:v>-4.701161883286471</x:v>
      </x:c>
      <x:c r="H3070" s="24" t="n">
        <x:f>F3070-G3070</x:f>
        <x:v>-0.15964079528957864</x:v>
      </x:c>
    </x:row>
    <x:row r="3071">
      <x:c r="A3071" s="2" t="str">
        <x:v>LiN3-Core</x:v>
      </x:c>
      <x:c r="B3071" s="4" t="str">
        <x:v>NaCl</x:v>
      </x:c>
      <x:c r="C3071" s="23" t="n">
        <x:v>1.109525</x:v>
      </x:c>
      <x:c r="D3071" s="23" t="n">
        <x:v>-11.51772</x:v>
      </x:c>
      <x:c r="E3071" s="23" t="n">
        <x:f>'Parameters'!$B$2*'Parameters'!$B$3*LN(4*PI()*C3071^2)</x:f>
        <x:v>6.789586252341416</x:v>
      </x:c>
      <x:c r="F3071" s="23" t="n">
        <x:f>D3071+E3071</x:f>
        <x:v>-4.7281337476585845</x:v>
      </x:c>
      <x:c r="G3071" s="23" t="n">
        <x:f>AVERAGE($F$3146:$F$3169)</x:f>
        <x:v>-4.701161883286471</x:v>
      </x:c>
      <x:c r="H3071" s="24" t="n">
        <x:f>F3071-G3071</x:f>
        <x:v>-0.026971864372113075</x:v>
      </x:c>
    </x:row>
    <x:row r="3072">
      <x:c r="A3072" s="2" t="str">
        <x:v>LiN3-Core</x:v>
      </x:c>
      <x:c r="B3072" s="4" t="str">
        <x:v>NaCl</x:v>
      </x:c>
      <x:c r="C3072" s="23" t="n">
        <x:v>1.122158</x:v>
      </x:c>
      <x:c r="D3072" s="23" t="n">
        <x:v>-11.70401</x:v>
      </x:c>
      <x:c r="E3072" s="23" t="n">
        <x:f>'Parameters'!$B$2*'Parameters'!$B$3*LN(4*PI()*C3072^2)</x:f>
        <x:v>6.845717877964045</x:v>
      </x:c>
      <x:c r="F3072" s="23" t="n">
        <x:f>D3072+E3072</x:f>
        <x:v>-4.858292122035955</x:v>
      </x:c>
      <x:c r="G3072" s="23" t="n">
        <x:f>AVERAGE($F$3146:$F$3169)</x:f>
        <x:v>-4.701161883286471</x:v>
      </x:c>
      <x:c r="H3072" s="24" t="n">
        <x:f>F3072-G3072</x:f>
        <x:v>-0.15713023874948373</x:v>
      </x:c>
    </x:row>
    <x:row r="3073">
      <x:c r="A3073" s="2" t="str">
        <x:v>LiN3-Core</x:v>
      </x:c>
      <x:c r="B3073" s="4" t="str">
        <x:v>NaCl</x:v>
      </x:c>
      <x:c r="C3073" s="23" t="n">
        <x:v>1.134792</x:v>
      </x:c>
      <x:c r="D3073" s="23" t="n">
        <x:v>-11.60685</x:v>
      </x:c>
      <x:c r="E3073" s="23" t="n">
        <x:f>'Parameters'!$B$2*'Parameters'!$B$3*LN(4*PI()*C3073^2)</x:f>
        <x:v>6.901225479377902</x:v>
      </x:c>
      <x:c r="F3073" s="23" t="n">
        <x:f>D3073+E3073</x:f>
        <x:v>-4.705624520622098</x:v>
      </x:c>
      <x:c r="G3073" s="23" t="n">
        <x:f>AVERAGE($F$3146:$F$3169)</x:f>
        <x:v>-4.701161883286471</x:v>
      </x:c>
      <x:c r="H3073" s="24" t="n">
        <x:f>F3073-G3073</x:f>
        <x:v>-0.0044626373356262405</x:v>
      </x:c>
    </x:row>
    <x:row r="3074">
      <x:c r="A3074" s="2" t="str">
        <x:v>LiN3-Core</x:v>
      </x:c>
      <x:c r="B3074" s="4" t="str">
        <x:v>NaCl</x:v>
      </x:c>
      <x:c r="C3074" s="23" t="n">
        <x:v>1.147426</x:v>
      </x:c>
      <x:c r="D3074" s="23" t="n">
        <x:v>-11.74287</x:v>
      </x:c>
      <x:c r="E3074" s="23" t="n">
        <x:f>'Parameters'!$B$2*'Parameters'!$B$3*LN(4*PI()*C3074^2)</x:f>
        <x:v>6.956118505458183</x:v>
      </x:c>
      <x:c r="F3074" s="23" t="n">
        <x:f>D3074+E3074</x:f>
        <x:v>-4.786751494541817</x:v>
      </x:c>
      <x:c r="G3074" s="23" t="n">
        <x:f>AVERAGE($F$3146:$F$3169)</x:f>
        <x:v>-4.701161883286471</x:v>
      </x:c>
      <x:c r="H3074" s="24" t="n">
        <x:f>F3074-G3074</x:f>
        <x:v>-0.08558961125534559</x:v>
      </x:c>
    </x:row>
    <x:row r="3075">
      <x:c r="A3075" s="2" t="str">
        <x:v>LiN3-Core</x:v>
      </x:c>
      <x:c r="B3075" s="4" t="str">
        <x:v>NaCl</x:v>
      </x:c>
      <x:c r="C3075" s="23" t="n">
        <x:v>1.160059</x:v>
      </x:c>
      <x:c r="D3075" s="23" t="n">
        <x:v>-11.72426</x:v>
      </x:c>
      <x:c r="E3075" s="23" t="n">
        <x:f>'Parameters'!$B$2*'Parameters'!$B$3*LN(4*PI()*C3075^2)</x:f>
        <x:v>7.010406142515831</x:v>
      </x:c>
      <x:c r="F3075" s="23" t="n">
        <x:f>D3075+E3075</x:f>
        <x:v>-4.713853857484168</x:v>
      </x:c>
      <x:c r="G3075" s="23" t="n">
        <x:f>AVERAGE($F$3146:$F$3169)</x:f>
        <x:v>-4.701161883286471</x:v>
      </x:c>
      <x:c r="H3075" s="24" t="n">
        <x:f>F3075-G3075</x:f>
        <x:v>-0.012691974197696965</x:v>
      </x:c>
    </x:row>
    <x:row r="3076">
      <x:c r="A3076" s="2" t="str">
        <x:v>LiN3-Core</x:v>
      </x:c>
      <x:c r="B3076" s="4" t="str">
        <x:v>NaCl</x:v>
      </x:c>
      <x:c r="C3076" s="23" t="n">
        <x:v>1.172693</x:v>
      </x:c>
      <x:c r="D3076" s="23" t="n">
        <x:v>-11.81611</x:v>
      </x:c>
      <x:c r="E3076" s="23" t="n">
        <x:f>'Parameters'!$B$2*'Parameters'!$B$3*LN(4*PI()*C3076^2)</x:f>
        <x:v>7.0641100070280505</x:v>
      </x:c>
      <x:c r="F3076" s="23" t="n">
        <x:f>D3076+E3076</x:f>
        <x:v>-4.75199999297195</x:v>
      </x:c>
      <x:c r="G3076" s="23" t="n">
        <x:f>AVERAGE($F$3146:$F$3169)</x:f>
        <x:v>-4.701161883286471</x:v>
      </x:c>
      <x:c r="H3076" s="24" t="n">
        <x:f>F3076-G3076</x:f>
        <x:v>-0.050838109685478194</x:v>
      </x:c>
    </x:row>
    <x:row r="3077">
      <x:c r="A3077" s="2" t="str">
        <x:v>LiN3-Core</x:v>
      </x:c>
      <x:c r="B3077" s="4" t="str">
        <x:v>NaCl</x:v>
      </x:c>
      <x:c r="C3077" s="23" t="n">
        <x:v>1.185327</x:v>
      </x:c>
      <x:c r="D3077" s="23" t="n">
        <x:v>-11.81769</x:v>
      </x:c>
      <x:c r="E3077" s="23" t="n">
        <x:f>'Parameters'!$B$2*'Parameters'!$B$3*LN(4*PI()*C3077^2)</x:f>
        <x:v>7.117238382206084</x:v>
      </x:c>
      <x:c r="F3077" s="23" t="n">
        <x:f>D3077+E3077</x:f>
        <x:v>-4.700451617793917</x:v>
      </x:c>
      <x:c r="G3077" s="23" t="n">
        <x:f>AVERAGE($F$3146:$F$3169)</x:f>
        <x:v>-4.701161883286471</x:v>
      </x:c>
      <x:c r="H3077" s="24" t="n">
        <x:f>F3077-G3077</x:f>
        <x:v>0.000710265492554818</x:v>
      </x:c>
    </x:row>
    <x:row r="3078">
      <x:c r="A3078" s="2" t="str">
        <x:v>LiN3-Core</x:v>
      </x:c>
      <x:c r="B3078" s="4" t="str">
        <x:v>NaCl</x:v>
      </x:c>
      <x:c r="C3078" s="23" t="n">
        <x:v>1.197961</x:v>
      </x:c>
      <x:c r="D3078" s="23" t="n">
        <x:v>-12.09567</x:v>
      </x:c>
      <x:c r="E3078" s="23" t="n">
        <x:f>'Parameters'!$B$2*'Parameters'!$B$3*LN(4*PI()*C3078^2)</x:f>
        <x:v>7.169803471256219</x:v>
      </x:c>
      <x:c r="F3078" s="23" t="n">
        <x:f>D3078+E3078</x:f>
        <x:v>-4.925866528743781</x:v>
      </x:c>
      <x:c r="G3078" s="23" t="n">
        <x:f>AVERAGE($F$3146:$F$3169)</x:f>
        <x:v>-4.701161883286471</x:v>
      </x:c>
      <x:c r="H3078" s="24" t="n">
        <x:f>F3078-G3078</x:f>
        <x:v>-0.22470464545730984</x:v>
      </x:c>
    </x:row>
    <x:row r="3079">
      <x:c r="A3079" s="2" t="str">
        <x:v>LiN3-Core</x:v>
      </x:c>
      <x:c r="B3079" s="4" t="str">
        <x:v>NaCl</x:v>
      </x:c>
      <x:c r="C3079" s="23" t="n">
        <x:v>1.210594</x:v>
      </x:c>
      <x:c r="D3079" s="23" t="n">
        <x:v>-12.10505</x:v>
      </x:c>
      <x:c r="E3079" s="23" t="n">
        <x:f>'Parameters'!$B$2*'Parameters'!$B$3*LN(4*PI()*C3079^2)</x:f>
        <x:v>7.221812997863905</x:v>
      </x:c>
      <x:c r="F3079" s="23" t="n">
        <x:f>D3079+E3079</x:f>
        <x:v>-4.883237002136095</x:v>
      </x:c>
      <x:c r="G3079" s="23" t="n">
        <x:f>AVERAGE($F$3146:$F$3169)</x:f>
        <x:v>-4.701161883286471</x:v>
      </x:c>
      <x:c r="H3079" s="24" t="n">
        <x:f>F3079-G3079</x:f>
        <x:v>-0.18207511884962368</x:v>
      </x:c>
    </x:row>
    <x:row r="3080">
      <x:c r="A3080" s="2" t="str">
        <x:v>LiN3-Core</x:v>
      </x:c>
      <x:c r="B3080" s="4" t="str">
        <x:v>NaCl</x:v>
      </x:c>
      <x:c r="C3080" s="23" t="n">
        <x:v>1.223228</x:v>
      </x:c>
      <x:c r="D3080" s="23" t="n">
        <x:v>-12.05001</x:v>
      </x:c>
      <x:c r="E3080" s="23" t="n">
        <x:f>'Parameters'!$B$2*'Parameters'!$B$3*LN(4*PI()*C3080^2)</x:f>
        <x:v>7.273286646193892</x:v>
      </x:c>
      <x:c r="F3080" s="23" t="n">
        <x:f>D3080+E3080</x:f>
        <x:v>-4.7767233538061085</x:v>
      </x:c>
      <x:c r="G3080" s="23" t="n">
        <x:f>AVERAGE($F$3146:$F$3169)</x:f>
        <x:v>-4.701161883286471</x:v>
      </x:c>
      <x:c r="H3080" s="24" t="n">
        <x:f>F3080-G3080</x:f>
        <x:v>-0.07556147051963702</x:v>
      </x:c>
    </x:row>
    <x:row r="3081">
      <x:c r="A3081" s="2" t="str">
        <x:v>LiN3-Core</x:v>
      </x:c>
      <x:c r="B3081" s="4" t="str">
        <x:v>NaCl</x:v>
      </x:c>
      <x:c r="C3081" s="23" t="n">
        <x:v>1.235862</x:v>
      </x:c>
      <x:c r="D3081" s="23" t="n">
        <x:v>-12.03911</x:v>
      </x:c>
      <x:c r="E3081" s="23" t="n">
        <x:f>'Parameters'!$B$2*'Parameters'!$B$3*LN(4*PI()*C3081^2)</x:f>
        <x:v>7.324231375634048</x:v>
      </x:c>
      <x:c r="F3081" s="23" t="n">
        <x:f>D3081+E3081</x:f>
        <x:v>-4.714878624365953</x:v>
      </x:c>
      <x:c r="G3081" s="23" t="n">
        <x:f>AVERAGE($F$3146:$F$3169)</x:f>
        <x:v>-4.701161883286471</x:v>
      </x:c>
      <x:c r="H3081" s="24" t="n">
        <x:f>F3081-G3081</x:f>
        <x:v>-0.013716741079481842</x:v>
      </x:c>
    </x:row>
    <x:row r="3082">
      <x:c r="A3082" s="2" t="str">
        <x:v>LiN3-Core</x:v>
      </x:c>
      <x:c r="B3082" s="4" t="str">
        <x:v>NaCl</x:v>
      </x:c>
      <x:c r="C3082" s="23" t="n">
        <x:v>1.248495</x:v>
      </x:c>
      <x:c r="D3082" s="23" t="n">
        <x:v>-12.01176</x:v>
      </x:c>
      <x:c r="E3082" s="23" t="n">
        <x:f>'Parameters'!$B$2*'Parameters'!$B$3*LN(4*PI()*C3082^2)</x:f>
        <x:v>7.374653974450143</x:v>
      </x:c>
      <x:c r="F3082" s="23" t="n">
        <x:f>D3082+E3082</x:f>
        <x:v>-4.6371060255498575</x:v>
      </x:c>
      <x:c r="G3082" s="23" t="n">
        <x:f>AVERAGE($F$3146:$F$3169)</x:f>
        <x:v>-4.701161883286471</x:v>
      </x:c>
      <x:c r="H3082" s="24" t="n">
        <x:f>F3082-G3082</x:f>
        <x:v>0.06405585773661393</x:v>
      </x:c>
    </x:row>
    <x:row r="3083">
      <x:c r="A3083" s="2" t="str">
        <x:v>LiN3-Core</x:v>
      </x:c>
      <x:c r="B3083" s="4" t="str">
        <x:v>NaCl</x:v>
      </x:c>
      <x:c r="C3083" s="23" t="n">
        <x:v>1.261129</x:v>
      </x:c>
      <x:c r="D3083" s="23" t="n">
        <x:v>-11.99353</x:v>
      </x:c>
      <x:c r="E3083" s="23" t="n">
        <x:f>'Parameters'!$B$2*'Parameters'!$B$3*LN(4*PI()*C3083^2)</x:f>
        <x:v>7.424572859021859</x:v>
      </x:c>
      <x:c r="F3083" s="23" t="n">
        <x:f>D3083+E3083</x:f>
        <x:v>-4.56895714097814</x:v>
      </x:c>
      <x:c r="G3083" s="23" t="n">
        <x:f>AVERAGE($F$3146:$F$3169)</x:f>
        <x:v>-4.701161883286471</x:v>
      </x:c>
      <x:c r="H3083" s="24" t="n">
        <x:f>F3083-G3083</x:f>
        <x:v>0.132204742308331</x:v>
      </x:c>
    </x:row>
    <x:row r="3084">
      <x:c r="A3084" s="2" t="str">
        <x:v>LiN3-Core</x:v>
      </x:c>
      <x:c r="B3084" s="4" t="str">
        <x:v>NaCl</x:v>
      </x:c>
      <x:c r="C3084" s="23" t="n">
        <x:v>1.273763</x:v>
      </x:c>
      <x:c r="D3084" s="23" t="n">
        <x:v>-12.12563</x:v>
      </x:c>
      <x:c r="E3084" s="23" t="n">
        <x:f>'Parameters'!$B$2*'Parameters'!$B$3*LN(4*PI()*C3084^2)</x:f>
        <x:v>7.473994139999627</x:v>
      </x:c>
      <x:c r="F3084" s="23" t="n">
        <x:f>D3084+E3084</x:f>
        <x:v>-4.651635860000372</x:v>
      </x:c>
      <x:c r="G3084" s="23" t="n">
        <x:f>AVERAGE($F$3146:$F$3169)</x:f>
        <x:v>-4.701161883286471</x:v>
      </x:c>
      <x:c r="H3084" s="24" t="n">
        <x:f>F3084-G3084</x:f>
        <x:v>0.04952602328609945</x:v>
      </x:c>
    </x:row>
    <x:row r="3085">
      <x:c r="A3085" s="2" t="str">
        <x:v>LiN3-Core</x:v>
      </x:c>
      <x:c r="B3085" s="4" t="str">
        <x:v>NaCl</x:v>
      </x:c>
      <x:c r="C3085" s="23" t="n">
        <x:v>1.286397</x:v>
      </x:c>
      <x:c r="D3085" s="23" t="n">
        <x:v>-12.01091</x:v>
      </x:c>
      <x:c r="E3085" s="23" t="n">
        <x:f>'Parameters'!$B$2*'Parameters'!$B$3*LN(4*PI()*C3085^2)</x:f>
        <x:v>7.522927640017101</x:v>
      </x:c>
      <x:c r="F3085" s="23" t="n">
        <x:f>D3085+E3085</x:f>
        <x:v>-4.4879823599829</x:v>
      </x:c>
      <x:c r="G3085" s="23" t="n">
        <x:f>AVERAGE($F$3146:$F$3169)</x:f>
        <x:v>-4.701161883286471</x:v>
      </x:c>
      <x:c r="H3085" s="24" t="n">
        <x:f>F3085-G3085</x:f>
        <x:v>0.21317952330357137</x:v>
      </x:c>
    </x:row>
    <x:row r="3086">
      <x:c r="A3086" s="2" t="str">
        <x:v>LiN3-Core</x:v>
      </x:c>
      <x:c r="B3086" s="4" t="str">
        <x:v>NaCl</x:v>
      </x:c>
      <x:c r="C3086" s="23" t="n">
        <x:v>1.29903</x:v>
      </x:c>
      <x:c r="D3086" s="23" t="n">
        <x:v>-11.95679</x:v>
      </x:c>
      <x:c r="E3086" s="23" t="n">
        <x:f>'Parameters'!$B$2*'Parameters'!$B$3*LN(4*PI()*C3086^2)</x:f>
        <x:v>7.5713790770754885</x:v>
      </x:c>
      <x:c r="F3086" s="23" t="n">
        <x:f>D3086+E3086</x:f>
        <x:v>-4.385410922924511</x:v>
      </x:c>
      <x:c r="G3086" s="23" t="n">
        <x:f>AVERAGE($F$3146:$F$3169)</x:f>
        <x:v>-4.701161883286471</x:v>
      </x:c>
      <x:c r="H3086" s="24" t="n">
        <x:f>F3086-G3086</x:f>
        <x:v>0.31575096036196015</x:v>
      </x:c>
    </x:row>
    <x:row r="3087">
      <x:c r="A3087" s="2" t="str">
        <x:v>LiN3-Core</x:v>
      </x:c>
      <x:c r="B3087" s="4" t="str">
        <x:v>NaCl</x:v>
      </x:c>
      <x:c r="C3087" s="23" t="n">
        <x:v>1.311664</x:v>
      </x:c>
      <x:c r="D3087" s="23" t="n">
        <x:v>-12.0964</x:v>
      </x:c>
      <x:c r="E3087" s="23" t="n">
        <x:f>'Parameters'!$B$2*'Parameters'!$B$3*LN(4*PI()*C3087^2)</x:f>
        <x:v>7.6193653789613816</x:v>
      </x:c>
      <x:c r="F3087" s="23" t="n">
        <x:f>D3087+E3087</x:f>
        <x:v>-4.477034621038618</x:v>
      </x:c>
      <x:c r="G3087" s="23" t="n">
        <x:f>AVERAGE($F$3146:$F$3169)</x:f>
        <x:v>-4.701161883286471</x:v>
      </x:c>
      <x:c r="H3087" s="24" t="n">
        <x:f>F3087-G3087</x:f>
        <x:v>0.22412726224785384</x:v>
      </x:c>
    </x:row>
    <x:row r="3088">
      <x:c r="A3088" s="2" t="str">
        <x:v>LiN3-Core</x:v>
      </x:c>
      <x:c r="B3088" s="4" t="str">
        <x:v>NaCl</x:v>
      </x:c>
      <x:c r="C3088" s="23" t="n">
        <x:v>1.324298</x:v>
      </x:c>
      <x:c r="D3088" s="23" t="n">
        <x:v>-12.183</x:v>
      </x:c>
      <x:c r="E3088" s="23" t="n">
        <x:f>'Parameters'!$B$2*'Parameters'!$B$3*LN(4*PI()*C3088^2)</x:f>
        <x:v>7.666891683117491</x:v>
      </x:c>
      <x:c r="F3088" s="23" t="n">
        <x:f>D3088+E3088</x:f>
        <x:v>-4.516108316882509</x:v>
      </x:c>
      <x:c r="G3088" s="23" t="n">
        <x:f>AVERAGE($F$3146:$F$3169)</x:f>
        <x:v>-4.701161883286471</x:v>
      </x:c>
      <x:c r="H3088" s="24" t="n">
        <x:f>F3088-G3088</x:f>
        <x:v>0.18505356640396275</x:v>
      </x:c>
    </x:row>
    <x:row r="3089">
      <x:c r="A3089" s="2" t="str">
        <x:v>LiN3-Core</x:v>
      </x:c>
      <x:c r="B3089" s="4" t="str">
        <x:v>NaCl</x:v>
      </x:c>
      <x:c r="C3089" s="23" t="n">
        <x:v>1.336931</x:v>
      </x:c>
      <x:c r="D3089" s="23" t="n">
        <x:v>-12.26609</x:v>
      </x:c>
      <x:c r="E3089" s="23" t="n">
        <x:f>'Parameters'!$B$2*'Parameters'!$B$3*LN(4*PI()*C3089^2)</x:f>
        <x:v>7.713963016540628</x:v>
      </x:c>
      <x:c r="F3089" s="23" t="n">
        <x:f>D3089+E3089</x:f>
        <x:v>-4.552126983459372</x:v>
      </x:c>
      <x:c r="G3089" s="23" t="n">
        <x:f>AVERAGE($F$3146:$F$3169)</x:f>
        <x:v>-4.701161883286471</x:v>
      </x:c>
      <x:c r="H3089" s="24" t="n">
        <x:f>F3089-G3089</x:f>
        <x:v>0.1490348998270994</x:v>
      </x:c>
    </x:row>
    <x:row r="3090">
      <x:c r="A3090" s="2" t="str">
        <x:v>LiN3-Core</x:v>
      </x:c>
      <x:c r="B3090" s="4" t="str">
        <x:v>NaCl</x:v>
      </x:c>
      <x:c r="C3090" s="23" t="n">
        <x:v>1.349565</x:v>
      </x:c>
      <x:c r="D3090" s="23" t="n">
        <x:v>-12.22087</x:v>
      </x:c>
      <x:c r="E3090" s="23" t="n">
        <x:f>'Parameters'!$B$2*'Parameters'!$B$3*LN(4*PI()*C3090^2)</x:f>
        <x:v>7.760595319735949</x:v>
      </x:c>
      <x:c r="F3090" s="23" t="n">
        <x:f>D3090+E3090</x:f>
        <x:v>-4.4602746802640505</x:v>
      </x:c>
      <x:c r="G3090" s="23" t="n">
        <x:f>AVERAGE($F$3146:$F$3169)</x:f>
        <x:v>-4.701161883286471</x:v>
      </x:c>
      <x:c r="H3090" s="24" t="n">
        <x:f>F3090-G3090</x:f>
        <x:v>0.24088720302242095</x:v>
      </x:c>
    </x:row>
    <x:row r="3091">
      <x:c r="A3091" s="2" t="str">
        <x:v>LiN3-Core</x:v>
      </x:c>
      <x:c r="B3091" s="4" t="str">
        <x:v>NaCl</x:v>
      </x:c>
      <x:c r="C3091" s="23" t="n">
        <x:v>1.362199</x:v>
      </x:c>
      <x:c r="D3091" s="23" t="n">
        <x:v>-12.2369</x:v>
      </x:c>
      <x:c r="E3091" s="23" t="n">
        <x:f>'Parameters'!$B$2*'Parameters'!$B$3*LN(4*PI()*C3091^2)</x:f>
        <x:v>7.806793100543468</x:v>
      </x:c>
      <x:c r="F3091" s="23" t="n">
        <x:f>D3091+E3091</x:f>
        <x:v>-4.430106899456533</x:v>
      </x:c>
      <x:c r="G3091" s="23" t="n">
        <x:f>AVERAGE($F$3146:$F$3169)</x:f>
        <x:v>-4.701161883286471</x:v>
      </x:c>
      <x:c r="H3091" s="24" t="n">
        <x:f>F3091-G3091</x:f>
        <x:v>0.27105498382993876</x:v>
      </x:c>
    </x:row>
    <x:row r="3092">
      <x:c r="A3092" s="2" t="str">
        <x:v>LiN3-Core</x:v>
      </x:c>
      <x:c r="B3092" s="4" t="str">
        <x:v>NaCl</x:v>
      </x:c>
      <x:c r="C3092" s="23" t="n">
        <x:v>1.374833</x:v>
      </x:c>
      <x:c r="D3092" s="23" t="n">
        <x:v>-12.36308</x:v>
      </x:c>
      <x:c r="E3092" s="23" t="n">
        <x:f>'Parameters'!$B$2*'Parameters'!$B$3*LN(4*PI()*C3092^2)</x:f>
        <x:v>7.852564382068383</x:v>
      </x:c>
      <x:c r="F3092" s="23" t="n">
        <x:f>D3092+E3092</x:f>
        <x:v>-4.510515617931617</x:v>
      </x:c>
      <x:c r="G3092" s="23" t="n">
        <x:f>AVERAGE($F$3146:$F$3169)</x:f>
        <x:v>-4.701161883286471</x:v>
      </x:c>
      <x:c r="H3092" s="24" t="n">
        <x:f>F3092-G3092</x:f>
        <x:v>0.19064626535485463</x:v>
      </x:c>
    </x:row>
    <x:row r="3093">
      <x:c r="A3093" s="2" t="str">
        <x:v>LiN3-Core</x:v>
      </x:c>
      <x:c r="B3093" s="4" t="str">
        <x:v>NaCl</x:v>
      </x:c>
      <x:c r="C3093" s="23" t="n">
        <x:v>1.387466</x:v>
      </x:c>
      <x:c r="D3093" s="23" t="n">
        <x:v>-12.53355</x:v>
      </x:c>
      <x:c r="E3093" s="23" t="n">
        <x:f>'Parameters'!$B$2*'Parameters'!$B$3*LN(4*PI()*C3093^2)</x:f>
        <x:v>7.897913393879145</x:v>
      </x:c>
      <x:c r="F3093" s="23" t="n">
        <x:f>D3093+E3093</x:f>
        <x:v>-4.635636606120855</x:v>
      </x:c>
      <x:c r="G3093" s="23" t="n">
        <x:f>AVERAGE($F$3146:$F$3169)</x:f>
        <x:v>-4.701161883286471</x:v>
      </x:c>
      <x:c r="H3093" s="24" t="n">
        <x:f>F3093-G3093</x:f>
        <x:v>0.06552527716561674</x:v>
      </x:c>
    </x:row>
    <x:row r="3094">
      <x:c r="A3094" s="2" t="str">
        <x:v>LiN3-Core</x:v>
      </x:c>
      <x:c r="B3094" s="4" t="str">
        <x:v>NaCl</x:v>
      </x:c>
      <x:c r="C3094" s="23" t="n">
        <x:v>1.4001</x:v>
      </x:c>
      <x:c r="D3094" s="23" t="n">
        <x:v>-12.64594</x:v>
      </x:c>
      <x:c r="E3094" s="23" t="n">
        <x:f>'Parameters'!$B$2*'Parameters'!$B$3*LN(4*PI()*C3094^2)</x:f>
        <x:v>7.94285490566638</x:v>
      </x:c>
      <x:c r="F3094" s="23" t="n">
        <x:f>D3094+E3094</x:f>
        <x:v>-4.70308509433362</x:v>
      </x:c>
      <x:c r="G3094" s="23" t="n">
        <x:f>AVERAGE($F$3146:$F$3169)</x:f>
        <x:v>-4.701161883286471</x:v>
      </x:c>
      <x:c r="H3094" s="24" t="n">
        <x:f>F3094-G3094</x:f>
        <x:v>-0.001923211047148321</x:v>
      </x:c>
    </x:row>
    <x:row r="3095">
      <x:c r="A3095" s="2" t="str">
        <x:v>LiN3-Core</x:v>
      </x:c>
      <x:c r="B3095" s="4" t="str">
        <x:v>NaCl</x:v>
      </x:c>
      <x:c r="C3095" s="23" t="n">
        <x:v>1.412734</x:v>
      </x:c>
      <x:c r="D3095" s="23" t="n">
        <x:v>-12.80685</x:v>
      </x:c>
      <x:c r="E3095" s="23" t="n">
        <x:f>'Parameters'!$B$2*'Parameters'!$B$3*LN(4*PI()*C3095^2)</x:f>
        <x:v>7.9873926974110505</x:v>
      </x:c>
      <x:c r="F3095" s="23" t="n">
        <x:f>D3095+E3095</x:f>
        <x:v>-4.81945730258895</x:v>
      </x:c>
      <x:c r="G3095" s="23" t="n">
        <x:f>AVERAGE($F$3146:$F$3169)</x:f>
        <x:v>-4.701161883286471</x:v>
      </x:c>
      <x:c r="H3095" s="24" t="n">
        <x:f>F3095-G3095</x:f>
        <x:v>-0.11829541930247878</x:v>
      </x:c>
    </x:row>
    <x:row r="3096">
      <x:c r="A3096" s="2" t="str">
        <x:v>LiN3-Core</x:v>
      </x:c>
      <x:c r="B3096" s="4" t="str">
        <x:v>NaCl</x:v>
      </x:c>
      <x:c r="C3096" s="23" t="n">
        <x:v>1.425367</x:v>
      </x:c>
      <x:c r="D3096" s="23" t="n">
        <x:v>-12.93058</x:v>
      </x:c>
      <x:c r="E3096" s="23" t="n">
        <x:f>'Parameters'!$B$2*'Parameters'!$B$3*LN(4*PI()*C3096^2)</x:f>
        <x:v>8.0315304796626</x:v>
      </x:c>
      <x:c r="F3096" s="23" t="n">
        <x:f>D3096+E3096</x:f>
        <x:v>-4.899049520337401</x:v>
      </x:c>
      <x:c r="G3096" s="23" t="n">
        <x:f>AVERAGE($F$3146:$F$3169)</x:f>
        <x:v>-4.701161883286471</x:v>
      </x:c>
      <x:c r="H3096" s="24" t="n">
        <x:f>F3096-G3096</x:f>
        <x:v>-0.19788763705092993</x:v>
      </x:c>
    </x:row>
    <x:row r="3097">
      <x:c r="A3097" s="2" t="str">
        <x:v>LiN3-Core</x:v>
      </x:c>
      <x:c r="B3097" s="4" t="str">
        <x:v>NaCl</x:v>
      </x:c>
      <x:c r="C3097" s="23" t="n">
        <x:v>1.438001</x:v>
      </x:c>
      <x:c r="D3097" s="23" t="n">
        <x:v>-12.87254</x:v>
      </x:c>
      <x:c r="E3097" s="23" t="n">
        <x:f>'Parameters'!$B$2*'Parameters'!$B$3*LN(4*PI()*C3097^2)</x:f>
        <x:v>8.075282238231631</x:v>
      </x:c>
      <x:c r="F3097" s="23" t="n">
        <x:f>D3097+E3097</x:f>
        <x:v>-4.797257761768369</x:v>
      </x:c>
      <x:c r="G3097" s="23" t="n">
        <x:f>AVERAGE($F$3146:$F$3169)</x:f>
        <x:v>-4.701161883286471</x:v>
      </x:c>
      <x:c r="H3097" s="24" t="n">
        <x:f>F3097-G3097</x:f>
        <x:v>-0.09609587848189793</x:v>
      </x:c>
    </x:row>
    <x:row r="3098">
      <x:c r="A3098" s="2" t="str">
        <x:v>LiN3-Core</x:v>
      </x:c>
      <x:c r="B3098" s="4" t="str">
        <x:v>NaCl</x:v>
      </x:c>
      <x:c r="C3098" s="23" t="n">
        <x:v>1.450635</x:v>
      </x:c>
      <x:c r="D3098" s="23" t="n">
        <x:v>-12.75248</x:v>
      </x:c>
      <x:c r="E3098" s="23" t="n">
        <x:f>'Parameters'!$B$2*'Parameters'!$B$3*LN(4*PI()*C3098^2)</x:f>
        <x:v>8.11865127859165</x:v>
      </x:c>
      <x:c r="F3098" s="23" t="n">
        <x:f>D3098+E3098</x:f>
        <x:v>-4.633828721408351</x:v>
      </x:c>
      <x:c r="G3098" s="23" t="n">
        <x:f>AVERAGE($F$3146:$F$3169)</x:f>
        <x:v>-4.701161883286471</x:v>
      </x:c>
      <x:c r="H3098" s="24" t="n">
        <x:f>F3098-G3098</x:f>
        <x:v>0.06733316187812033</x:v>
      </x:c>
    </x:row>
    <x:row r="3099">
      <x:c r="A3099" s="2" t="str">
        <x:v>LiN3-Core</x:v>
      </x:c>
      <x:c r="B3099" s="4" t="str">
        <x:v>NaCl</x:v>
      </x:c>
      <x:c r="C3099" s="23" t="n">
        <x:v>1.463269</x:v>
      </x:c>
      <x:c r="D3099" s="23" t="n">
        <x:v>-12.6804</x:v>
      </x:c>
      <x:c r="E3099" s="23" t="n">
        <x:f>'Parameters'!$B$2*'Parameters'!$B$3*LN(4*PI()*C3099^2)</x:f>
        <x:v>8.16164423837183</x:v>
      </x:c>
      <x:c r="F3099" s="23" t="n">
        <x:f>D3099+E3099</x:f>
        <x:v>-4.518755761628171</x:v>
      </x:c>
      <x:c r="G3099" s="23" t="n">
        <x:f>AVERAGE($F$3146:$F$3169)</x:f>
        <x:v>-4.701161883286471</x:v>
      </x:c>
      <x:c r="H3099" s="24" t="n">
        <x:f>F3099-G3099</x:f>
        <x:v>0.1824061216583006</x:v>
      </x:c>
    </x:row>
    <x:row r="3100">
      <x:c r="A3100" s="2" t="str">
        <x:v>LiN3-Core</x:v>
      </x:c>
      <x:c r="B3100" s="4" t="str">
        <x:v>NaCl</x:v>
      </x:c>
      <x:c r="C3100" s="23" t="n">
        <x:v>1.475902</x:v>
      </x:c>
      <x:c r="D3100" s="23" t="n">
        <x:v>-12.66618</x:v>
      </x:c>
      <x:c r="E3100" s="23" t="n">
        <x:f>'Parameters'!$B$2*'Parameters'!$B$3*LN(4*PI()*C3100^2)</x:f>
        <x:v>8.204264224764135</x:v>
      </x:c>
      <x:c r="F3100" s="23" t="n">
        <x:f>D3100+E3100</x:f>
        <x:v>-4.461915775235866</x:v>
      </x:c>
      <x:c r="G3100" s="23" t="n">
        <x:f>AVERAGE($F$3146:$F$3169)</x:f>
        <x:v>-4.701161883286471</x:v>
      </x:c>
      <x:c r="H3100" s="24" t="n">
        <x:f>F3100-G3100</x:f>
        <x:v>0.23924610805060542</x:v>
      </x:c>
    </x:row>
    <x:row r="3101">
      <x:c r="A3101" s="2" t="str">
        <x:v>LiN3-Core</x:v>
      </x:c>
      <x:c r="B3101" s="4" t="str">
        <x:v>NaCl</x:v>
      </x:c>
      <x:c r="C3101" s="23" t="n">
        <x:v>1.488536</x:v>
      </x:c>
      <x:c r="D3101" s="23" t="n">
        <x:v>-12.51992</x:v>
      </x:c>
      <x:c r="E3101" s="23" t="n">
        <x:f>'Parameters'!$B$2*'Parameters'!$B$3*LN(4*PI()*C3101^2)</x:f>
        <x:v>8.246524285841085</x:v>
      </x:c>
      <x:c r="F3101" s="23" t="n">
        <x:f>D3101+E3101</x:f>
        <x:v>-4.273395714158916</x:v>
      </x:c>
      <x:c r="G3101" s="23" t="n">
        <x:f>AVERAGE($F$3146:$F$3169)</x:f>
        <x:v>-4.701161883286471</x:v>
      </x:c>
      <x:c r="H3101" s="24" t="n">
        <x:f>F3101-G3101</x:f>
        <x:v>0.4277661691275556</x:v>
      </x:c>
    </x:row>
    <x:row r="3102">
      <x:c r="A3102" s="2" t="str">
        <x:v>LiN3-Core</x:v>
      </x:c>
      <x:c r="B3102" s="4" t="str">
        <x:v>NaCl</x:v>
      </x:c>
      <x:c r="C3102" s="23" t="n">
        <x:v>1.50117</x:v>
      </x:c>
      <x:c r="D3102" s="23" t="n">
        <x:v>-12.68139</x:v>
      </x:c>
      <x:c r="E3102" s="23" t="n">
        <x:f>'Parameters'!$B$2*'Parameters'!$B$3*LN(4*PI()*C3102^2)</x:f>
        <x:v>8.288427174677595</x:v>
      </x:c>
      <x:c r="F3102" s="23" t="n">
        <x:f>D3102+E3102</x:f>
        <x:v>-4.392962825322405</x:v>
      </x:c>
      <x:c r="G3102" s="23" t="n">
        <x:f>AVERAGE($F$3146:$F$3169)</x:f>
        <x:v>-4.701161883286471</x:v>
      </x:c>
      <x:c r="H3102" s="24" t="n">
        <x:f>F3102-G3102</x:f>
        <x:v>0.30819905796406655</x:v>
      </x:c>
    </x:row>
    <x:row r="3103">
      <x:c r="A3103" s="2" t="str">
        <x:v>LiN3-Core</x:v>
      </x:c>
      <x:c r="B3103" s="4" t="str">
        <x:v>NaCl</x:v>
      </x:c>
      <x:c r="C3103" s="23" t="n">
        <x:v>1.513804</x:v>
      </x:c>
      <x:c r="D3103" s="23" t="n">
        <x:v>-12.58557</x:v>
      </x:c>
      <x:c r="E3103" s="23" t="n">
        <x:f>'Parameters'!$B$2*'Parameters'!$B$3*LN(4*PI()*C3103^2)</x:f>
        <x:v>8.329978878183004</x:v>
      </x:c>
      <x:c r="F3103" s="23" t="n">
        <x:f>D3103+E3103</x:f>
        <x:v>-4.255591121816996</x:v>
      </x:c>
      <x:c r="G3103" s="23" t="n">
        <x:f>AVERAGE($F$3146:$F$3169)</x:f>
        <x:v>-4.701161883286471</x:v>
      </x:c>
      <x:c r="H3103" s="24" t="n">
        <x:f>F3103-G3103</x:f>
        <x:v>0.44557076146947505</x:v>
      </x:c>
    </x:row>
    <x:row r="3104">
      <x:c r="A3104" s="2" t="str">
        <x:v>LiN3-Core</x:v>
      </x:c>
      <x:c r="B3104" s="4" t="str">
        <x:v>NaCl</x:v>
      </x:c>
      <x:c r="C3104" s="23" t="n">
        <x:v>1.526437</x:v>
      </x:c>
      <x:c r="D3104" s="23" t="n">
        <x:v>-12.66784</x:v>
      </x:c>
      <x:c r="E3104" s="23" t="n">
        <x:f>'Parameters'!$B$2*'Parameters'!$B$3*LN(4*PI()*C3104^2)</x:f>
        <x:v>8.371181985958799</x:v>
      </x:c>
      <x:c r="F3104" s="23" t="n">
        <x:f>D3104+E3104</x:f>
        <x:v>-4.296658014041201</x:v>
      </x:c>
      <x:c r="G3104" s="23" t="n">
        <x:f>AVERAGE($F$3146:$F$3169)</x:f>
        <x:v>-4.701161883286471</x:v>
      </x:c>
      <x:c r="H3104" s="24" t="n">
        <x:f>F3104-G3104</x:f>
        <x:v>0.4045038692452705</x:v>
      </x:c>
    </x:row>
    <x:row r="3105">
      <x:c r="A3105" s="2" t="str">
        <x:v>LiN3-Core</x:v>
      </x:c>
      <x:c r="B3105" s="4" t="str">
        <x:v>NaCl</x:v>
      </x:c>
      <x:c r="C3105" s="23" t="n">
        <x:v>1.539071</x:v>
      </x:c>
      <x:c r="D3105" s="23" t="n">
        <x:v>-12.90452</x:v>
      </x:c>
      <x:c r="E3105" s="23" t="n">
        <x:f>'Parameters'!$B$2*'Parameters'!$B$3*LN(4*PI()*C3105^2)</x:f>
        <x:v>8.412048714001212</x:v>
      </x:c>
      <x:c r="F3105" s="23" t="n">
        <x:f>D3105+E3105</x:f>
        <x:v>-4.492471285998787</x:v>
      </x:c>
      <x:c r="G3105" s="23" t="n">
        <x:f>AVERAGE($F$3146:$F$3169)</x:f>
        <x:v>-4.701161883286471</x:v>
      </x:c>
      <x:c r="H3105" s="24" t="n">
        <x:f>F3105-G3105</x:f>
        <x:v>0.20869059728768402</x:v>
      </x:c>
    </x:row>
    <x:row r="3106">
      <x:c r="A3106" s="2" t="str">
        <x:v>LiN3-Core</x:v>
      </x:c>
      <x:c r="B3106" s="4" t="str">
        <x:v>NaCl</x:v>
      </x:c>
      <x:c r="C3106" s="23" t="n">
        <x:v>1.551705</x:v>
      </x:c>
      <x:c r="D3106" s="23" t="n">
        <x:v>-12.7991</x:v>
      </x:c>
      <x:c r="E3106" s="23" t="n">
        <x:f>'Parameters'!$B$2*'Parameters'!$B$3*LN(4*PI()*C3106^2)</x:f>
        <x:v>8.452581340822976</x:v>
      </x:c>
      <x:c r="F3106" s="23" t="n">
        <x:f>D3106+E3106</x:f>
        <x:v>-4.346518659177024</x:v>
      </x:c>
      <x:c r="G3106" s="23" t="n">
        <x:f>AVERAGE($F$3146:$F$3169)</x:f>
        <x:v>-4.701161883286471</x:v>
      </x:c>
      <x:c r="H3106" s="24" t="n">
        <x:f>F3106-G3106</x:f>
        <x:v>0.3546432241094477</x:v>
      </x:c>
    </x:row>
    <x:row r="3107">
      <x:c r="A3107" s="2" t="str">
        <x:v>LiN3-Core</x:v>
      </x:c>
      <x:c r="B3107" s="4" t="str">
        <x:v>NaCl</x:v>
      </x:c>
      <x:c r="C3107" s="23" t="n">
        <x:v>1.564338</x:v>
      </x:c>
      <x:c r="D3107" s="23" t="n">
        <x:v>-12.93138</x:v>
      </x:c>
      <x:c r="E3107" s="23" t="n">
        <x:f>'Parameters'!$B$2*'Parameters'!$B$3*LN(4*PI()*C3107^2)</x:f>
        <x:v>8.492782115631492</x:v>
      </x:c>
      <x:c r="F3107" s="23" t="n">
        <x:f>D3107+E3107</x:f>
        <x:v>-4.438597884368509</x:v>
      </x:c>
      <x:c r="G3107" s="23" t="n">
        <x:f>AVERAGE($F$3146:$F$3169)</x:f>
        <x:v>-4.701161883286471</x:v>
      </x:c>
      <x:c r="H3107" s="24" t="n">
        <x:f>F3107-G3107</x:f>
        <x:v>0.26256399891796267</x:v>
      </x:c>
    </x:row>
    <x:row r="3108">
      <x:c r="A3108" s="2" t="str">
        <x:v>LiN3-Core</x:v>
      </x:c>
      <x:c r="B3108" s="4" t="str">
        <x:v>NaCl</x:v>
      </x:c>
      <x:c r="C3108" s="23" t="n">
        <x:v>1.576972</x:v>
      </x:c>
      <x:c r="D3108" s="23" t="n">
        <x:v>-12.8292</x:v>
      </x:c>
      <x:c r="E3108" s="23" t="n">
        <x:f>'Parameters'!$B$2*'Parameters'!$B$3*LN(4*PI()*C3108^2)</x:f>
        <x:v>8.532662690273515</x:v>
      </x:c>
      <x:c r="F3108" s="23" t="n">
        <x:f>D3108+E3108</x:f>
        <x:v>-4.296537309726485</x:v>
      </x:c>
      <x:c r="G3108" s="23" t="n">
        <x:f>AVERAGE($F$3146:$F$3169)</x:f>
        <x:v>-4.701161883286471</x:v>
      </x:c>
      <x:c r="H3108" s="24" t="n">
        <x:f>F3108-G3108</x:f>
        <x:v>0.40462457355998627</x:v>
      </x:c>
    </x:row>
    <x:row r="3109">
      <x:c r="A3109" s="2" t="str">
        <x:v>LiN3-Core</x:v>
      </x:c>
      <x:c r="B3109" s="4" t="str">
        <x:v>NaCl</x:v>
      </x:c>
      <x:c r="C3109" s="23" t="n">
        <x:v>1.589606</x:v>
      </x:c>
      <x:c r="D3109" s="23" t="n">
        <x:v>-13.05486</x:v>
      </x:c>
      <x:c r="E3109" s="23" t="n">
        <x:f>'Parameters'!$B$2*'Parameters'!$B$3*LN(4*PI()*C3109^2)</x:f>
        <x:v>8.572225030816373</x:v>
      </x:c>
      <x:c r="F3109" s="23" t="n">
        <x:f>D3109+E3109</x:f>
        <x:v>-4.482634969183627</x:v>
      </x:c>
      <x:c r="G3109" s="23" t="n">
        <x:f>AVERAGE($F$3146:$F$3169)</x:f>
        <x:v>-4.701161883286471</x:v>
      </x:c>
      <x:c r="H3109" s="24" t="n">
        <x:f>F3109-G3109</x:f>
        <x:v>0.21852691410284475</x:v>
      </x:c>
    </x:row>
    <x:row r="3110">
      <x:c r="A3110" s="2" t="str">
        <x:v>LiN3-Core</x:v>
      </x:c>
      <x:c r="B3110" s="4" t="str">
        <x:v>NaCl</x:v>
      </x:c>
      <x:c r="C3110" s="23" t="n">
        <x:v>1.60224</x:v>
      </x:c>
      <x:c r="D3110" s="23" t="n">
        <x:v>-12.98332</x:v>
      </x:c>
      <x:c r="E3110" s="23" t="n">
        <x:f>'Parameters'!$B$2*'Parameters'!$B$3*LN(4*PI()*C3110^2)</x:f>
        <x:v>8.611474175890509</x:v>
      </x:c>
      <x:c r="F3110" s="23" t="n">
        <x:f>D3110+E3110</x:f>
        <x:v>-4.371845824109492</x:v>
      </x:c>
      <x:c r="G3110" s="23" t="n">
        <x:f>AVERAGE($F$3146:$F$3169)</x:f>
        <x:v>-4.701161883286471</x:v>
      </x:c>
      <x:c r="H3110" s="24" t="n">
        <x:f>F3110-G3110</x:f>
        <x:v>0.32931605917697926</x:v>
      </x:c>
    </x:row>
    <x:row r="3111">
      <x:c r="A3111" s="2" t="str">
        <x:v>LiN3-Core</x:v>
      </x:c>
      <x:c r="B3111" s="4" t="str">
        <x:v>NaCl</x:v>
      </x:c>
      <x:c r="C3111" s="23" t="n">
        <x:v>1.614873</x:v>
      </x:c>
      <x:c r="D3111" s="23" t="n">
        <x:v>-13.01778</x:v>
      </x:c>
      <x:c r="E3111" s="23" t="n">
        <x:f>'Parameters'!$B$2*'Parameters'!$B$3*LN(4*PI()*C3111^2)</x:f>
        <x:v>8.650411975243681</x:v>
      </x:c>
      <x:c r="F3111" s="23" t="n">
        <x:f>D3111+E3111</x:f>
        <x:v>-4.367368024756319</x:v>
      </x:c>
      <x:c r="G3111" s="23" t="n">
        <x:f>AVERAGE($F$3146:$F$3169)</x:f>
        <x:v>-4.701161883286471</x:v>
      </x:c>
      <x:c r="H3111" s="24" t="n">
        <x:f>F3111-G3111</x:f>
        <x:v>0.33379385853015275</x:v>
      </x:c>
    </x:row>
    <x:row r="3112">
      <x:c r="A3112" s="2" t="str">
        <x:v>LiN3-Core</x:v>
      </x:c>
      <x:c r="B3112" s="4" t="str">
        <x:v>NaCl</x:v>
      </x:c>
      <x:c r="C3112" s="23" t="n">
        <x:v>1.627507</x:v>
      </x:c>
      <x:c r="D3112" s="23" t="n">
        <x:v>-13.17458</x:v>
      </x:c>
      <x:c r="E3112" s="23" t="n">
        <x:f>'Parameters'!$B$2*'Parameters'!$B$3*LN(4*PI()*C3112^2)</x:f>
        <x:v>8.68904939790023</x:v>
      </x:c>
      <x:c r="F3112" s="23" t="n">
        <x:f>D3112+E3112</x:f>
        <x:v>-4.48553060209977</x:v>
      </x:c>
      <x:c r="G3112" s="23" t="n">
        <x:f>AVERAGE($F$3146:$F$3169)</x:f>
        <x:v>-4.701161883286471</x:v>
      </x:c>
      <x:c r="H3112" s="24" t="n">
        <x:f>F3112-G3112</x:f>
        <x:v>0.2156312811867016</x:v>
      </x:c>
    </x:row>
    <x:row r="3113">
      <x:c r="A3113" s="2" t="str">
        <x:v>LiN3-Core</x:v>
      </x:c>
      <x:c r="B3113" s="4" t="str">
        <x:v>NaCl</x:v>
      </x:c>
      <x:c r="C3113" s="23" t="n">
        <x:v>1.640141</x:v>
      </x:c>
      <x:c r="D3113" s="23" t="n">
        <x:v>-13.07412</x:v>
      </x:c>
      <x:c r="E3113" s="23" t="n">
        <x:f>'Parameters'!$B$2*'Parameters'!$B$3*LN(4*PI()*C3113^2)</x:f>
        <x:v>8.727388042915058</x:v>
      </x:c>
      <x:c r="F3113" s="23" t="n">
        <x:f>D3113+E3113</x:f>
        <x:v>-4.346731957084943</x:v>
      </x:c>
      <x:c r="G3113" s="23" t="n">
        <x:f>AVERAGE($F$3146:$F$3169)</x:f>
        <x:v>-4.701161883286471</x:v>
      </x:c>
      <x:c r="H3113" s="24" t="n">
        <x:f>F3113-G3113</x:f>
        <x:v>0.35442992620152847</x:v>
      </x:c>
    </x:row>
    <x:row r="3114">
      <x:c r="A3114" s="2" t="str">
        <x:v>LiN3-Core</x:v>
      </x:c>
      <x:c r="B3114" s="4" t="str">
        <x:v>NaCl</x:v>
      </x:c>
      <x:c r="C3114" s="23" t="n">
        <x:v>1.652774</x:v>
      </x:c>
      <x:c r="D3114" s="23" t="n">
        <x:v>-13.14877</x:v>
      </x:c>
      <x:c r="E3114" s="23" t="n">
        <x:f>'Parameters'!$B$2*'Parameters'!$B$3*LN(4*PI()*C3114^2)</x:f>
        <x:v>8.765429495909736</x:v>
      </x:c>
      <x:c r="F3114" s="23" t="n">
        <x:f>D3114+E3114</x:f>
        <x:v>-4.383340504090265</x:v>
      </x:c>
      <x:c r="G3114" s="23" t="n">
        <x:f>AVERAGE($F$3146:$F$3169)</x:f>
        <x:v>-4.701161883286471</x:v>
      </x:c>
      <x:c r="H3114" s="24" t="n">
        <x:f>F3114-G3114</x:f>
        <x:v>0.31782137919620634</x:v>
      </x:c>
    </x:row>
    <x:row r="3115">
      <x:c r="A3115" s="2" t="str">
        <x:v>LiN3-Core</x:v>
      </x:c>
      <x:c r="B3115" s="4" t="str">
        <x:v>NaCl</x:v>
      </x:c>
      <x:c r="C3115" s="23" t="n">
        <x:v>1.665408</x:v>
      </x:c>
      <x:c r="D3115" s="23" t="n">
        <x:v>-13.28998</x:v>
      </x:c>
      <x:c r="E3115" s="23" t="n">
        <x:f>'Parameters'!$B$2*'Parameters'!$B$3*LN(4*PI()*C3115^2)</x:f>
        <x:v>8.803184259764121</x:v>
      </x:c>
      <x:c r="F3115" s="23" t="n">
        <x:f>D3115+E3115</x:f>
        <x:v>-4.486795740235879</x:v>
      </x:c>
      <x:c r="G3115" s="23" t="n">
        <x:f>AVERAGE($F$3146:$F$3169)</x:f>
        <x:v>-4.701161883286471</x:v>
      </x:c>
      <x:c r="H3115" s="24" t="n">
        <x:f>F3115-G3115</x:f>
        <x:v>0.21436614305059276</x:v>
      </x:c>
    </x:row>
    <x:row r="3116">
      <x:c r="A3116" s="2" t="str">
        <x:v>LiN3-Core</x:v>
      </x:c>
      <x:c r="B3116" s="4" t="str">
        <x:v>NaCl</x:v>
      </x:c>
      <x:c r="C3116" s="23" t="n">
        <x:v>1.678042</x:v>
      </x:c>
      <x:c r="D3116" s="23" t="n">
        <x:v>-13.32346</x:v>
      </x:c>
      <x:c r="E3116" s="23" t="n">
        <x:f>'Parameters'!$B$2*'Parameters'!$B$3*LN(4*PI()*C3116^2)</x:f>
        <x:v>8.840653690657353</x:v>
      </x:c>
      <x:c r="F3116" s="23" t="n">
        <x:f>D3116+E3116</x:f>
        <x:v>-4.482806309342648</x:v>
      </x:c>
      <x:c r="G3116" s="23" t="n">
        <x:f>AVERAGE($F$3146:$F$3169)</x:f>
        <x:v>-4.701161883286471</x:v>
      </x:c>
      <x:c r="H3116" s="24" t="n">
        <x:f>F3116-G3116</x:f>
        <x:v>0.21835557394382388</x:v>
      </x:c>
    </x:row>
    <x:row r="3117">
      <x:c r="A3117" s="2" t="str">
        <x:v>LiN3-Core</x:v>
      </x:c>
      <x:c r="B3117" s="4" t="str">
        <x:v>NaCl</x:v>
      </x:c>
      <x:c r="C3117" s="23" t="n">
        <x:v>1.690676</x:v>
      </x:c>
      <x:c r="D3117" s="23" t="n">
        <x:v>-13.38186</x:v>
      </x:c>
      <x:c r="E3117" s="23" t="n">
        <x:f>'Parameters'!$B$2*'Parameters'!$B$3*LN(4*PI()*C3117^2)</x:f>
        <x:v>8.877842069087498</x:v>
      </x:c>
      <x:c r="F3117" s="23" t="n">
        <x:f>D3117+E3117</x:f>
        <x:v>-4.504017930912502</x:v>
      </x:c>
      <x:c r="G3117" s="23" t="n">
        <x:f>AVERAGE($F$3146:$F$3169)</x:f>
        <x:v>-4.701161883286471</x:v>
      </x:c>
      <x:c r="H3117" s="24" t="n">
        <x:f>F3117-G3117</x:f>
        <x:v>0.19714395237396953</x:v>
      </x:c>
    </x:row>
    <x:row r="3118">
      <x:c r="A3118" s="2" t="str">
        <x:v>LiN3-Core</x:v>
      </x:c>
      <x:c r="B3118" s="4" t="str">
        <x:v>NaCl</x:v>
      </x:c>
      <x:c r="C3118" s="23" t="n">
        <x:v>1.703309</x:v>
      </x:c>
      <x:c r="D3118" s="23" t="n">
        <x:v>-13.48213</x:v>
      </x:c>
      <x:c r="E3118" s="23" t="n">
        <x:f>'Parameters'!$B$2*'Parameters'!$B$3*LN(4*PI()*C3118^2)</x:f>
        <x:v>8.914750669193284</x:v>
      </x:c>
      <x:c r="F3118" s="23" t="n">
        <x:f>D3118+E3118</x:f>
        <x:v>-4.567379330806716</x:v>
      </x:c>
      <x:c r="G3118" s="23" t="n">
        <x:f>AVERAGE($F$3146:$F$3169)</x:f>
        <x:v>-4.701161883286471</x:v>
      </x:c>
      <x:c r="H3118" s="24" t="n">
        <x:f>F3118-G3118</x:f>
        <x:v>0.13378255247975535</x:v>
      </x:c>
    </x:row>
    <x:row r="3119">
      <x:c r="A3119" s="2" t="str">
        <x:v>LiN3-Core</x:v>
      </x:c>
      <x:c r="B3119" s="4" t="str">
        <x:v>NaCl</x:v>
      </x:c>
      <x:c r="C3119" s="23" t="n">
        <x:v>1.715943</x:v>
      </x:c>
      <x:c r="D3119" s="23" t="n">
        <x:v>-13.54553</x:v>
      </x:c>
      <x:c r="E3119" s="23" t="n">
        <x:f>'Parameters'!$B$2*'Parameters'!$B$3*LN(4*PI()*C3119^2)</x:f>
        <x:v>8.951389426025216</x:v>
      </x:c>
      <x:c r="F3119" s="23" t="n">
        <x:f>D3119+E3119</x:f>
        <x:v>-4.594140573974784</x:v>
      </x:c>
      <x:c r="G3119" s="23" t="n">
        <x:f>AVERAGE($F$3146:$F$3169)</x:f>
        <x:v>-4.701161883286471</x:v>
      </x:c>
      <x:c r="H3119" s="24" t="n">
        <x:f>F3119-G3119</x:f>
        <x:v>0.10702130931168785</x:v>
      </x:c>
    </x:row>
    <x:row r="3120">
      <x:c r="A3120" s="2" t="str">
        <x:v>LiN3-Core</x:v>
      </x:c>
      <x:c r="B3120" s="4" t="str">
        <x:v>NaCl</x:v>
      </x:c>
      <x:c r="C3120" s="23" t="n">
        <x:v>1.728577</x:v>
      </x:c>
      <x:c r="D3120" s="23" t="n">
        <x:v>-13.60639</x:v>
      </x:c>
      <x:c r="E3120" s="23" t="n">
        <x:f>'Parameters'!$B$2*'Parameters'!$B$3*LN(4*PI()*C3120^2)</x:f>
        <x:v>8.987759409140754</x:v>
      </x:c>
      <x:c r="F3120" s="23" t="n">
        <x:f>D3120+E3120</x:f>
        <x:v>-4.6186305908592455</x:v>
      </x:c>
      <x:c r="G3120" s="23" t="n">
        <x:f>AVERAGE($F$3146:$F$3169)</x:f>
        <x:v>-4.701161883286471</x:v>
      </x:c>
      <x:c r="H3120" s="24" t="n">
        <x:f>F3120-G3120</x:f>
        <x:v>0.0825312924272259</x:v>
      </x:c>
    </x:row>
    <x:row r="3121">
      <x:c r="A3121" s="2" t="str">
        <x:v>LiN3-Core</x:v>
      </x:c>
      <x:c r="B3121" s="4" t="str">
        <x:v>NaCl</x:v>
      </x:c>
      <x:c r="C3121" s="23" t="n">
        <x:v>1.74121</x:v>
      </x:c>
      <x:c r="D3121" s="23" t="n">
        <x:v>-13.65685</x:v>
      </x:c>
      <x:c r="E3121" s="23" t="n">
        <x:f>'Parameters'!$B$2*'Parameters'!$B$3*LN(4*PI()*C3121^2)</x:f>
        <x:v>9.0238616857731</x:v>
      </x:c>
      <x:c r="F3121" s="23" t="n">
        <x:f>D3121+E3121</x:f>
        <x:v>-4.6329883142269</x:v>
      </x:c>
      <x:c r="G3121" s="23" t="n">
        <x:f>AVERAGE($F$3146:$F$3169)</x:f>
        <x:v>-4.701161883286471</x:v>
      </x:c>
      <x:c r="H3121" s="24" t="n">
        <x:f>F3121-G3121</x:f>
        <x:v>0.06817356905957173</x:v>
      </x:c>
    </x:row>
    <x:row r="3122">
      <x:c r="A3122" s="2" t="str">
        <x:v>LiN3-Core</x:v>
      </x:c>
      <x:c r="B3122" s="4" t="str">
        <x:v>NaCl</x:v>
      </x:c>
      <x:c r="C3122" s="23" t="n">
        <x:v>1.753844</x:v>
      </x:c>
      <x:c r="D3122" s="23" t="n">
        <x:v>-13.62697</x:v>
      </x:c>
      <x:c r="E3122" s="23" t="n">
        <x:f>'Parameters'!$B$2*'Parameters'!$B$3*LN(4*PI()*C3122^2)</x:f>
        <x:v>9.059705800946382</x:v>
      </x:c>
      <x:c r="F3122" s="23" t="n">
        <x:f>D3122+E3122</x:f>
        <x:v>-4.567264199053618</x:v>
      </x:c>
      <x:c r="G3122" s="23" t="n">
        <x:f>AVERAGE($F$3146:$F$3169)</x:f>
        <x:v>-4.701161883286471</x:v>
      </x:c>
      <x:c r="H3122" s="24" t="n">
        <x:f>F3122-G3122</x:f>
        <x:v>0.13389768423285364</x:v>
      </x:c>
    </x:row>
    <x:row r="3123">
      <x:c r="A3123" s="2" t="str">
        <x:v>LiN3-Core</x:v>
      </x:c>
      <x:c r="B3123" s="4" t="str">
        <x:v>NaCl</x:v>
      </x:c>
      <x:c r="C3123" s="23" t="n">
        <x:v>1.766478</x:v>
      </x:c>
      <x:c r="D3123" s="23" t="n">
        <x:v>-13.62321</x:v>
      </x:c>
      <x:c r="E3123" s="23" t="n">
        <x:f>'Parameters'!$B$2*'Parameters'!$B$3*LN(4*PI()*C3123^2)</x:f>
        <x:v>9.095292633715541</x:v>
      </x:c>
      <x:c r="F3123" s="23" t="n">
        <x:f>D3123+E3123</x:f>
        <x:v>-4.527917366284459</x:v>
      </x:c>
      <x:c r="G3123" s="23" t="n">
        <x:f>AVERAGE($F$3146:$F$3169)</x:f>
        <x:v>-4.701161883286471</x:v>
      </x:c>
      <x:c r="H3123" s="24" t="n">
        <x:f>F3123-G3123</x:f>
        <x:v>0.17324451700201227</x:v>
      </x:c>
    </x:row>
    <x:row r="3124">
      <x:c r="A3124" s="2" t="str">
        <x:v>LiN3-Core</x:v>
      </x:c>
      <x:c r="B3124" s="4" t="str">
        <x:v>NaCl</x:v>
      </x:c>
      <x:c r="C3124" s="23" t="n">
        <x:v>1.779112</x:v>
      </x:c>
      <x:c r="D3124" s="23" t="n">
        <x:v>-13.67409</x:v>
      </x:c>
      <x:c r="E3124" s="23" t="n">
        <x:f>'Parameters'!$B$2*'Parameters'!$B$3*LN(4*PI()*C3124^2)</x:f>
        <x:v>9.130625851224794</x:v>
      </x:c>
      <x:c r="F3124" s="23" t="n">
        <x:f>D3124+E3124</x:f>
        <x:v>-4.543464148775206</x:v>
      </x:c>
      <x:c r="G3124" s="23" t="n">
        <x:f>AVERAGE($F$3146:$F$3169)</x:f>
        <x:v>-4.701161883286471</x:v>
      </x:c>
      <x:c r="H3124" s="24" t="n">
        <x:f>F3124-G3124</x:f>
        <x:v>0.15769773451126579</x:v>
      </x:c>
    </x:row>
    <x:row r="3125">
      <x:c r="A3125" s="2" t="str">
        <x:v>LiN3-Core</x:v>
      </x:c>
      <x:c r="B3125" s="4" t="str">
        <x:v>NaCl</x:v>
      </x:c>
      <x:c r="C3125" s="23" t="n">
        <x:v>1.791745</x:v>
      </x:c>
      <x:c r="D3125" s="23" t="n">
        <x:v>-13.77593</x:v>
      </x:c>
      <x:c r="E3125" s="23" t="n">
        <x:f>'Parameters'!$B$2*'Parameters'!$B$3*LN(4*PI()*C3125^2)</x:f>
        <x:v>9.165706275682933</x:v>
      </x:c>
      <x:c r="F3125" s="23" t="n">
        <x:f>D3125+E3125</x:f>
        <x:v>-4.610223724317068</x:v>
      </x:c>
      <x:c r="G3125" s="23" t="n">
        <x:f>AVERAGE($F$3146:$F$3169)</x:f>
        <x:v>-4.701161883286471</x:v>
      </x:c>
      <x:c r="H3125" s="24" t="n">
        <x:f>F3125-G3125</x:f>
        <x:v>0.09093815896940338</x:v>
      </x:c>
    </x:row>
    <x:row r="3126">
      <x:c r="A3126" s="2" t="str">
        <x:v>LiN3-Core</x:v>
      </x:c>
      <x:c r="B3126" s="4" t="str">
        <x:v>NaCl</x:v>
      </x:c>
      <x:c r="C3126" s="23" t="n">
        <x:v>1.804379</x:v>
      </x:c>
      <x:c r="D3126" s="23" t="n">
        <x:v>-13.76905</x:v>
      </x:c>
      <x:c r="E3126" s="23" t="n">
        <x:f>'Parameters'!$B$2*'Parameters'!$B$3*LN(4*PI()*C3126^2)</x:f>
        <x:v>9.200542974270505</x:v>
      </x:c>
      <x:c r="F3126" s="23" t="n">
        <x:f>D3126+E3126</x:f>
        <x:v>-4.568507025729495</x:v>
      </x:c>
      <x:c r="G3126" s="23" t="n">
        <x:f>AVERAGE($F$3146:$F$3169)</x:f>
        <x:v>-4.701161883286471</x:v>
      </x:c>
      <x:c r="H3126" s="24" t="n">
        <x:f>F3126-G3126</x:f>
        <x:v>0.13265485755697615</x:v>
      </x:c>
    </x:row>
    <x:row r="3127">
      <x:c r="A3127" s="2" t="str">
        <x:v>LiN3-Core</x:v>
      </x:c>
      <x:c r="B3127" s="4" t="str">
        <x:v>NaCl</x:v>
      </x:c>
      <x:c r="C3127" s="23" t="n">
        <x:v>1.817013</x:v>
      </x:c>
      <x:c r="D3127" s="23" t="n">
        <x:v>-13.81575</x:v>
      </x:c>
      <x:c r="E3127" s="23" t="n">
        <x:f>'Parameters'!$B$2*'Parameters'!$B$3*LN(4*PI()*C3127^2)</x:f>
        <x:v>9.235136600341338</x:v>
      </x:c>
      <x:c r="F3127" s="23" t="n">
        <x:f>D3127+E3127</x:f>
        <x:v>-4.580613399658661</x:v>
      </x:c>
      <x:c r="G3127" s="23" t="n">
        <x:f>AVERAGE($F$3146:$F$3169)</x:f>
        <x:v>-4.701161883286471</x:v>
      </x:c>
      <x:c r="H3127" s="24" t="n">
        <x:f>F3127-G3127</x:f>
        <x:v>0.12054848362781012</x:v>
      </x:c>
    </x:row>
    <x:row r="3128">
      <x:c r="A3128" s="2" t="str">
        <x:v>LiN3-Core</x:v>
      </x:c>
      <x:c r="B3128" s="4" t="str">
        <x:v>NaCl</x:v>
      </x:c>
      <x:c r="C3128" s="23" t="n">
        <x:v>1.829647</x:v>
      </x:c>
      <x:c r="D3128" s="23" t="n">
        <x:v>-13.99341</x:v>
      </x:c>
      <x:c r="E3128" s="23" t="n">
        <x:f>'Parameters'!$B$2*'Parameters'!$B$3*LN(4*PI()*C3128^2)</x:f>
        <x:v>9.26949052247413</x:v>
      </x:c>
      <x:c r="F3128" s="23" t="n">
        <x:f>D3128+E3128</x:f>
        <x:v>-4.72391947752587</x:v>
      </x:c>
      <x:c r="G3128" s="23" t="n">
        <x:f>AVERAGE($F$3146:$F$3169)</x:f>
        <x:v>-4.701161883286471</x:v>
      </x:c>
      <x:c r="H3128" s="24" t="n">
        <x:f>F3128-G3128</x:f>
        <x:v>-0.022757594239398493</x:v>
      </x:c>
    </x:row>
    <x:row r="3129">
      <x:c r="A3129" s="2" t="str">
        <x:v>LiN3-Core</x:v>
      </x:c>
      <x:c r="B3129" s="4" t="str">
        <x:v>NaCl</x:v>
      </x:c>
      <x:c r="C3129" s="23" t="n">
        <x:v>1.84228</x:v>
      </x:c>
      <x:c r="D3129" s="23" t="n">
        <x:v>-13.97922</x:v>
      </x:c>
      <x:c r="E3129" s="23" t="n">
        <x:f>'Parameters'!$B$2*'Parameters'!$B$3*LN(4*PI()*C3129^2)</x:f>
        <x:v>9.303605348521819</x:v>
      </x:c>
      <x:c r="F3129" s="23" t="n">
        <x:f>D3129+E3129</x:f>
        <x:v>-4.675614651478181</x:v>
      </x:c>
      <x:c r="G3129" s="23" t="n">
        <x:f>AVERAGE($F$3146:$F$3169)</x:f>
        <x:v>-4.701161883286471</x:v>
      </x:c>
      <x:c r="H3129" s="24" t="n">
        <x:f>F3129-G3129</x:f>
        <x:v>0.025547231808290327</x:v>
      </x:c>
    </x:row>
    <x:row r="3130">
      <x:c r="A3130" s="2" t="str">
        <x:v>LiN3-Core</x:v>
      </x:c>
      <x:c r="B3130" s="4" t="str">
        <x:v>NaCl</x:v>
      </x:c>
      <x:c r="C3130" s="23" t="n">
        <x:v>1.854914</x:v>
      </x:c>
      <x:c r="D3130" s="23" t="n">
        <x:v>-14.13381</x:v>
      </x:c>
      <x:c r="E3130" s="23" t="n">
        <x:f>'Parameters'!$B$2*'Parameters'!$B$3*LN(4*PI()*C3130^2)</x:f>
        <x:v>9.33748971057485</x:v>
      </x:c>
      <x:c r="F3130" s="23" t="n">
        <x:f>D3130+E3130</x:f>
        <x:v>-4.79632028942515</x:v>
      </x:c>
      <x:c r="G3130" s="23" t="n">
        <x:f>AVERAGE($F$3146:$F$3169)</x:f>
        <x:v>-4.701161883286471</x:v>
      </x:c>
      <x:c r="H3130" s="24" t="n">
        <x:f>F3130-G3130</x:f>
        <x:v>-0.09515840613867876</x:v>
      </x:c>
    </x:row>
    <x:row r="3131">
      <x:c r="A3131" s="2" t="str">
        <x:v>LiN3-Core</x:v>
      </x:c>
      <x:c r="B3131" s="4" t="str">
        <x:v>NaCl</x:v>
      </x:c>
      <x:c r="C3131" s="23" t="n">
        <x:v>1.867548</x:v>
      </x:c>
      <x:c r="D3131" s="23" t="n">
        <x:v>-14.23074</x:v>
      </x:c>
      <x:c r="E3131" s="23" t="n">
        <x:f>'Parameters'!$B$2*'Parameters'!$B$3*LN(4*PI()*C3131^2)</x:f>
        <x:v>9.371144064461797</x:v>
      </x:c>
      <x:c r="F3131" s="23" t="n">
        <x:f>D3131+E3131</x:f>
        <x:v>-4.859595935538204</x:v>
      </x:c>
      <x:c r="G3131" s="23" t="n">
        <x:f>AVERAGE($F$3146:$F$3169)</x:f>
        <x:v>-4.701161883286471</x:v>
      </x:c>
      <x:c r="H3131" s="24" t="n">
        <x:f>F3131-G3131</x:f>
        <x:v>-0.15843405225173246</x:v>
      </x:c>
    </x:row>
    <x:row r="3132">
      <x:c r="A3132" s="2" t="str">
        <x:v>LiN3-Core</x:v>
      </x:c>
      <x:c r="B3132" s="4" t="str">
        <x:v>NaCl</x:v>
      </x:c>
      <x:c r="C3132" s="23" t="n">
        <x:v>1.880181</x:v>
      </x:c>
      <x:c r="D3132" s="23" t="n">
        <x:v>-14.20272</x:v>
      </x:c>
      <x:c r="E3132" s="23" t="n">
        <x:f>'Parameters'!$B$2*'Parameters'!$B$3*LN(4*PI()*C3132^2)</x:f>
        <x:v>9.404568874813226</x:v>
      </x:c>
      <x:c r="F3132" s="23" t="n">
        <x:f>D3132+E3132</x:f>
        <x:v>-4.798151125186774</x:v>
      </x:c>
      <x:c r="G3132" s="23" t="n">
        <x:f>AVERAGE($F$3146:$F$3169)</x:f>
        <x:v>-4.701161883286471</x:v>
      </x:c>
      <x:c r="H3132" s="24" t="n">
        <x:f>F3132-G3132</x:f>
        <x:v>-0.09698924190030223</x:v>
      </x:c>
    </x:row>
    <x:row r="3133">
      <x:c r="A3133" s="2" t="str">
        <x:v>LiN3-Core</x:v>
      </x:c>
      <x:c r="B3133" s="4" t="str">
        <x:v>NaCl</x:v>
      </x:c>
      <x:c r="C3133" s="23" t="n">
        <x:v>1.892815</x:v>
      </x:c>
      <x:c r="D3133" s="23" t="n">
        <x:v>-14.28242</x:v>
      </x:c>
      <x:c r="E3133" s="23" t="n">
        <x:f>'Parameters'!$B$2*'Parameters'!$B$3*LN(4*PI()*C3133^2)</x:f>
        <x:v>9.437772472346708</x:v>
      </x:c>
      <x:c r="F3133" s="23" t="n">
        <x:f>D3133+E3133</x:f>
        <x:v>-4.844647527653292</x:v>
      </x:c>
      <x:c r="G3133" s="23" t="n">
        <x:f>AVERAGE($F$3146:$F$3169)</x:f>
        <x:v>-4.701161883286471</x:v>
      </x:c>
      <x:c r="H3133" s="24" t="n">
        <x:f>F3133-G3133</x:f>
        <x:v>-0.14348564436682043</x:v>
      </x:c>
    </x:row>
    <x:row r="3134">
      <x:c r="A3134" s="2" t="str">
        <x:v>LiN3-Core</x:v>
      </x:c>
      <x:c r="B3134" s="4" t="str">
        <x:v>NaCl</x:v>
      </x:c>
      <x:c r="C3134" s="23" t="n">
        <x:v>1.905449</x:v>
      </x:c>
      <x:c r="D3134" s="23" t="n">
        <x:v>-14.34892</x:v>
      </x:c>
      <x:c r="E3134" s="23" t="n">
        <x:f>'Parameters'!$B$2*'Parameters'!$B$3*LN(4*PI()*C3134^2)</x:f>
        <x:v>9.470755180886792</x:v>
      </x:c>
      <x:c r="F3134" s="23" t="n">
        <x:f>D3134+E3134</x:f>
        <x:v>-4.878164819113207</x:v>
      </x:c>
      <x:c r="G3134" s="23" t="n">
        <x:f>AVERAGE($F$3146:$F$3169)</x:f>
        <x:v>-4.701161883286471</x:v>
      </x:c>
      <x:c r="H3134" s="24" t="n">
        <x:f>F3134-G3134</x:f>
        <x:v>-0.17700293582673599</x:v>
      </x:c>
    </x:row>
    <x:row r="3135">
      <x:c r="A3135" s="2" t="str">
        <x:v>LiN3-Core</x:v>
      </x:c>
      <x:c r="B3135" s="4" t="str">
        <x:v>NaCl</x:v>
      </x:c>
      <x:c r="C3135" s="23" t="n">
        <x:v>1.918083</x:v>
      </x:c>
      <x:c r="D3135" s="23" t="n">
        <x:v>-14.46129</x:v>
      </x:c>
      <x:c r="E3135" s="23" t="n">
        <x:f>'Parameters'!$B$2*'Parameters'!$B$3*LN(4*PI()*C3135^2)</x:f>
        <x:v>9.503519919977203</x:v>
      </x:c>
      <x:c r="F3135" s="23" t="n">
        <x:f>D3135+E3135</x:f>
        <x:v>-4.957770080022797</x:v>
      </x:c>
      <x:c r="G3135" s="23" t="n">
        <x:f>AVERAGE($F$3146:$F$3169)</x:f>
        <x:v>-4.701161883286471</x:v>
      </x:c>
      <x:c r="H3135" s="24" t="n">
        <x:f>F3135-G3135</x:f>
        <x:v>-0.25660819673632584</x:v>
      </x:c>
    </x:row>
    <x:row r="3136">
      <x:c r="A3136" s="2" t="str">
        <x:v>LiN3-Core</x:v>
      </x:c>
      <x:c r="B3136" s="4" t="str">
        <x:v>NaCl</x:v>
      </x:c>
      <x:c r="C3136" s="23" t="n">
        <x:v>1.930716</x:v>
      </x:c>
      <x:c r="D3136" s="23" t="n">
        <x:v>-14.41752</x:v>
      </x:c>
      <x:c r="E3136" s="23" t="n">
        <x:f>'Parameters'!$B$2*'Parameters'!$B$3*LN(4*PI()*C3136^2)</x:f>
        <x:v>9.536066983744922</x:v>
      </x:c>
      <x:c r="F3136" s="23" t="n">
        <x:f>D3136+E3136</x:f>
        <x:v>-4.881453016255078</x:v>
      </x:c>
      <x:c r="G3136" s="23" t="n">
        <x:f>AVERAGE($F$3146:$F$3169)</x:f>
        <x:v>-4.701161883286471</x:v>
      </x:c>
      <x:c r="H3136" s="24" t="n">
        <x:f>F3136-G3136</x:f>
        <x:v>-0.18029113296860633</x:v>
      </x:c>
    </x:row>
    <x:row r="3137">
      <x:c r="A3137" s="2" t="str">
        <x:v>LiN3-Core</x:v>
      </x:c>
      <x:c r="B3137" s="4" t="str">
        <x:v>NaCl</x:v>
      </x:c>
      <x:c r="C3137" s="23" t="n">
        <x:v>1.94335</x:v>
      </x:c>
      <x:c r="D3137" s="23" t="n">
        <x:v>-14.44576</x:v>
      </x:c>
      <x:c r="E3137" s="23" t="n">
        <x:f>'Parameters'!$B$2*'Parameters'!$B$3*LN(4*PI()*C3137^2)</x:f>
        <x:v>9.56840433075107</x:v>
      </x:c>
      <x:c r="F3137" s="23" t="n">
        <x:f>D3137+E3137</x:f>
        <x:v>-4.87735566924893</x:v>
      </x:c>
      <x:c r="G3137" s="23" t="n">
        <x:f>AVERAGE($F$3146:$F$3169)</x:f>
        <x:v>-4.701161883286471</x:v>
      </x:c>
      <x:c r="H3137" s="24" t="n">
        <x:f>F3137-G3137</x:f>
        <x:v>-0.17619378596245827</x:v>
      </x:c>
    </x:row>
    <x:row r="3138">
      <x:c r="A3138" s="2" t="str">
        <x:v>LiN3-Core</x:v>
      </x:c>
      <x:c r="B3138" s="4" t="str">
        <x:v>NaCl</x:v>
      </x:c>
      <x:c r="C3138" s="23" t="n">
        <x:v>1.955984</x:v>
      </x:c>
      <x:c r="D3138" s="23" t="n">
        <x:v>-14.55709</x:v>
      </x:c>
      <x:c r="E3138" s="23" t="n">
        <x:f>'Parameters'!$B$2*'Parameters'!$B$3*LN(4*PI()*C3138^2)</x:f>
        <x:v>9.600532127659331</x:v>
      </x:c>
      <x:c r="F3138" s="23" t="n">
        <x:f>D3138+E3138</x:f>
        <x:v>-4.956557872340669</x:v>
      </x:c>
      <x:c r="G3138" s="23" t="n">
        <x:f>AVERAGE($F$3146:$F$3169)</x:f>
        <x:v>-4.701161883286471</x:v>
      </x:c>
      <x:c r="H3138" s="24" t="n">
        <x:f>F3138-G3138</x:f>
        <x:v>-0.2553959890541977</x:v>
      </x:c>
    </x:row>
    <x:row r="3139">
      <x:c r="A3139" s="2" t="str">
        <x:v>LiN3-Core</x:v>
      </x:c>
      <x:c r="B3139" s="4" t="str">
        <x:v>NaCl</x:v>
      </x:c>
      <x:c r="C3139" s="23" t="n">
        <x:v>1.968617</x:v>
      </x:c>
      <x:c r="D3139" s="23" t="n">
        <x:v>-14.51507</x:v>
      </x:c>
      <x:c r="E3139" s="23" t="n">
        <x:f>'Parameters'!$B$2*'Parameters'!$B$3*LN(4*PI()*C3139^2)</x:f>
        <x:v>9.632450554340684</x:v>
      </x:c>
      <x:c r="F3139" s="23" t="n">
        <x:f>D3139+E3139</x:f>
        <x:v>-4.882619445659316</x:v>
      </x:c>
      <x:c r="G3139" s="23" t="n">
        <x:f>AVERAGE($F$3146:$F$3169)</x:f>
        <x:v>-4.701161883286471</x:v>
      </x:c>
      <x:c r="H3139" s="24" t="n">
        <x:f>F3139-G3139</x:f>
        <x:v>-0.18145756237284427</x:v>
      </x:c>
    </x:row>
    <x:row r="3140">
      <x:c r="A3140" s="2" t="str">
        <x:v>LiN3-Core</x:v>
      </x:c>
      <x:c r="B3140" s="4" t="str">
        <x:v>NaCl</x:v>
      </x:c>
      <x:c r="C3140" s="23" t="n">
        <x:v>1.981251</x:v>
      </x:c>
      <x:c r="D3140" s="23" t="n">
        <x:v>-14.47233</x:v>
      </x:c>
      <x:c r="E3140" s="23" t="n">
        <x:f>'Parameters'!$B$2*'Parameters'!$B$3*LN(4*PI()*C3140^2)</x:f>
        <x:v>9.664167310364935</x:v>
      </x:c>
      <x:c r="F3140" s="23" t="n">
        <x:f>D3140+E3140</x:f>
        <x:v>-4.808162689635065</x:v>
      </x:c>
      <x:c r="G3140" s="23" t="n">
        <x:f>AVERAGE($F$3146:$F$3169)</x:f>
        <x:v>-4.701161883286471</x:v>
      </x:c>
      <x:c r="H3140" s="24" t="n">
        <x:f>F3140-G3140</x:f>
        <x:v>-0.10700080634859344</x:v>
      </x:c>
    </x:row>
    <x:row r="3141">
      <x:c r="A3141" s="2" t="str">
        <x:v>LiN3-Core</x:v>
      </x:c>
      <x:c r="B3141" s="4" t="str">
        <x:v>NaCl</x:v>
      </x:c>
      <x:c r="C3141" s="23" t="n">
        <x:v>1.993885</x:v>
      </x:c>
      <x:c r="D3141" s="23" t="n">
        <x:v>-14.50477</x:v>
      </x:c>
      <x:c r="E3141" s="23" t="n">
        <x:f>'Parameters'!$B$2*'Parameters'!$B$3*LN(4*PI()*C3141^2)</x:f>
        <x:v>9.695682457084386</x:v>
      </x:c>
      <x:c r="F3141" s="23" t="n">
        <x:f>D3141+E3141</x:f>
        <x:v>-4.809087542915615</x:v>
      </x:c>
      <x:c r="G3141" s="23" t="n">
        <x:f>AVERAGE($F$3146:$F$3169)</x:f>
        <x:v>-4.701161883286471</x:v>
      </x:c>
      <x:c r="H3141" s="24" t="n">
        <x:f>F3141-G3141</x:f>
        <x:v>-0.10792565962914313</x:v>
      </x:c>
    </x:row>
    <x:row r="3142">
      <x:c r="A3142" s="2" t="str">
        <x:v>LiN3-Core</x:v>
      </x:c>
      <x:c r="B3142" s="4" t="str">
        <x:v>NaCl</x:v>
      </x:c>
      <x:c r="C3142" s="23" t="n">
        <x:v>2.006519</x:v>
      </x:c>
      <x:c r="D3142" s="23" t="n">
        <x:v>-14.49445</x:v>
      </x:c>
      <x:c r="E3142" s="23" t="n">
        <x:f>'Parameters'!$B$2*'Parameters'!$B$3*LN(4*PI()*C3142^2)</x:f>
        <x:v>9.726998541399322</x:v>
      </x:c>
      <x:c r="F3142" s="23" t="n">
        <x:f>D3142+E3142</x:f>
        <x:v>-4.767451458600679</x:v>
      </x:c>
      <x:c r="G3142" s="23" t="n">
        <x:f>AVERAGE($F$3146:$F$3169)</x:f>
        <x:v>-4.701161883286471</x:v>
      </x:c>
      <x:c r="H3142" s="24" t="n">
        <x:f>F3142-G3142</x:f>
        <x:v>-0.0662895753142072</x:v>
      </x:c>
    </x:row>
    <x:row r="3143">
      <x:c r="A3143" s="2" t="str">
        <x:v>LiN3-Core</x:v>
      </x:c>
      <x:c r="B3143" s="4" t="str">
        <x:v>NaCl</x:v>
      </x:c>
      <x:c r="C3143" s="23" t="n">
        <x:v>2.019152</x:v>
      </x:c>
      <x:c r="D3143" s="23" t="n">
        <x:v>-14.50315</x:v>
      </x:c>
      <x:c r="E3143" s="23" t="n">
        <x:f>'Parameters'!$B$2*'Parameters'!$B$3*LN(4*PI()*C3143^2)</x:f>
        <x:v>9.758115606807793</x:v>
      </x:c>
      <x:c r="F3143" s="23" t="n">
        <x:f>D3143+E3143</x:f>
        <x:v>-4.745034393192206</x:v>
      </x:c>
      <x:c r="G3143" s="23" t="n">
        <x:f>AVERAGE($F$3146:$F$3169)</x:f>
        <x:v>-4.701161883286471</x:v>
      </x:c>
      <x:c r="H3143" s="24" t="n">
        <x:f>F3143-G3143</x:f>
        <x:v>-0.04387250990573488</x:v>
      </x:c>
    </x:row>
    <x:row r="3144">
      <x:c r="A3144" s="2" t="str">
        <x:v>LiN3-Core</x:v>
      </x:c>
      <x:c r="B3144" s="4" t="str">
        <x:v>NaCl</x:v>
      </x:c>
      <x:c r="C3144" s="23" t="n">
        <x:v>2.031786</x:v>
      </x:c>
      <x:c r="D3144" s="23" t="n">
        <x:v>-14.56805</x:v>
      </x:c>
      <x:c r="E3144" s="23" t="n">
        <x:f>'Parameters'!$B$2*'Parameters'!$B$3*LN(4*PI()*C3144^2)</x:f>
        <x:v>9.789041031642965</x:v>
      </x:c>
      <x:c r="F3144" s="23" t="n">
        <x:f>D3144+E3144</x:f>
        <x:v>-4.779008968357035</x:v>
      </x:c>
      <x:c r="G3144" s="23" t="n">
        <x:f>AVERAGE($F$3146:$F$3169)</x:f>
        <x:v>-4.701161883286471</x:v>
      </x:c>
      <x:c r="H3144" s="24" t="n">
        <x:f>F3144-G3144</x:f>
        <x:v>-0.07784708507056326</x:v>
      </x:c>
    </x:row>
    <x:row r="3145">
      <x:c r="A3145" s="2" t="str">
        <x:v>LiN3-Core</x:v>
      </x:c>
      <x:c r="B3145" s="4" t="str">
        <x:v>NaCl</x:v>
      </x:c>
      <x:c r="C3145" s="23" t="n">
        <x:v>2.04442</x:v>
      </x:c>
      <x:c r="D3145" s="23" t="n">
        <x:v>-14.4939</x:v>
      </x:c>
      <x:c r="E3145" s="23" t="n">
        <x:f>'Parameters'!$B$2*'Parameters'!$B$3*LN(4*PI()*C3145^2)</x:f>
        <x:v>9.819774751580265</x:v>
      </x:c>
      <x:c r="F3145" s="23" t="n">
        <x:f>D3145+E3145</x:f>
        <x:v>-4.674125248419735</x:v>
      </x:c>
      <x:c r="G3145" s="23" t="n">
        <x:f>AVERAGE($F$3146:$F$3169)</x:f>
        <x:v>-4.701161883286471</x:v>
      </x:c>
      <x:c r="H3145" s="24" t="n">
        <x:f>F3145-G3145</x:f>
        <x:v>0.027036634866736797</x:v>
      </x:c>
    </x:row>
    <x:row r="3146">
      <x:c r="A3146" s="2" t="str">
        <x:v>LiN3-Core</x:v>
      </x:c>
      <x:c r="B3146" s="4" t="str">
        <x:v>NaCl</x:v>
      </x:c>
      <x:c r="C3146" s="23" t="n">
        <x:v>2.057053</x:v>
      </x:c>
      <x:c r="D3146" s="23" t="n">
        <x:v>-14.5707</x:v>
      </x:c>
      <x:c r="E3146" s="23" t="n">
        <x:f>'Parameters'!$B$2*'Parameters'!$B$3*LN(4*PI()*C3146^2)</x:f>
        <x:v>9.850316718517764</x:v>
      </x:c>
      <x:c r="F3146" s="23" t="n">
        <x:f>D3146+E3146</x:f>
        <x:v>-4.720383281482237</x:v>
      </x:c>
      <x:c r="G3146" s="23" t="n">
        <x:f>AVERAGE($F$3146:$F$3169)</x:f>
        <x:v>-4.701161883286471</x:v>
      </x:c>
      <x:c r="H3146" s="24" t="n">
        <x:f>F3146-G3146</x:f>
        <x:v>-0.019221398195765182</x:v>
      </x:c>
    </x:row>
    <x:row r="3147">
      <x:c r="A3147" s="2" t="str">
        <x:v>LiN3-Core</x:v>
      </x:c>
      <x:c r="B3147" s="4" t="str">
        <x:v>NaCl</x:v>
      </x:c>
      <x:c r="C3147" s="23" t="n">
        <x:v>2.069687</x:v>
      </x:c>
      <x:c r="D3147" s="23" t="n">
        <x:v>-14.59116</x:v>
      </x:c>
      <x:c r="E3147" s="23" t="n">
        <x:f>'Parameters'!$B$2*'Parameters'!$B$3*LN(4*PI()*C3147^2)</x:f>
        <x:v>9.880674086281656</x:v>
      </x:c>
      <x:c r="F3147" s="23" t="n">
        <x:f>D3147+E3147</x:f>
        <x:v>-4.710485913718344</x:v>
      </x:c>
      <x:c r="G3147" s="23" t="n">
        <x:f>AVERAGE($F$3146:$F$3169)</x:f>
        <x:v>-4.701161883286471</x:v>
      </x:c>
      <x:c r="H3147" s="24" t="n">
        <x:f>F3147-G3147</x:f>
        <x:v>-0.009324030431872465</x:v>
      </x:c>
    </x:row>
    <x:row r="3148">
      <x:c r="A3148" s="2" t="str">
        <x:v>LiN3-Core</x:v>
      </x:c>
      <x:c r="B3148" s="4" t="str">
        <x:v>NaCl</x:v>
      </x:c>
      <x:c r="C3148" s="23" t="n">
        <x:v>2.082321</x:v>
      </x:c>
      <x:c r="D3148" s="23" t="n">
        <x:v>-14.58397</x:v>
      </x:c>
      <x:c r="E3148" s="23" t="n">
        <x:f>'Parameters'!$B$2*'Parameters'!$B$3*LN(4*PI()*C3148^2)</x:f>
        <x:v>9.910846706155354</x:v>
      </x:c>
      <x:c r="F3148" s="23" t="n">
        <x:f>D3148+E3148</x:f>
        <x:v>-4.673123293844647</x:v>
      </x:c>
      <x:c r="G3148" s="23" t="n">
        <x:f>AVERAGE($F$3146:$F$3169)</x:f>
        <x:v>-4.701161883286471</x:v>
      </x:c>
      <x:c r="H3148" s="24" t="n">
        <x:f>F3148-G3148</x:f>
        <x:v>0.02803858944182469</x:v>
      </x:c>
    </x:row>
    <x:row r="3149">
      <x:c r="A3149" s="2" t="str">
        <x:v>LiN3-Core</x:v>
      </x:c>
      <x:c r="B3149" s="4" t="str">
        <x:v>NaCl</x:v>
      </x:c>
      <x:c r="C3149" s="23" t="n">
        <x:v>2.094955</x:v>
      </x:c>
      <x:c r="D3149" s="23" t="n">
        <x:v>-14.67523</x:v>
      </x:c>
      <x:c r="E3149" s="23" t="n">
        <x:f>'Parameters'!$B$2*'Parameters'!$B$3*LN(4*PI()*C3149^2)</x:f>
        <x:v>9.940836813209105</x:v>
      </x:c>
      <x:c r="F3149" s="23" t="n">
        <x:f>D3149+E3149</x:f>
        <x:v>-4.734393186790896</x:v>
      </x:c>
      <x:c r="G3149" s="23" t="n">
        <x:f>AVERAGE($F$3146:$F$3169)</x:f>
        <x:v>-4.701161883286471</x:v>
      </x:c>
      <x:c r="H3149" s="24" t="n">
        <x:f>F3149-G3149</x:f>
        <x:v>-0.033231303504424936</x:v>
      </x:c>
    </x:row>
    <x:row r="3150">
      <x:c r="A3150" s="2" t="str">
        <x:v>LiN3-Core</x:v>
      </x:c>
      <x:c r="B3150" s="4" t="str">
        <x:v>NaCl</x:v>
      </x:c>
      <x:c r="C3150" s="23" t="n">
        <x:v>2.107588</x:v>
      </x:c>
      <x:c r="D3150" s="23" t="n">
        <x:v>-14.72387</x:v>
      </x:c>
      <x:c r="E3150" s="23" t="n">
        <x:f>'Parameters'!$B$2*'Parameters'!$B$3*LN(4*PI()*C3150^2)</x:f>
        <x:v>9.970644249786407</x:v>
      </x:c>
      <x:c r="F3150" s="23" t="n">
        <x:f>D3150+E3150</x:f>
        <x:v>-4.753225750213593</x:v>
      </x:c>
      <x:c r="G3150" s="23" t="n">
        <x:f>AVERAGE($F$3146:$F$3169)</x:f>
        <x:v>-4.701161883286471</x:v>
      </x:c>
      <x:c r="H3150" s="24" t="n">
        <x:f>F3150-G3150</x:f>
        <x:v>-0.052063866927121616</x:v>
      </x:c>
    </x:row>
    <x:row r="3151">
      <x:c r="A3151" s="2" t="str">
        <x:v>LiN3-Core</x:v>
      </x:c>
      <x:c r="B3151" s="4" t="str">
        <x:v>NaCl</x:v>
      </x:c>
      <x:c r="C3151" s="23" t="n">
        <x:v>2.120222</x:v>
      </x:c>
      <x:c r="D3151" s="23" t="n">
        <x:v>-14.70839</x:v>
      </x:c>
      <x:c r="E3151" s="23" t="n">
        <x:f>'Parameters'!$B$2*'Parameters'!$B$3*LN(4*PI()*C3151^2)</x:f>
        <x:v>10.000275890128815</x:v>
      </x:c>
      <x:c r="F3151" s="23" t="n">
        <x:f>D3151+E3151</x:f>
        <x:v>-4.708114109871184</x:v>
      </x:c>
      <x:c r="G3151" s="23" t="n">
        <x:f>AVERAGE($F$3146:$F$3169)</x:f>
        <x:v>-4.701161883286471</x:v>
      </x:c>
      <x:c r="H3151" s="24" t="n">
        <x:f>F3151-G3151</x:f>
        <x:v>-0.0069522265847128395</x:v>
      </x:c>
    </x:row>
    <x:row r="3152">
      <x:c r="A3152" s="2" t="str">
        <x:v>LiN3-Core</x:v>
      </x:c>
      <x:c r="B3152" s="4" t="str">
        <x:v>NaCl</x:v>
      </x:c>
      <x:c r="C3152" s="23" t="n">
        <x:v>2.132856</x:v>
      </x:c>
      <x:c r="D3152" s="23" t="n">
        <x:v>-14.84511</x:v>
      </x:c>
      <x:c r="E3152" s="23" t="n">
        <x:f>'Parameters'!$B$2*'Parameters'!$B$3*LN(4*PI()*C3152^2)</x:f>
        <x:v>10.029731484627245</x:v>
      </x:c>
      <x:c r="F3152" s="23" t="n">
        <x:f>D3152+E3152</x:f>
        <x:v>-4.815378515372755</x:v>
      </x:c>
      <x:c r="G3152" s="23" t="n">
        <x:f>AVERAGE($F$3146:$F$3169)</x:f>
        <x:v>-4.701161883286471</x:v>
      </x:c>
      <x:c r="H3152" s="24" t="n">
        <x:f>F3152-G3152</x:f>
        <x:v>-0.11421663208628363</x:v>
      </x:c>
    </x:row>
    <x:row r="3153">
      <x:c r="A3153" s="2" t="str">
        <x:v>LiN3-Core</x:v>
      </x:c>
      <x:c r="B3153" s="4" t="str">
        <x:v>NaCl</x:v>
      </x:c>
      <x:c r="C3153" s="23" t="n">
        <x:v>2.145489</x:v>
      </x:c>
      <x:c r="D3153" s="23" t="n">
        <x:v>-14.85864</x:v>
      </x:c>
      <x:c r="E3153" s="23" t="n">
        <x:f>'Parameters'!$B$2*'Parameters'!$B$3*LN(4*PI()*C3153^2)</x:f>
        <x:v>10.05901080190624</x:v>
      </x:c>
      <x:c r="F3153" s="23" t="n">
        <x:f>D3153+E3153</x:f>
        <x:v>-4.7996291980937595</x:v>
      </x:c>
      <x:c r="G3153" s="23" t="n">
        <x:f>AVERAGE($F$3146:$F$3169)</x:f>
        <x:v>-4.701161883286471</x:v>
      </x:c>
      <x:c r="H3153" s="24" t="n">
        <x:f>F3153-G3153</x:f>
        <x:v>-0.0984673148072881</x:v>
      </x:c>
    </x:row>
    <x:row r="3154">
      <x:c r="A3154" s="2" t="str">
        <x:v>LiN3-Core</x:v>
      </x:c>
      <x:c r="B3154" s="4" t="str">
        <x:v>NaCl</x:v>
      </x:c>
      <x:c r="C3154" s="23" t="n">
        <x:v>2.158123</x:v>
      </x:c>
      <x:c r="D3154" s="23" t="n">
        <x:v>-14.887</x:v>
      </x:c>
      <x:c r="E3154" s="23" t="n">
        <x:f>'Parameters'!$B$2*'Parameters'!$B$3*LN(4*PI()*C3154^2)</x:f>
        <x:v>10.0881205200535</x:v>
      </x:c>
      <x:c r="F3154" s="23" t="n">
        <x:f>D3154+E3154</x:f>
        <x:v>-4.7988794799465</x:v>
      </x:c>
      <x:c r="G3154" s="23" t="n">
        <x:f>AVERAGE($F$3146:$F$3169)</x:f>
        <x:v>-4.701161883286471</x:v>
      </x:c>
      <x:c r="H3154" s="24" t="n">
        <x:f>F3154-G3154</x:f>
        <x:v>-0.09771759666002833</x:v>
      </x:c>
    </x:row>
    <x:row r="3155">
      <x:c r="A3155" s="2" t="str">
        <x:v>LiN3-Core</x:v>
      </x:c>
      <x:c r="B3155" s="4" t="str">
        <x:v>NaCl</x:v>
      </x:c>
      <x:c r="C3155" s="23" t="n">
        <x:v>2.170757</x:v>
      </x:c>
      <x:c r="D3155" s="23" t="n">
        <x:v>-14.83137</x:v>
      </x:c>
      <x:c r="E3155" s="23" t="n">
        <x:f>'Parameters'!$B$2*'Parameters'!$B$3*LN(4*PI()*C3155^2)</x:f>
        <x:v>10.117060321606335</x:v>
      </x:c>
      <x:c r="F3155" s="23" t="n">
        <x:f>D3155+E3155</x:f>
        <x:v>-4.714309678393665</x:v>
      </x:c>
      <x:c r="G3155" s="23" t="n">
        <x:f>AVERAGE($F$3146:$F$3169)</x:f>
        <x:v>-4.701161883286471</x:v>
      </x:c>
      <x:c r="H3155" s="24" t="n">
        <x:f>F3155-G3155</x:f>
        <x:v>-0.013147795107193438</x:v>
      </x:c>
    </x:row>
    <x:row r="3156">
      <x:c r="A3156" s="2" t="str">
        <x:v>LiN3-Core</x:v>
      </x:c>
      <x:c r="B3156" s="4" t="str">
        <x:v>NaCl</x:v>
      </x:c>
      <x:c r="C3156" s="23" t="n">
        <x:v>2.183391</x:v>
      </x:c>
      <x:c r="D3156" s="23" t="n">
        <x:v>-14.87369</x:v>
      </x:c>
      <x:c r="E3156" s="23" t="n">
        <x:f>'Parameters'!$B$2*'Parameters'!$B$3*LN(4*PI()*C3156^2)</x:f>
        <x:v>10.145832178702053</x:v>
      </x:c>
      <x:c r="F3156" s="23" t="n">
        <x:f>D3156+E3156</x:f>
        <x:v>-4.727857821297947</x:v>
      </x:c>
      <x:c r="G3156" s="23" t="n">
        <x:f>AVERAGE($F$3146:$F$3169)</x:f>
        <x:v>-4.701161883286471</x:v>
      </x:c>
      <x:c r="H3156" s="24" t="n">
        <x:f>F3156-G3156</x:f>
        <x:v>-0.02669593801147574</x:v>
      </x:c>
    </x:row>
    <x:row r="3157">
      <x:c r="A3157" s="2" t="str">
        <x:v>LiN3-Core</x:v>
      </x:c>
      <x:c r="B3157" s="4" t="str">
        <x:v>NaCl</x:v>
      </x:c>
      <x:c r="C3157" s="23" t="n">
        <x:v>2.196024</x:v>
      </x:c>
      <x:c r="D3157" s="23" t="n">
        <x:v>-15.0047</x:v>
      </x:c>
      <x:c r="E3157" s="23" t="n">
        <x:f>'Parameters'!$B$2*'Parameters'!$B$3*LN(4*PI()*C3157^2)</x:f>
        <x:v>10.174435771664532</x:v>
      </x:c>
      <x:c r="F3157" s="23" t="n">
        <x:f>D3157+E3157</x:f>
        <x:v>-4.8302642283354675</x:v>
      </x:c>
      <x:c r="G3157" s="23" t="n">
        <x:f>AVERAGE($F$3146:$F$3169)</x:f>
        <x:v>-4.701161883286471</x:v>
      </x:c>
      <x:c r="H3157" s="24" t="n">
        <x:f>F3157-G3157</x:f>
        <x:v>-0.1291023450489961</x:v>
      </x:c>
    </x:row>
    <x:row r="3158">
      <x:c r="A3158" s="2" t="str">
        <x:v>LiN3-Core</x:v>
      </x:c>
      <x:c r="B3158" s="4" t="str">
        <x:v>NaCl</x:v>
      </x:c>
      <x:c r="C3158" s="23" t="n">
        <x:v>2.208658</x:v>
      </x:c>
      <x:c r="D3158" s="23" t="n">
        <x:v>-14.96815</x:v>
      </x:c>
      <x:c r="E3158" s="23" t="n">
        <x:f>'Parameters'!$B$2*'Parameters'!$B$3*LN(4*PI()*C3158^2)</x:f>
        <x:v>10.20287753341001</x:v>
      </x:c>
      <x:c r="F3158" s="23" t="n">
        <x:f>D3158+E3158</x:f>
        <x:v>-4.765272466589989</x:v>
      </x:c>
      <x:c r="G3158" s="23" t="n">
        <x:f>AVERAGE($F$3146:$F$3169)</x:f>
        <x:v>-4.701161883286471</x:v>
      </x:c>
      <x:c r="H3158" s="24" t="n">
        <x:f>F3158-G3158</x:f>
        <x:v>-0.06411058330351782</x:v>
      </x:c>
    </x:row>
    <x:row r="3159">
      <x:c r="A3159" s="2" t="str">
        <x:v>LiN3-Core</x:v>
      </x:c>
      <x:c r="B3159" s="4" t="str">
        <x:v>NaCl</x:v>
      </x:c>
      <x:c r="C3159" s="23" t="n">
        <x:v>2.221292</x:v>
      </x:c>
      <x:c r="D3159" s="23" t="n">
        <x:v>-14.83372</x:v>
      </x:c>
      <x:c r="E3159" s="23" t="n">
        <x:f>'Parameters'!$B$2*'Parameters'!$B$3*LN(4*PI()*C3159^2)</x:f>
        <x:v>10.231157065255855</x:v>
      </x:c>
      <x:c r="F3159" s="23" t="n">
        <x:f>D3159+E3159</x:f>
        <x:v>-4.602562934744144</x:v>
      </x:c>
      <x:c r="G3159" s="23" t="n">
        <x:f>AVERAGE($F$3146:$F$3169)</x:f>
        <x:v>-4.701161883286471</x:v>
      </x:c>
      <x:c r="H3159" s="24" t="n">
        <x:f>F3159-G3159</x:f>
        <x:v>0.09859894854232731</x:v>
      </x:c>
    </x:row>
    <x:row r="3160">
      <x:c r="A3160" s="2" t="str">
        <x:v>LiN3-Core</x:v>
      </x:c>
      <x:c r="B3160" s="4" t="str">
        <x:v>NaCl</x:v>
      </x:c>
      <x:c r="C3160" s="23" t="n">
        <x:v>2.233926</x:v>
      </x:c>
      <x:c r="D3160" s="23" t="n">
        <x:v>-14.96041</x:v>
      </x:c>
      <x:c r="E3160" s="23" t="n">
        <x:f>'Parameters'!$B$2*'Parameters'!$B$3*LN(4*PI()*C3160^2)</x:f>
        <x:v>10.259276207407526</x:v>
      </x:c>
      <x:c r="F3160" s="23" t="n">
        <x:f>D3160+E3160</x:f>
        <x:v>-4.701133792592474</x:v>
      </x:c>
      <x:c r="G3160" s="23" t="n">
        <x:f>AVERAGE($F$3146:$F$3169)</x:f>
        <x:v>-4.701161883286471</x:v>
      </x:c>
      <x:c r="H3160" s="24" t="n">
        <x:f>F3160-G3160</x:f>
        <x:v>0.000028090693997562255</x:v>
      </x:c>
    </x:row>
    <x:row r="3161">
      <x:c r="A3161" s="2" t="str">
        <x:v>LiN3-Core</x:v>
      </x:c>
      <x:c r="B3161" s="4" t="str">
        <x:v>NaCl</x:v>
      </x:c>
      <x:c r="C3161" s="23" t="n">
        <x:v>2.246559</x:v>
      </x:c>
      <x:c r="D3161" s="23" t="n">
        <x:v>-15.05614</x:v>
      </x:c>
      <x:c r="E3161" s="23" t="n">
        <x:f>'Parameters'!$B$2*'Parameters'!$B$3*LN(4*PI()*C3161^2)</x:f>
        <x:v>10.287234562044333</x:v>
      </x:c>
      <x:c r="F3161" s="23" t="n">
        <x:f>D3161+E3161</x:f>
        <x:v>-4.768905437955667</x:v>
      </x:c>
      <x:c r="G3161" s="23" t="n">
        <x:f>AVERAGE($F$3146:$F$3169)</x:f>
        <x:v>-4.701161883286471</x:v>
      </x:c>
      <x:c r="H3161" s="24" t="n">
        <x:f>F3161-G3161</x:f>
        <x:v>-0.06774355466919513</x:v>
      </x:c>
    </x:row>
    <x:row r="3162">
      <x:c r="A3162" s="2" t="str">
        <x:v>LiN3-Core</x:v>
      </x:c>
      <x:c r="B3162" s="4" t="str">
        <x:v>NaCl</x:v>
      </x:c>
      <x:c r="C3162" s="23" t="n">
        <x:v>2.259193</x:v>
      </x:c>
      <x:c r="D3162" s="23" t="n">
        <x:v>-15.06903</x:v>
      </x:c>
      <x:c r="E3162" s="23" t="n">
        <x:f>'Parameters'!$B$2*'Parameters'!$B$3*LN(4*PI()*C3162^2)</x:f>
        <x:v>10.315038333927108</x:v>
      </x:c>
      <x:c r="F3162" s="23" t="n">
        <x:f>D3162+E3162</x:f>
        <x:v>-4.753991666072892</x:v>
      </x:c>
      <x:c r="G3162" s="23" t="n">
        <x:f>AVERAGE($F$3146:$F$3169)</x:f>
        <x:v>-4.701161883286471</x:v>
      </x:c>
      <x:c r="H3162" s="24" t="n">
        <x:f>F3162-G3162</x:f>
        <x:v>-0.05282978278642059</x:v>
      </x:c>
    </x:row>
    <x:row r="3163">
      <x:c r="A3163" s="2" t="str">
        <x:v>LiN3-Core</x:v>
      </x:c>
      <x:c r="B3163" s="4" t="str">
        <x:v>NaCl</x:v>
      </x:c>
      <x:c r="C3163" s="23" t="n">
        <x:v>2.271827</x:v>
      </x:c>
      <x:c r="D3163" s="23" t="n">
        <x:v>-15.06489</x:v>
      </x:c>
      <x:c r="E3163" s="23" t="n">
        <x:f>'Parameters'!$B$2*'Parameters'!$B$3*LN(4*PI()*C3163^2)</x:f>
        <x:v>10.34268705256368</x:v>
      </x:c>
      <x:c r="F3163" s="23" t="n">
        <x:f>D3163+E3163</x:f>
        <x:v>-4.722202947436321</x:v>
      </x:c>
      <x:c r="G3163" s="23" t="n">
        <x:f>AVERAGE($F$3146:$F$3169)</x:f>
        <x:v>-4.701161883286471</x:v>
      </x:c>
      <x:c r="H3163" s="24" t="n">
        <x:f>F3163-G3163</x:f>
        <x:v>-0.021041064149849298</x:v>
      </x:c>
    </x:row>
    <x:row r="3164">
      <x:c r="A3164" s="2" t="str">
        <x:v>LiN3-Core</x:v>
      </x:c>
      <x:c r="B3164" s="4" t="str">
        <x:v>NaCl</x:v>
      </x:c>
      <x:c r="C3164" s="23" t="n">
        <x:v>2.28446</x:v>
      </x:c>
      <x:c r="D3164" s="23" t="n">
        <x:v>-14.98821</x:v>
      </x:c>
      <x:c r="E3164" s="23" t="n">
        <x:f>'Parameters'!$B$2*'Parameters'!$B$3*LN(4*PI()*C3164^2)</x:f>
        <x:v>10.370180267460237</x:v>
      </x:c>
      <x:c r="F3164" s="23" t="n">
        <x:f>D3164+E3164</x:f>
        <x:v>-4.618029732539764</x:v>
      </x:c>
      <x:c r="G3164" s="23" t="n">
        <x:f>AVERAGE($F$3146:$F$3169)</x:f>
        <x:v>-4.701161883286471</x:v>
      </x:c>
      <x:c r="H3164" s="24" t="n">
        <x:f>F3164-G3164</x:f>
        <x:v>0.08313215074670754</x:v>
      </x:c>
    </x:row>
    <x:row r="3165">
      <x:c r="A3165" s="2" t="str">
        <x:v>LiN3-Core</x:v>
      </x:c>
      <x:c r="B3165" s="4" t="str">
        <x:v>NaCl</x:v>
      </x:c>
      <x:c r="C3165" s="23" t="n">
        <x:v>2.297094</x:v>
      </x:c>
      <x:c r="D3165" s="23" t="n">
        <x:v>-14.99834</x:v>
      </x:c>
      <x:c r="E3165" s="23" t="n">
        <x:f>'Parameters'!$B$2*'Parameters'!$B$3*LN(4*PI()*C3165^2)</x:f>
        <x:v>10.397524022438141</x:v>
      </x:c>
      <x:c r="F3165" s="23" t="n">
        <x:f>D3165+E3165</x:f>
        <x:v>-4.60081597756186</x:v>
      </x:c>
      <x:c r="G3165" s="23" t="n">
        <x:f>AVERAGE($F$3146:$F$3169)</x:f>
        <x:v>-4.701161883286471</x:v>
      </x:c>
      <x:c r="H3165" s="24" t="n">
        <x:f>F3165-G3165</x:f>
        <x:v>0.10034590572461166</x:v>
      </x:c>
    </x:row>
    <x:row r="3166">
      <x:c r="A3166" s="2" t="str">
        <x:v>LiN3-Core</x:v>
      </x:c>
      <x:c r="B3166" s="4" t="str">
        <x:v>NaCl</x:v>
      </x:c>
      <x:c r="C3166" s="23" t="n">
        <x:v>2.309728</x:v>
      </x:c>
      <x:c r="D3166" s="23" t="n">
        <x:v>-14.98357</x:v>
      </x:c>
      <x:c r="E3166" s="23" t="n">
        <x:f>'Parameters'!$B$2*'Parameters'!$B$3*LN(4*PI()*C3166^2)</x:f>
        <x:v>10.42471779865093</x:v>
      </x:c>
      <x:c r="F3166" s="23" t="n">
        <x:f>D3166+E3166</x:f>
        <x:v>-4.558852201349071</x:v>
      </x:c>
      <x:c r="G3166" s="23" t="n">
        <x:f>AVERAGE($F$3146:$F$3169)</x:f>
        <x:v>-4.701161883286471</x:v>
      </x:c>
      <x:c r="H3166" s="24" t="n">
        <x:f>F3166-G3166</x:f>
        <x:v>0.1423096819374008</x:v>
      </x:c>
    </x:row>
    <x:row r="3167">
      <x:c r="A3167" s="2" t="str">
        <x:v>LiN3-Core</x:v>
      </x:c>
      <x:c r="B3167" s="4" t="str">
        <x:v>NaCl</x:v>
      </x:c>
      <x:c r="C3167" s="23" t="n">
        <x:v>2.322362</x:v>
      </x:c>
      <x:c r="D3167" s="23" t="n">
        <x:v>-15.1131</x:v>
      </x:c>
      <x:c r="E3167" s="23" t="n">
        <x:f>'Parameters'!$B$2*'Parameters'!$B$3*LN(4*PI()*C3167^2)</x:f>
        <x:v>10.451763232375871</x:v>
      </x:c>
      <x:c r="F3167" s="23" t="n">
        <x:f>D3167+E3167</x:f>
        <x:v>-4.661336767624128</x:v>
      </x:c>
      <x:c r="G3167" s="23" t="n">
        <x:f>AVERAGE($F$3146:$F$3169)</x:f>
        <x:v>-4.701161883286471</x:v>
      </x:c>
      <x:c r="H3167" s="24" t="n">
        <x:f>F3167-G3167</x:f>
        <x:v>0.03982511566234326</x:v>
      </x:c>
    </x:row>
    <x:row r="3168">
      <x:c r="A3168" s="2" t="str">
        <x:v>LiN3-Core</x:v>
      </x:c>
      <x:c r="B3168" s="4" t="str">
        <x:v>NaCl</x:v>
      </x:c>
      <x:c r="C3168" s="23" t="n">
        <x:v>2.334995</x:v>
      </x:c>
      <x:c r="D3168" s="23" t="n">
        <x:v>-14.95819</x:v>
      </x:c>
      <x:c r="E3168" s="23" t="n">
        <x:f>'Parameters'!$B$2*'Parameters'!$B$3*LN(4*PI()*C3168^2)</x:f>
        <x:v>10.478659809949864</x:v>
      </x:c>
      <x:c r="F3168" s="23" t="n">
        <x:f>D3168+E3168</x:f>
        <x:v>-4.479530190050136</x:v>
      </x:c>
      <x:c r="G3168" s="23" t="n">
        <x:f>AVERAGE($F$3146:$F$3169)</x:f>
        <x:v>-4.701161883286471</x:v>
      </x:c>
      <x:c r="H3168" s="24" t="n">
        <x:f>F3168-G3168</x:f>
        <x:v>0.22163169323633536</x:v>
      </x:c>
    </x:row>
    <x:row r="3169">
      <x:c r="A3169" s="2" t="str">
        <x:v>LiN3-Core</x:v>
      </x:c>
      <x:c r="B3169" s="4" t="str">
        <x:v>NaCl</x:v>
      </x:c>
      <x:c r="C3169" s="23" t="n">
        <x:v>2.347629</x:v>
      </x:c>
      <x:c r="D3169" s="23" t="n">
        <x:v>-15.11462</x:v>
      </x:c>
      <x:c r="E3169" s="23" t="n">
        <x:f>'Parameters'!$B$2*'Parameters'!$B$3*LN(4*PI()*C3169^2)</x:f>
        <x:v>10.505413373002131</x:v>
      </x:c>
      <x:c r="F3169" s="23" t="n">
        <x:f>D3169+E3169</x:f>
        <x:v>-4.609206626997869</x:v>
      </x:c>
      <x:c r="G3169" s="23" t="n">
        <x:f>AVERAGE($F$3146:$F$3169)</x:f>
        <x:v>-4.701161883286471</x:v>
      </x:c>
      <x:c r="H3169" s="24" t="n">
        <x:f>F3169-G3169</x:f>
        <x:v>0.09195525628860235</x:v>
      </x:c>
    </x:row>
    <x:row r="3170">
      <x:c r="A3170" s="2" t="str">
        <x:v>LiN3-Core</x:v>
      </x:c>
      <x:c r="B3170" s="4" t="str">
        <x:v>NaCl</x:v>
      </x:c>
      <x:c r="C3170" s="23" t="n">
        <x:v>2.360263</x:v>
      </x:c>
      <x:c r="D3170" s="23" t="n">
        <x:v>-15.10964</x:v>
      </x:c>
      <x:c r="E3170" s="23" t="n">
        <x:f>'Parameters'!$B$2*'Parameters'!$B$3*LN(4*PI()*C3170^2)</x:f>
        <x:v>10.53202334476438</x:v>
      </x:c>
      <x:c r="F3170" s="23" t="n">
        <x:f>D3170+E3170</x:f>
        <x:v>-4.577616655235621</x:v>
      </x:c>
      <x:c r="G3170" s="23" t="n">
        <x:f>AVERAGE($F$3146:$F$3169)</x:f>
        <x:v>-4.701161883286471</x:v>
      </x:c>
      <x:c r="H3170" s="24" t="n">
        <x:f>F3170-G3170</x:f>
        <x:v>0.12354522805085022</x:v>
      </x:c>
    </x:row>
    <x:row r="3171">
      <x:c r="A3171" s="2" t="str">
        <x:v>LiN3-Core</x:v>
      </x:c>
      <x:c r="B3171" s="4" t="str">
        <x:v>NaCl</x:v>
      </x:c>
      <x:c r="C3171" s="23" t="n">
        <x:v>2.372896</x:v>
      </x:c>
      <x:c r="D3171" s="23" t="n">
        <x:v>-15.18803</x:v>
      </x:c>
      <x:c r="E3171" s="23" t="n">
        <x:f>'Parameters'!$B$2*'Parameters'!$B$3*LN(4*PI()*C3171^2)</x:f>
        <x:v>10.558489168980026</x:v>
      </x:c>
      <x:c r="F3171" s="23" t="n">
        <x:f>D3171+E3171</x:f>
        <x:v>-4.629540831019973</x:v>
      </x:c>
      <x:c r="G3171" s="23" t="n">
        <x:f>AVERAGE($F$3146:$F$3169)</x:f>
        <x:v>-4.701161883286471</x:v>
      </x:c>
      <x:c r="H3171" s="24" t="n">
        <x:f>F3171-G3171</x:f>
        <x:v>0.07162105226649818</x:v>
      </x:c>
    </x:row>
    <x:row r="3172">
      <x:c r="A3172" s="2" t="str">
        <x:v>LiN3-Core</x:v>
      </x:c>
      <x:c r="B3172" s="4" t="str">
        <x:v>NaCl</x:v>
      </x:c>
      <x:c r="C3172" s="23" t="n">
        <x:v>2.38553</x:v>
      </x:c>
      <x:c r="D3172" s="23" t="n">
        <x:v>-15.06739</x:v>
      </x:c>
      <x:c r="E3172" s="23" t="n">
        <x:f>'Parameters'!$B$2*'Parameters'!$B$3*LN(4*PI()*C3172^2)</x:f>
        <x:v>10.584816544214219</x:v>
      </x:c>
      <x:c r="F3172" s="23" t="n">
        <x:f>D3172+E3172</x:f>
        <x:v>-4.482573455785781</x:v>
      </x:c>
      <x:c r="G3172" s="23" t="n">
        <x:f>AVERAGE($F$3146:$F$3169)</x:f>
        <x:v>-4.701161883286471</x:v>
      </x:c>
      <x:c r="H3172" s="24" t="n">
        <x:f>F3172-G3172</x:f>
        <x:v>0.2185884275006904</x:v>
      </x:c>
    </x:row>
    <x:row r="3173">
      <x:c r="A3173" s="2" t="str">
        <x:v>LiN3-Core</x:v>
      </x:c>
      <x:c r="B3173" s="4" t="str">
        <x:v>NaCl</x:v>
      </x:c>
      <x:c r="C3173" s="23" t="n">
        <x:v>2.398164</x:v>
      </x:c>
      <x:c r="D3173" s="23" t="n">
        <x:v>-15.14453</x:v>
      </x:c>
      <x:c r="E3173" s="23" t="n">
        <x:f>'Parameters'!$B$2*'Parameters'!$B$3*LN(4*PI()*C3173^2)</x:f>
        <x:v>10.611004854696544</x:v>
      </x:c>
      <x:c r="F3173" s="23" t="n">
        <x:f>D3173+E3173</x:f>
        <x:v>-4.5335251453034555</x:v>
      </x:c>
      <x:c r="G3173" s="23" t="n">
        <x:f>AVERAGE($F$3146:$F$3169)</x:f>
        <x:v>-4.701161883286471</x:v>
      </x:c>
      <x:c r="H3173" s="24" t="n">
        <x:f>F3173-G3173</x:f>
        <x:v>0.16763673798301593</x:v>
      </x:c>
    </x:row>
    <x:row r="3174">
      <x:c r="A3174" s="2" t="str">
        <x:v>LiN3-Core</x:v>
      </x:c>
      <x:c r="B3174" s="4" t="str">
        <x:v>NaCl</x:v>
      </x:c>
      <x:c r="C3174" s="23" t="n">
        <x:v>2.410798</x:v>
      </x:c>
      <x:c r="D3174" s="23" t="n">
        <x:v>-15.16944</x:v>
      </x:c>
      <x:c r="E3174" s="23" t="n">
        <x:f>'Parameters'!$B$2*'Parameters'!$B$3*LN(4*PI()*C3174^2)</x:f>
        <x:v>10.637055561828673</x:v>
      </x:c>
      <x:c r="F3174" s="23" t="n">
        <x:f>D3174+E3174</x:f>
        <x:v>-4.532384438171327</x:v>
      </x:c>
      <x:c r="G3174" s="23" t="n">
        <x:f>AVERAGE($F$3146:$F$3169)</x:f>
        <x:v>-4.701161883286471</x:v>
      </x:c>
      <x:c r="H3174" s="24" t="n">
        <x:f>F3174-G3174</x:f>
        <x:v>0.16877744511514425</x:v>
      </x:c>
    </x:row>
    <x:row r="3175">
      <x:c r="A3175" s="2" t="str">
        <x:v>LiN3-Core</x:v>
      </x:c>
      <x:c r="B3175" s="4" t="str">
        <x:v>NaCl</x:v>
      </x:c>
      <x:c r="C3175" s="23" t="n">
        <x:v>2.423431</x:v>
      </x:c>
      <x:c r="D3175" s="23" t="n">
        <x:v>-15.23934</x:v>
      </x:c>
      <x:c r="E3175" s="23" t="n">
        <x:f>'Parameters'!$B$2*'Parameters'!$B$3*LN(4*PI()*C3175^2)</x:f>
        <x:v>10.662968058272396</x:v>
      </x:c>
      <x:c r="F3175" s="23" t="n">
        <x:f>D3175+E3175</x:f>
        <x:v>-4.576371941727604</x:v>
      </x:c>
      <x:c r="G3175" s="23" t="n">
        <x:f>AVERAGE($F$3146:$F$3169)</x:f>
        <x:v>-4.701161883286471</x:v>
      </x:c>
      <x:c r="H3175" s="24" t="n">
        <x:f>F3175-G3175</x:f>
        <x:v>0.12478994155886713</x:v>
      </x:c>
    </x:row>
    <x:row r="3176">
      <x:c r="A3176" s="2" t="str">
        <x:v>LiN3-Core</x:v>
      </x:c>
      <x:c r="B3176" s="4" t="str">
        <x:v>NaCl</x:v>
      </x:c>
      <x:c r="C3176" s="23" t="n">
        <x:v>2.436065</x:v>
      </x:c>
      <x:c r="D3176" s="23" t="n">
        <x:v>-15.16084</x:v>
      </x:c>
      <x:c r="E3176" s="23" t="n">
        <x:f>'Parameters'!$B$2*'Parameters'!$B$3*LN(4*PI()*C3176^2)</x:f>
        <x:v>10.688747862331953</x:v>
      </x:c>
      <x:c r="F3176" s="23" t="n">
        <x:f>D3176+E3176</x:f>
        <x:v>-4.472092137668048</x:v>
      </x:c>
      <x:c r="G3176" s="23" t="n">
        <x:f>AVERAGE($F$3146:$F$3169)</x:f>
        <x:v>-4.701161883286471</x:v>
      </x:c>
      <x:c r="H3176" s="24" t="n">
        <x:f>F3176-G3176</x:f>
        <x:v>0.22906974561842386</x:v>
      </x:c>
    </x:row>
    <x:row r="3177">
      <x:c r="A3177" s="2" t="str">
        <x:v>LiN3-Core</x:v>
      </x:c>
      <x:c r="B3177" s="4" t="str">
        <x:v>NaCl</x:v>
      </x:c>
      <x:c r="C3177" s="23" t="n">
        <x:v>2.448699</x:v>
      </x:c>
      <x:c r="D3177" s="23" t="n">
        <x:v>-15.28222</x:v>
      </x:c>
      <x:c r="E3177" s="23" t="n">
        <x:f>'Parameters'!$B$2*'Parameters'!$B$3*LN(4*PI()*C3177^2)</x:f>
        <x:v>10.714394311535143</x:v>
      </x:c>
      <x:c r="F3177" s="23" t="n">
        <x:f>D3177+E3177</x:f>
        <x:v>-4.567825688464858</x:v>
      </x:c>
      <x:c r="G3177" s="23" t="n">
        <x:f>AVERAGE($F$3146:$F$3169)</x:f>
        <x:v>-4.701161883286471</x:v>
      </x:c>
      <x:c r="H3177" s="24" t="n">
        <x:f>F3177-G3177</x:f>
        <x:v>0.13333619482161385</x:v>
      </x:c>
    </x:row>
    <x:row r="3178">
      <x:c r="A3178" s="2" t="str">
        <x:v>LiN3-Core</x:v>
      </x:c>
      <x:c r="B3178" s="4" t="str">
        <x:v>NaCl</x:v>
      </x:c>
      <x:c r="C3178" s="23" t="n">
        <x:v>2.461332</x:v>
      </x:c>
      <x:c r="D3178" s="23" t="n">
        <x:v>-15.13979</x:v>
      </x:c>
      <x:c r="E3178" s="23" t="n">
        <x:f>'Parameters'!$B$2*'Parameters'!$B$3*LN(4*PI()*C3178^2)</x:f>
        <x:v>10.739906764111135</x:v>
      </x:c>
      <x:c r="F3178" s="23" t="n">
        <x:f>D3178+E3178</x:f>
        <x:v>-4.399883235888865</x:v>
      </x:c>
      <x:c r="G3178" s="23" t="n">
        <x:f>AVERAGE($F$3146:$F$3169)</x:f>
        <x:v>-4.701161883286471</x:v>
      </x:c>
      <x:c r="H3178" s="24" t="n">
        <x:f>F3178-G3178</x:f>
        <x:v>0.30127864739760657</x:v>
      </x:c>
    </x:row>
    <x:row r="3179">
      <x:c r="A3179" s="2" t="str">
        <x:v>LiN3-Core</x:v>
      </x:c>
      <x:c r="B3179" s="4" t="str">
        <x:v>NaCl</x:v>
      </x:c>
      <x:c r="C3179" s="23" t="n">
        <x:v>2.473966</x:v>
      </x:c>
      <x:c r="D3179" s="23" t="n">
        <x:v>-15.20333</x:v>
      </x:c>
      <x:c r="E3179" s="23" t="n">
        <x:f>'Parameters'!$B$2*'Parameters'!$B$3*LN(4*PI()*C3179^2)</x:f>
        <x:v>10.76529061045723</x:v>
      </x:c>
      <x:c r="F3179" s="23" t="n">
        <x:f>D3179+E3179</x:f>
        <x:v>-4.438039389542769</x:v>
      </x:c>
      <x:c r="G3179" s="23" t="n">
        <x:f>AVERAGE($F$3146:$F$3169)</x:f>
        <x:v>-4.701161883286471</x:v>
      </x:c>
      <x:c r="H3179" s="24" t="n">
        <x:f>F3179-G3179</x:f>
        <x:v>0.263122493743702</x:v>
      </x:c>
    </x:row>
    <x:row r="3180">
      <x:c r="A3180" s="2" t="str">
        <x:v>LiN3-Core</x:v>
      </x:c>
      <x:c r="B3180" s="4" t="str">
        <x:v>NaCl</x:v>
      </x:c>
      <x:c r="C3180" s="23" t="n">
        <x:v>2.4866</x:v>
      </x:c>
      <x:c r="D3180" s="23" t="n">
        <x:v>-15.15603</x:v>
      </x:c>
      <x:c r="E3180" s="23" t="n">
        <x:f>'Parameters'!$B$2*'Parameters'!$B$3*LN(4*PI()*C3180^2)</x:f>
        <x:v>10.790545156677036</x:v>
      </x:c>
      <x:c r="F3180" s="23" t="n">
        <x:f>D3180+E3180</x:f>
        <x:v>-4.365484843322964</x:v>
      </x:c>
      <x:c r="G3180" s="23" t="n">
        <x:f>AVERAGE($F$3146:$F$3169)</x:f>
        <x:v>-4.701161883286471</x:v>
      </x:c>
      <x:c r="H3180" s="24" t="n">
        <x:f>F3180-G3180</x:f>
        <x:v>0.3356770399635076</x:v>
      </x:c>
    </x:row>
    <x:row r="3181">
      <x:c r="A3181" s="2" t="str">
        <x:v>LiN3-Core</x:v>
      </x:c>
      <x:c r="B3181" s="4" t="str">
        <x:v>NaCl</x:v>
      </x:c>
      <x:c r="C3181" s="23" t="n">
        <x:v>2.499234</x:v>
      </x:c>
      <x:c r="D3181" s="23" t="n">
        <x:v>-15.20171</x:v>
      </x:c>
      <x:c r="E3181" s="23" t="n">
        <x:f>'Parameters'!$B$2*'Parameters'!$B$3*LN(4*PI()*C3181^2)</x:f>
        <x:v>10.815671713354368</x:v>
      </x:c>
      <x:c r="F3181" s="23" t="n">
        <x:f>D3181+E3181</x:f>
        <x:v>-4.386038286645633</x:v>
      </x:c>
      <x:c r="G3181" s="23" t="n">
        <x:f>AVERAGE($F$3146:$F$3169)</x:f>
        <x:v>-4.701161883286471</x:v>
      </x:c>
      <x:c r="H3181" s="24" t="n">
        <x:f>F3181-G3181</x:f>
        <x:v>0.3151235966408388</x:v>
      </x:c>
    </x:row>
    <x:row r="3182">
      <x:c r="A3182" s="2" t="str">
        <x:v>LiN3-Core</x:v>
      </x:c>
      <x:c r="B3182" s="4" t="str">
        <x:v>NaCl</x:v>
      </x:c>
      <x:c r="C3182" s="23" t="n">
        <x:v>2.511867</x:v>
      </x:c>
      <x:c r="D3182" s="23" t="n">
        <x:v>-15.22892</x:v>
      </x:c>
      <x:c r="E3182" s="23" t="n">
        <x:f>'Parameters'!$B$2*'Parameters'!$B$3*LN(4*PI()*C3182^2)</x:f>
        <x:v>10.840669597451383</x:v>
      </x:c>
      <x:c r="F3182" s="23" t="n">
        <x:f>D3182+E3182</x:f>
        <x:v>-4.388250402548618</x:v>
      </x:c>
      <x:c r="G3182" s="23" t="n">
        <x:f>AVERAGE($F$3146:$F$3169)</x:f>
        <x:v>-4.701161883286471</x:v>
      </x:c>
      <x:c r="H3182" s="24" t="n">
        <x:f>F3182-G3182</x:f>
        <x:v>0.3129114807378537</x:v>
      </x:c>
    </x:row>
    <x:row r="3183">
      <x:c r="A3183" s="2" t="str">
        <x:v>LiN3-Core</x:v>
      </x:c>
      <x:c r="B3183" s="4" t="str">
        <x:v>NaCl</x:v>
      </x:c>
      <x:c r="C3183" s="23" t="n">
        <x:v>2.524501</x:v>
      </x:c>
      <x:c r="D3183" s="23" t="n">
        <x:v>-15.25753</x:v>
      </x:c>
      <x:c r="E3183" s="23" t="n">
        <x:f>'Parameters'!$B$2*'Parameters'!$B$3*LN(4*PI()*C3183^2)</x:f>
        <x:v>10.865544037768466</x:v>
      </x:c>
      <x:c r="F3183" s="23" t="n">
        <x:f>D3183+E3183</x:f>
        <x:v>-4.391985962231534</x:v>
      </x:c>
      <x:c r="G3183" s="23" t="n">
        <x:f>AVERAGE($F$3146:$F$3169)</x:f>
        <x:v>-4.701161883286471</x:v>
      </x:c>
      <x:c r="H3183" s="24" t="n">
        <x:f>F3183-G3183</x:f>
        <x:v>0.30917592105493785</x:v>
      </x:c>
    </x:row>
    <x:row r="3184">
      <x:c r="A3184" s="2" t="str">
        <x:v>LiN3-Core</x:v>
      </x:c>
      <x:c r="B3184" s="4" t="str">
        <x:v>NaCl</x:v>
      </x:c>
      <x:c r="C3184" s="23" t="n">
        <x:v>2.537135</x:v>
      </x:c>
      <x:c r="D3184" s="23" t="n">
        <x:v>-15.31826</x:v>
      </x:c>
      <x:c r="E3184" s="23" t="n">
        <x:f>'Parameters'!$B$2*'Parameters'!$B$3*LN(4*PI()*C3184^2)</x:f>
        <x:v>10.890294302823829</x:v>
      </x:c>
      <x:c r="F3184" s="23" t="n">
        <x:f>D3184+E3184</x:f>
        <x:v>-4.427965697176171</x:v>
      </x:c>
      <x:c r="G3184" s="23" t="n">
        <x:f>AVERAGE($F$3146:$F$3169)</x:f>
        <x:v>-4.701161883286471</x:v>
      </x:c>
      <x:c r="H3184" s="24" t="n">
        <x:f>F3184-G3184</x:f>
        <x:v>0.27319618611030005</x:v>
      </x:c>
    </x:row>
    <x:row r="3185">
      <x:c r="A3185" s="2" t="str">
        <x:v>LiN3-Core</x:v>
      </x:c>
      <x:c r="B3185" s="4" t="str">
        <x:v>NaCl</x:v>
      </x:c>
      <x:c r="C3185" s="23" t="n">
        <x:v>2.549769</x:v>
      </x:c>
      <x:c r="D3185" s="23" t="n">
        <x:v>-15.38729</x:v>
      </x:c>
      <x:c r="E3185" s="23" t="n">
        <x:f>'Parameters'!$B$2*'Parameters'!$B$3*LN(4*PI()*C3185^2)</x:f>
        <x:v>10.914921626247965</x:v>
      </x:c>
      <x:c r="F3185" s="23" t="n">
        <x:f>D3185+E3185</x:f>
        <x:v>-4.472368373752035</x:v>
      </x:c>
      <x:c r="G3185" s="23" t="n">
        <x:f>AVERAGE($F$3146:$F$3169)</x:f>
        <x:v>-4.701161883286471</x:v>
      </x:c>
      <x:c r="H3185" s="24" t="n">
        <x:f>F3185-G3185</x:f>
        <x:v>0.22879350953443645</x:v>
      </x:c>
    </x:row>
    <x:row r="3186">
      <x:c r="A3186" s="2" t="str">
        <x:v>LiN3-Core</x:v>
      </x:c>
      <x:c r="B3186" s="4" t="str">
        <x:v>NaCl</x:v>
      </x:c>
      <x:c r="C3186" s="23" t="n">
        <x:v>2.562402</x:v>
      </x:c>
      <x:c r="D3186" s="23" t="n">
        <x:v>-15.29374</x:v>
      </x:c>
      <x:c r="E3186" s="23" t="n">
        <x:f>'Parameters'!$B$2*'Parameters'!$B$3*LN(4*PI()*C3186^2)</x:f>
        <x:v>10.939425288509437</x:v>
      </x:c>
      <x:c r="F3186" s="23" t="n">
        <x:f>D3186+E3186</x:f>
        <x:v>-4.354314711490563</x:v>
      </x:c>
      <x:c r="G3186" s="23" t="n">
        <x:f>AVERAGE($F$3146:$F$3169)</x:f>
        <x:v>-4.701161883286471</x:v>
      </x:c>
      <x:c r="H3186" s="24" t="n">
        <x:f>F3186-G3186</x:f>
        <x:v>0.3468471717959085</x:v>
      </x:c>
    </x:row>
    <x:row r="3187">
      <x:c r="A3187" s="2" t="str">
        <x:v>LiN3-Core</x:v>
      </x:c>
      <x:c r="B3187" s="4" t="str">
        <x:v>NaCl</x:v>
      </x:c>
      <x:c r="C3187" s="23" t="n">
        <x:v>2.575036</x:v>
      </x:c>
      <x:c r="D3187" s="23" t="n">
        <x:v>-15.37287</x:v>
      </x:c>
      <x:c r="E3187" s="23" t="n">
        <x:f>'Parameters'!$B$2*'Parameters'!$B$3*LN(4*PI()*C3187^2)</x:f>
        <x:v>10.963810366245257</x:v>
      </x:c>
      <x:c r="F3187" s="23" t="n">
        <x:f>D3187+E3187</x:f>
        <x:v>-4.409059633754744</x:v>
      </x:c>
      <x:c r="G3187" s="23" t="n">
        <x:f>AVERAGE($F$3146:$F$3169)</x:f>
        <x:v>-4.701161883286471</x:v>
      </x:c>
      <x:c r="H3187" s="24" t="n">
        <x:f>F3187-G3187</x:f>
        <x:v>0.2921022495317276</x:v>
      </x:c>
    </x:row>
    <x:row r="3188">
      <x:c r="A3188" s="2" t="str">
        <x:v>LiN3-Core</x:v>
      </x:c>
      <x:c r="B3188" s="4" t="str">
        <x:v>NaCl</x:v>
      </x:c>
      <x:c r="C3188" s="23" t="n">
        <x:v>2.58767</x:v>
      </x:c>
      <x:c r="D3188" s="23" t="n">
        <x:v>-15.43901</x:v>
      </x:c>
      <x:c r="E3188" s="23" t="n">
        <x:f>'Parameters'!$B$2*'Parameters'!$B$3*LN(4*PI()*C3188^2)</x:f>
        <x:v>10.988076094823825</x:v>
      </x:c>
      <x:c r="F3188" s="23" t="n">
        <x:f>D3188+E3188</x:f>
        <x:v>-4.450933905176175</x:v>
      </x:c>
      <x:c r="G3188" s="23" t="n">
        <x:f>AVERAGE($F$3146:$F$3169)</x:f>
        <x:v>-4.701161883286471</x:v>
      </x:c>
      <x:c r="H3188" s="24" t="n">
        <x:f>F3188-G3188</x:f>
        <x:v>0.2502279781102965</x:v>
      </x:c>
    </x:row>
    <x:row r="3189">
      <x:c r="A3189" s="2" t="str">
        <x:v>LiN3-Core</x:v>
      </x:c>
      <x:c r="B3189" s="4" t="str">
        <x:v>NaCl</x:v>
      </x:c>
      <x:c r="C3189" s="23" t="n">
        <x:v>2.600303</x:v>
      </x:c>
      <x:c r="D3189" s="23" t="n">
        <x:v>-15.4758</x:v>
      </x:c>
      <x:c r="E3189" s="23" t="n">
        <x:f>'Parameters'!$B$2*'Parameters'!$B$3*LN(4*PI()*C3189^2)</x:f>
        <x:v>11.012221730163485</x:v>
      </x:c>
      <x:c r="F3189" s="23" t="n">
        <x:f>D3189+E3189</x:f>
        <x:v>-4.463578269836514</x:v>
      </x:c>
      <x:c r="G3189" s="23" t="n">
        <x:f>AVERAGE($F$3146:$F$3169)</x:f>
        <x:v>-4.701161883286471</x:v>
      </x:c>
      <x:c r="H3189" s="24" t="n">
        <x:f>F3189-G3189</x:f>
        <x:v>0.23758361344995738</x:v>
      </x:c>
    </x:row>
    <x:row r="3190">
      <x:c r="A3190" s="2" t="str">
        <x:v>LiN3-Core</x:v>
      </x:c>
      <x:c r="B3190" s="4" t="str">
        <x:v>NaCl</x:v>
      </x:c>
      <x:c r="C3190" s="23" t="n">
        <x:v>2.612937</x:v>
      </x:c>
      <x:c r="D3190" s="23" t="n">
        <x:v>-15.24928</x:v>
      </x:c>
      <x:c r="E3190" s="23" t="n">
        <x:f>'Parameters'!$B$2*'Parameters'!$B$3*LN(4*PI()*C3190^2)</x:f>
        <x:v>11.036252240499127</x:v>
      </x:c>
      <x:c r="F3190" s="23" t="n">
        <x:f>D3190+E3190</x:f>
        <x:v>-4.213027759500873</x:v>
      </x:c>
      <x:c r="G3190" s="23" t="n">
        <x:f>AVERAGE($F$3146:$F$3169)</x:f>
        <x:v>-4.701161883286471</x:v>
      </x:c>
      <x:c r="H3190" s="24" t="n">
        <x:f>F3190-G3190</x:f>
        <x:v>0.4881341237855983</x:v>
      </x:c>
    </x:row>
    <x:row r="3191">
      <x:c r="A3191" s="2" t="str">
        <x:v>LiN3-Core</x:v>
      </x:c>
      <x:c r="B3191" s="4" t="str">
        <x:v>NaCl</x:v>
      </x:c>
      <x:c r="C3191" s="23" t="n">
        <x:v>2.625571</x:v>
      </x:c>
      <x:c r="D3191" s="23" t="n">
        <x:v>-15.37446</x:v>
      </x:c>
      <x:c r="E3191" s="23" t="n">
        <x:f>'Parameters'!$B$2*'Parameters'!$B$3*LN(4*PI()*C3191^2)</x:f>
        <x:v>11.060166838957677</x:v>
      </x:c>
      <x:c r="F3191" s="23" t="n">
        <x:f>D3191+E3191</x:f>
        <x:v>-4.314293161042322</x:v>
      </x:c>
      <x:c r="G3191" s="23" t="n">
        <x:f>AVERAGE($F$3146:$F$3169)</x:f>
        <x:v>-4.701161883286471</x:v>
      </x:c>
      <x:c r="H3191" s="24" t="n">
        <x:f>F3191-G3191</x:f>
        <x:v>0.3868687222441496</x:v>
      </x:c>
    </x:row>
    <x:row r="3192">
      <x:c r="A3192" s="2" t="str">
        <x:v>LiN3-Core</x:v>
      </x:c>
      <x:c r="B3192" s="4" t="str">
        <x:v>NaCl</x:v>
      </x:c>
      <x:c r="C3192" s="23" t="n">
        <x:v>2.638205</x:v>
      </x:c>
      <x:c r="D3192" s="23" t="n">
        <x:v>-15.18891</x:v>
      </x:c>
      <x:c r="E3192" s="23" t="n">
        <x:f>'Parameters'!$B$2*'Parameters'!$B$3*LN(4*PI()*C3192^2)</x:f>
        <x:v>11.083966638382188</x:v>
      </x:c>
      <x:c r="F3192" s="23" t="n">
        <x:f>D3192+E3192</x:f>
        <x:v>-4.104943361617812</x:v>
      </x:c>
      <x:c r="G3192" s="23" t="n">
        <x:f>AVERAGE($F$3146:$F$3169)</x:f>
        <x:v>-4.701161883286471</x:v>
      </x:c>
      <x:c r="H3192" s="24" t="n">
        <x:f>F3192-G3192</x:f>
        <x:v>0.5962185216686597</x:v>
      </x:c>
    </x:row>
    <x:row r="3193">
      <x:c r="A3193" s="2" t="str">
        <x:v>LiN3-Core</x:v>
      </x:c>
      <x:c r="B3193" s="4" t="str">
        <x:v>NaCl</x:v>
      </x:c>
      <x:c r="C3193" s="23" t="n">
        <x:v>2.650838</x:v>
      </x:c>
      <x:c r="D3193" s="23" t="n">
        <x:v>-15.15506</x:v>
      </x:c>
      <x:c r="E3193" s="23" t="n">
        <x:f>'Parameters'!$B$2*'Parameters'!$B$3*LN(4*PI()*C3193^2)</x:f>
        <x:v>11.107650865346846</x:v>
      </x:c>
      <x:c r="F3193" s="23" t="n">
        <x:f>D3193+E3193</x:f>
        <x:v>-4.047409134653154</x:v>
      </x:c>
      <x:c r="G3193" s="23" t="n">
        <x:f>AVERAGE($F$3146:$F$3169)</x:f>
        <x:v>-4.701161883286471</x:v>
      </x:c>
      <x:c r="H3193" s="24" t="n">
        <x:f>F3193-G3193</x:f>
        <x:v>0.653752748633317</x:v>
      </x:c>
    </x:row>
    <x:row r="3194">
      <x:c r="A3194" s="2" t="str">
        <x:v>LiN3-Core</x:v>
      </x:c>
      <x:c r="B3194" s="4" t="str">
        <x:v>NaCl</x:v>
      </x:c>
      <x:c r="C3194" s="23" t="n">
        <x:v>2.663472</x:v>
      </x:c>
      <x:c r="D3194" s="23" t="n">
        <x:v>-15.23835</x:v>
      </x:c>
      <x:c r="E3194" s="23" t="n">
        <x:f>'Parameters'!$B$2*'Parameters'!$B$3*LN(4*PI()*C3194^2)</x:f>
        <x:v>11.13122435060874</x:v>
      </x:c>
      <x:c r="F3194" s="23" t="n">
        <x:f>D3194+E3194</x:f>
        <x:v>-4.107125649391261</x:v>
      </x:c>
      <x:c r="G3194" s="23" t="n">
        <x:f>AVERAGE($F$3146:$F$3169)</x:f>
        <x:v>-4.701161883286471</x:v>
      </x:c>
      <x:c r="H3194" s="24" t="n">
        <x:f>F3194-G3194</x:f>
        <x:v>0.5940362338952108</x:v>
      </x:c>
    </x:row>
    <x:row r="3195">
      <x:c r="A3195" s="2" t="str">
        <x:v>LiN3-Core</x:v>
      </x:c>
      <x:c r="B3195" s="4" t="str">
        <x:v>NaCl</x:v>
      </x:c>
      <x:c r="C3195" s="23" t="n">
        <x:v>2.676106</x:v>
      </x:c>
      <x:c r="D3195" s="23" t="n">
        <x:v>-15.20458</x:v>
      </x:c>
      <x:c r="E3195" s="23" t="n">
        <x:f>'Parameters'!$B$2*'Parameters'!$B$3*LN(4*PI()*C3195^2)</x:f>
        <x:v>11.154686280790056</x:v>
      </x:c>
      <x:c r="F3195" s="23" t="n">
        <x:f>D3195+E3195</x:f>
        <x:v>-4.049893719209944</x:v>
      </x:c>
      <x:c r="G3195" s="23" t="n">
        <x:f>AVERAGE($F$3146:$F$3169)</x:f>
        <x:v>-4.701161883286471</x:v>
      </x:c>
      <x:c r="H3195" s="24" t="n">
        <x:f>F3195-G3195</x:f>
        <x:v>0.6512681640765274</x:v>
      </x:c>
    </x:row>
    <x:row r="3196">
      <x:c r="A3196" s="2" t="str">
        <x:v>LiN3-Core</x:v>
      </x:c>
      <x:c r="B3196" s="4" t="str">
        <x:v>NaCl</x:v>
      </x:c>
      <x:c r="C3196" s="23" t="n">
        <x:v>2.688739</x:v>
      </x:c>
      <x:c r="D3196" s="23" t="n">
        <x:v>-15.07494</x:v>
      </x:c>
      <x:c r="E3196" s="23" t="n">
        <x:f>'Parameters'!$B$2*'Parameters'!$B$3*LN(4*PI()*C3196^2)</x:f>
        <x:v>11.178035862773061</x:v>
      </x:c>
      <x:c r="F3196" s="23" t="n">
        <x:f>D3196+E3196</x:f>
        <x:v>-3.8969041372269384</x:v>
      </x:c>
      <x:c r="G3196" s="23" t="n">
        <x:f>AVERAGE($F$3146:$F$3169)</x:f>
        <x:v>-4.701161883286471</x:v>
      </x:c>
      <x:c r="H3196" s="24" t="n">
        <x:f>F3196-G3196</x:f>
        <x:v>0.804257746059533</x:v>
      </x:c>
    </x:row>
    <x:row r="3197">
      <x:c r="A3197" s="2" t="str">
        <x:v>LiN3-Core</x:v>
      </x:c>
      <x:c r="B3197" s="4" t="str">
        <x:v>NaCl</x:v>
      </x:c>
      <x:c r="C3197" s="23" t="n">
        <x:v>2.701373</x:v>
      </x:c>
      <x:c r="D3197" s="23" t="n">
        <x:v>-15.64665</x:v>
      </x:c>
      <x:c r="E3197" s="23" t="n">
        <x:f>'Parameters'!$B$2*'Parameters'!$B$3*LN(4*PI()*C3197^2)</x:f>
        <x:v>11.20127782914975</x:v>
      </x:c>
      <x:c r="F3197" s="23" t="n">
        <x:f>D3197+E3197</x:f>
        <x:v>-4.4453721708502485</x:v>
      </x:c>
      <x:c r="G3197" s="23" t="n">
        <x:f>AVERAGE($F$3146:$F$3169)</x:f>
        <x:v>-4.701161883286471</x:v>
      </x:c>
      <x:c r="H3197" s="24" t="n">
        <x:f>F3197-G3197</x:f>
        <x:v>0.25578971243622295</x:v>
      </x:c>
    </x:row>
    <x:row r="3198">
      <x:c r="A3198" s="2" t="str">
        <x:v>LiN3-Core</x:v>
      </x:c>
      <x:c r="B3198" s="4" t="str">
        <x:v>NaCl</x:v>
      </x:c>
      <x:c r="C3198" s="23" t="n">
        <x:v>2.714007</x:v>
      </x:c>
      <x:c r="D3198" s="23" t="n">
        <x:v>-15.70543</x:v>
      </x:c>
      <x:c r="E3198" s="23" t="n">
        <x:f>'Parameters'!$B$2*'Parameters'!$B$3*LN(4*PI()*C3198^2)</x:f>
        <x:v>11.224411348816815</x:v>
      </x:c>
      <x:c r="F3198" s="23" t="n">
        <x:f>D3198+E3198</x:f>
        <x:v>-4.481018651183184</x:v>
      </x:c>
      <x:c r="G3198" s="23" t="n">
        <x:f>AVERAGE($F$3146:$F$3169)</x:f>
        <x:v>-4.701161883286471</x:v>
      </x:c>
      <x:c r="H3198" s="24" t="n">
        <x:f>F3198-G3198</x:f>
        <x:v>0.220143232103287</x:v>
      </x:c>
    </x:row>
    <x:row r="3199">
      <x:c r="A3199" s="2" t="str">
        <x:v>LiN3-Core</x:v>
      </x:c>
      <x:c r="B3199" s="4" t="str">
        <x:v>NaCl</x:v>
      </x:c>
      <x:c r="C3199" s="23" t="n">
        <x:v>2.726641</x:v>
      </x:c>
      <x:c r="D3199" s="23" t="n">
        <x:v>-16.18793</x:v>
      </x:c>
      <x:c r="E3199" s="23" t="n">
        <x:f>'Parameters'!$B$2*'Parameters'!$B$3*LN(4*PI()*C3199^2)</x:f>
        <x:v>11.247437429097756</x:v>
      </x:c>
      <x:c r="F3199" s="23" t="n">
        <x:f>D3199+E3199</x:f>
        <x:v>-4.940492570902245</x:v>
      </x:c>
      <x:c r="G3199" s="23" t="n">
        <x:f>AVERAGE($F$3146:$F$3169)</x:f>
        <x:v>-4.701161883286471</x:v>
      </x:c>
      <x:c r="H3199" s="24" t="n">
        <x:f>F3199-G3199</x:f>
        <x:v>-0.23933068761577392</x:v>
      </x:c>
    </x:row>
    <x:row r="3200">
      <x:c r="A3200" s="2" t="str">
        <x:v>LiN3-Core</x:v>
      </x:c>
      <x:c r="B3200" s="4" t="str">
        <x:v>NaCl</x:v>
      </x:c>
      <x:c r="C3200" s="23" t="n">
        <x:v>2.739274</x:v>
      </x:c>
      <x:c r="D3200" s="23" t="n">
        <x:v>-16.26906</x:v>
      </x:c>
      <x:c r="E3200" s="23" t="n">
        <x:f>'Parameters'!$B$2*'Parameters'!$B$3*LN(4*PI()*C3200^2)</x:f>
        <x:v>11.270355253408999</x:v>
      </x:c>
      <x:c r="F3200" s="23" t="n">
        <x:f>D3200+E3200</x:f>
        <x:v>-4.998704746591001</x:v>
      </x:c>
      <x:c r="G3200" s="23" t="n">
        <x:f>AVERAGE($F$3146:$F$3169)</x:f>
        <x:v>-4.701161883286471</x:v>
      </x:c>
      <x:c r="H3200" s="24" t="n">
        <x:f>F3200-G3200</x:f>
        <x:v>-0.29754286330452917</x:v>
      </x:c>
    </x:row>
    <x:row r="3201">
      <x:c r="A3201" s="2" t="str">
        <x:v>LiN3-Core</x:v>
      </x:c>
      <x:c r="B3201" s="4" t="str">
        <x:v>NaCl</x:v>
      </x:c>
      <x:c r="C3201" s="23" t="n">
        <x:v>2.751908</x:v>
      </x:c>
      <x:c r="D3201" s="23" t="n">
        <x:v>-15.63831</x:v>
      </x:c>
      <x:c r="E3201" s="23" t="n">
        <x:f>'Parameters'!$B$2*'Parameters'!$B$3*LN(4*PI()*C3201^2)</x:f>
        <x:v>11.29316942957414</x:v>
      </x:c>
      <x:c r="F3201" s="23" t="n">
        <x:f>D3201+E3201</x:f>
        <x:v>-4.34514057042586</x:v>
      </x:c>
      <x:c r="G3201" s="23" t="n">
        <x:f>AVERAGE($F$3146:$F$3169)</x:f>
        <x:v>-4.701161883286471</x:v>
      </x:c>
      <x:c r="H3201" s="24" t="n">
        <x:f>F3201-G3201</x:f>
        <x:v>0.35602131286061134</x:v>
      </x:c>
    </x:row>
  </x:sheetData>
  <x:pageMargins left="0.7" right="0.7" top="0.75" bottom="0.75" header="0.3" footer="0.3"/>
  <x:tableParts count="1">
    <x:tablePart xmlns:r="http://schemas.openxmlformats.org/officeDocument/2006/relationships" r:id="Rfe350c15013941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4" customHeight="1">
      <x:c r="A1" s="14" t="str">
        <x:v>Parameter</x:v>
      </x:c>
      <x:c r="B1" s="16" t="str">
        <x:v>Value</x:v>
      </x:c>
    </x:row>
    <x:row r="2">
      <x:c r="A2" t="str">
        <x:v>Gas constant (kJ mol⁻¹ K⁻¹)</x:v>
      </x:c>
      <x:c r="B2" s="20" t="n">
        <x:v>0.00831446261815324</x:v>
      </x:c>
    </x:row>
    <x:row r="3">
      <x:c r="A3" t="str">
        <x:v>Temperature (K)</x:v>
      </x:c>
      <x:c r="B3" s="20" t="n">
        <x:v>298.15</x:v>
      </x:c>
    </x:row>
    <x:row r="5" ht="24" customHeight="1">
      <x:c r="A5" s="14" t="str">
        <x:v>Candidate</x:v>
      </x:c>
      <x:c r="B5" s="15" t="str">
        <x:v>Bound min (nm)</x:v>
      </x:c>
      <x:c r="C5" s="15" t="str">
        <x:v>Bound max (nm)</x:v>
      </x:c>
      <x:c r="D5" s="15" t="str">
        <x:v>Reference min (nm)</x:v>
      </x:c>
      <x:c r="E5" s="16" t="str">
        <x:v>Reference max (nm)</x:v>
      </x:c>
    </x:row>
    <x:row r="6">
      <x:c r="A6" t="str">
        <x:v>LiDA-1</x:v>
      </x:c>
      <x:c r="B6" s="21" t="n">
        <x:v>0.4036</x:v>
      </x:c>
      <x:c r="C6" s="21" t="n">
        <x:v>0.55</x:v>
      </x:c>
      <x:c r="D6" s="21" t="n">
        <x:v>1.8166</x:v>
      </x:c>
      <x:c r="E6" s="21" t="n">
        <x:v>2.1166</x:v>
      </x:c>
    </x:row>
    <x:row r="7">
      <x:c r="A7" t="str">
        <x:v>LiDS-1</x:v>
      </x:c>
      <x:c r="B7" s="21" t="n">
        <x:v>0.473</x:v>
      </x:c>
      <x:c r="C7" s="21" t="n">
        <x:v>0.55</x:v>
      </x:c>
      <x:c r="D7" s="21" t="n">
        <x:v>2.1076</x:v>
      </x:c>
      <x:c r="E7" s="21" t="n">
        <x:v>2.4076</x:v>
      </x:c>
    </x:row>
    <x:row r="8">
      <x:c r="A8" t="str">
        <x:v>LiD3-Core</x:v>
      </x:c>
      <x:c r="B8" s="21" t="n">
        <x:v>0.4136</x:v>
      </x:c>
      <x:c r="C8" s="21" t="n">
        <x:v>0.55</x:v>
      </x:c>
      <x:c r="D8" s="21" t="n">
        <x:v>2.0438</x:v>
      </x:c>
      <x:c r="E8" s="21" t="n">
        <x:v>2.3438</x:v>
      </x:c>
    </x:row>
    <x:row r="9">
      <x:c r="A9" t="str">
        <x:v>LiD3-Flex</x:v>
      </x:c>
      <x:c r="B9" s="21" t="n">
        <x:v>0.3537</x:v>
      </x:c>
      <x:c r="C9" s="21" t="n">
        <x:v>0.55</x:v>
      </x:c>
      <x:c r="D9" s="21" t="n">
        <x:v>1.9479</x:v>
      </x:c>
      <x:c r="E9" s="21" t="n">
        <x:v>2.2479</x:v>
      </x:c>
    </x:row>
    <x:row r="10">
      <x:c r="A10" t="str">
        <x:v>LiND-Hybrid</x:v>
      </x:c>
      <x:c r="B10" s="21" t="n">
        <x:v>0.4183</x:v>
      </x:c>
      <x:c r="C10" s="21" t="n">
        <x:v>0.55</x:v>
      </x:c>
      <x:c r="D10" s="21" t="n">
        <x:v>2.0357</x:v>
      </x:c>
      <x:c r="E10" s="21" t="n">
        <x:v>2.3357</x:v>
      </x:c>
    </x:row>
    <x:row r="11">
      <x:c r="A11" t="str">
        <x:v>LiLC-1</x:v>
      </x:c>
      <x:c r="B11" s="21" t="n">
        <x:v>0.3772</x:v>
      </x:c>
      <x:c r="C11" s="21" t="n">
        <x:v>0.55</x:v>
      </x:c>
      <x:c r="D11" s="21" t="n">
        <x:v>2.0191</x:v>
      </x:c>
      <x:c r="E11" s="21" t="n">
        <x:v>2.3191</x:v>
      </x:c>
    </x:row>
    <x:row r="12">
      <x:c r="A12" t="str">
        <x:v>LiA3-Ref</x:v>
      </x:c>
      <x:c r="B12" s="21" t="n">
        <x:v>0.3606</x:v>
      </x:c>
      <x:c r="C12" s="21" t="n">
        <x:v>0.55</x:v>
      </x:c>
      <x:c r="D12" s="21" t="n">
        <x:v>1.9873</x:v>
      </x:c>
      <x:c r="E12" s="21" t="n">
        <x:v>2.2873</x:v>
      </x:c>
    </x:row>
    <x:row r="13">
      <x:c r="A13" t="str">
        <x:v>LiN3-Core</x:v>
      </x:c>
      <x:c r="B13" s="21" t="n">
        <x:v>0.4054</x:v>
      </x:c>
      <x:c r="C13" s="21" t="n">
        <x:v>0.55</x:v>
      </x:c>
      <x:c r="D13" s="21" t="n">
        <x:v>2.0552</x:v>
      </x:c>
      <x:c r="E13" s="21" t="n">
        <x:v>2.3552</x:v>
      </x:c>
    </x:row>
  </x:sheetData>
  <x:pageMargins left="0.7" right="0.7" top="0.75" bottom="0.75" header="0.3" footer="0.3"/>
  <x:tableParts count="2">
    <x:tablePart xmlns:r="http://schemas.openxmlformats.org/officeDocument/2006/relationships" r:id="R9553aeedd50e4a07"/>
    <x:tablePart xmlns:r="http://schemas.openxmlformats.org/officeDocument/2006/relationships" r:id="R94d54c5421554e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72" hidden="0" customWidth="1"/>
    <x:col min="3" max="3" width="14" hidden="0" customWidth="1"/>
    <x:col min="4" max="4" width="66" hidden="0" customWidth="1"/>
    <x:col min="5" max="5" width="20" hidden="0" customWidth="1"/>
  </x:cols>
  <x:sheetData>
    <x:row r="1" ht="24" customHeight="1">
      <x:c r="A1" s="14" t="str">
        <x:v>Curated path</x:v>
      </x:c>
      <x:c r="B1" s="15" t="str">
        <x:v>Source path</x:v>
      </x:c>
      <x:c r="C1" s="15" t="str">
        <x:v>Bytes</x:v>
      </x:c>
      <x:c r="D1" s="15" t="str">
        <x:v>SHA-256</x:v>
      </x:c>
      <x:c r="E1" s="16" t="str">
        <x:v>Role</x:v>
      </x:c>
    </x:row>
    <x:row r="2" ht="34" customHeight="1">
      <x:c r="A2" s="30" t="str">
        <x:v>01_computational_discovery/data/raw/logs/bound_prep/LiA3-Ref_LiCl.log</x:v>
      </x:c>
      <x:c r="B2" s="31" t="str">
        <x:v>01_computational_discovery/umbrella/analysis_archive_20260725/workflow/remote_logs/bound_prep/LiA3-Ref_LiCl.log</x:v>
      </x:c>
      <x:c r="C2" s="32" t="n">
        <x:v>510</x:v>
      </x:c>
      <x:c r="D2" s="33" t="str">
        <x:v>62bc12f944ccb9543015fb0a0cf0f0522a7674a25af7c15a9204e62ba91edef2</x:v>
      </x:c>
      <x:c r="E2" s="34" t="str">
        <x:v>workflow_log</x:v>
      </x:c>
    </x:row>
    <x:row r="3" ht="34" customHeight="1">
      <x:c r="A3" s="30" t="str">
        <x:v>01_computational_discovery/data/raw/logs/bound_prep/LiA3-Ref_NaCl.log</x:v>
      </x:c>
      <x:c r="B3" s="31" t="str">
        <x:v>01_computational_discovery/umbrella/analysis_archive_20260725/workflow/remote_logs/bound_prep/LiA3-Ref_NaCl.log</x:v>
      </x:c>
      <x:c r="C3" s="32" t="n">
        <x:v>534</x:v>
      </x:c>
      <x:c r="D3" s="33" t="str">
        <x:v>40144f45b6c9db20616083ab1be38632893dc169de7fdcaa14fd1b49265c6376</x:v>
      </x:c>
      <x:c r="E3" s="34" t="str">
        <x:v>workflow_log</x:v>
      </x:c>
    </x:row>
    <x:row r="4" ht="34" customHeight="1">
      <x:c r="A4" s="30" t="str">
        <x:v>01_computational_discovery/data/raw/logs/bound_prep/LiD3-Core_LiCl.log</x:v>
      </x:c>
      <x:c r="B4" s="31" t="str">
        <x:v>01_computational_discovery/umbrella/analysis_archive_20260725/workflow/remote_logs/bound_prep/LiD3-Core_LiCl.log</x:v>
      </x:c>
      <x:c r="C4" s="32" t="n">
        <x:v>525</x:v>
      </x:c>
      <x:c r="D4" s="33" t="str">
        <x:v>e20fdc8c74182766185621f5ab0e1f5603df8f17df082729750069bb502a9a62</x:v>
      </x:c>
      <x:c r="E4" s="34" t="str">
        <x:v>workflow_log</x:v>
      </x:c>
    </x:row>
    <x:row r="5" ht="34" customHeight="1">
      <x:c r="A5" s="30" t="str">
        <x:v>01_computational_discovery/data/raw/logs/bound_prep/LiD3-Core_NaCl.log</x:v>
      </x:c>
      <x:c r="B5" s="31" t="str">
        <x:v>01_computational_discovery/umbrella/analysis_archive_20260725/workflow/remote_logs/bound_prep/LiD3-Core_NaCl.log</x:v>
      </x:c>
      <x:c r="C5" s="32" t="n">
        <x:v>549</x:v>
      </x:c>
      <x:c r="D5" s="33" t="str">
        <x:v>55891b032a3974751a2b7ef50abe58861a376615aaa29f1725a43085cf835151</x:v>
      </x:c>
      <x:c r="E5" s="34" t="str">
        <x:v>workflow_log</x:v>
      </x:c>
    </x:row>
    <x:row r="6" ht="34" customHeight="1">
      <x:c r="A6" s="30" t="str">
        <x:v>01_computational_discovery/data/raw/logs/bound_prep/LiD3-Flex_LiCl.log</x:v>
      </x:c>
      <x:c r="B6" s="31" t="str">
        <x:v>01_computational_discovery/umbrella/analysis_archive_20260725/workflow/remote_logs/bound_prep/LiD3-Flex_LiCl.log</x:v>
      </x:c>
      <x:c r="C6" s="32" t="n">
        <x:v>530</x:v>
      </x:c>
      <x:c r="D6" s="33" t="str">
        <x:v>34764771d4735bc9add02fdbf1aa0ec458095d9b28c04a58a29d4b903002d87f</x:v>
      </x:c>
      <x:c r="E6" s="34" t="str">
        <x:v>workflow_log</x:v>
      </x:c>
    </x:row>
    <x:row r="7" ht="34" customHeight="1">
      <x:c r="A7" s="30" t="str">
        <x:v>01_computational_discovery/data/raw/logs/bound_prep/LiD3-Flex_NaCl.log</x:v>
      </x:c>
      <x:c r="B7" s="31" t="str">
        <x:v>01_computational_discovery/umbrella/analysis_archive_20260725/workflow/remote_logs/bound_prep/LiD3-Flex_NaCl.log</x:v>
      </x:c>
      <x:c r="C7" s="32" t="n">
        <x:v>554</x:v>
      </x:c>
      <x:c r="D7" s="33" t="str">
        <x:v>a75b58eb5c9a1cfec1c72d2d2f55f11965825ef8d1692f43441213037a650f82</x:v>
      </x:c>
      <x:c r="E7" s="34" t="str">
        <x:v>workflow_log</x:v>
      </x:c>
    </x:row>
    <x:row r="8" ht="34" customHeight="1">
      <x:c r="A8" s="30" t="str">
        <x:v>01_computational_discovery/data/raw/logs/bound_prep/LiDA-1_LiCl.log</x:v>
      </x:c>
      <x:c r="B8" s="31" t="str">
        <x:v>01_computational_discovery/umbrella/analysis_archive_20260725/workflow/remote_logs/bound_prep/LiDA-1_LiCl.log</x:v>
      </x:c>
      <x:c r="C8" s="32" t="n">
        <x:v>513</x:v>
      </x:c>
      <x:c r="D8" s="33" t="str">
        <x:v>a6e72633da9f801ab06f53cc0efaba80fde90e1c50aa9806e52bc3a797f376ea</x:v>
      </x:c>
      <x:c r="E8" s="34" t="str">
        <x:v>workflow_log</x:v>
      </x:c>
    </x:row>
    <x:row r="9" ht="34" customHeight="1">
      <x:c r="A9" s="30" t="str">
        <x:v>01_computational_discovery/data/raw/logs/bound_prep/LiDA-1_NaCl.log</x:v>
      </x:c>
      <x:c r="B9" s="31" t="str">
        <x:v>01_computational_discovery/umbrella/analysis_archive_20260725/workflow/remote_logs/bound_prep/LiDA-1_NaCl.log</x:v>
      </x:c>
      <x:c r="C9" s="32" t="n">
        <x:v>1223</x:v>
      </x:c>
      <x:c r="D9" s="33" t="str">
        <x:v>cf7915443dc1391795de431d98488575bdbc6dee65f4defc64249ff6eb38e8d8</x:v>
      </x:c>
      <x:c r="E9" s="34" t="str">
        <x:v>workflow_log</x:v>
      </x:c>
    </x:row>
    <x:row r="10" ht="34" customHeight="1">
      <x:c r="A10" s="30" t="str">
        <x:v>01_computational_discovery/data/raw/logs/bound_prep/LiDS-1_LiCl.log</x:v>
      </x:c>
      <x:c r="B10" s="31" t="str">
        <x:v>01_computational_discovery/umbrella/analysis_archive_20260725/workflow/remote_logs/bound_prep/LiDS-1_LiCl.log</x:v>
      </x:c>
      <x:c r="C10" s="32" t="n">
        <x:v>512</x:v>
      </x:c>
      <x:c r="D10" s="33" t="str">
        <x:v>102b62b202dcdaa9ffef3ac3d2462595a710b4d651e6006d96b86c90297a6937</x:v>
      </x:c>
      <x:c r="E10" s="34" t="str">
        <x:v>workflow_log</x:v>
      </x:c>
    </x:row>
    <x:row r="11" ht="34" customHeight="1">
      <x:c r="A11" s="30" t="str">
        <x:v>01_computational_discovery/data/raw/logs/bound_prep/LiDS-1_NaCl.log</x:v>
      </x:c>
      <x:c r="B11" s="31" t="str">
        <x:v>01_computational_discovery/umbrella/analysis_archive_20260725/workflow/remote_logs/bound_prep/LiDS-1_NaCl.log</x:v>
      </x:c>
      <x:c r="C11" s="32" t="n">
        <x:v>536</x:v>
      </x:c>
      <x:c r="D11" s="33" t="str">
        <x:v>a5660e9360137768338929ac89f4ab942fd5e8cb77399121600bae71fa65078e</x:v>
      </x:c>
      <x:c r="E11" s="34" t="str">
        <x:v>workflow_log</x:v>
      </x:c>
    </x:row>
    <x:row r="12" ht="34" customHeight="1">
      <x:c r="A12" s="30" t="str">
        <x:v>01_computational_discovery/data/raw/logs/bound_prep/LiLC-1_LiCl.log</x:v>
      </x:c>
      <x:c r="B12" s="31" t="str">
        <x:v>01_computational_discovery/umbrella/analysis_archive_20260725/workflow/remote_logs/bound_prep/LiLC-1_LiCl.log</x:v>
      </x:c>
      <x:c r="C12" s="32" t="n">
        <x:v>519</x:v>
      </x:c>
      <x:c r="D12" s="33" t="str">
        <x:v>9e0bd3f03abef862aa6fe3db4fe843e5d000b287c20f0eacd8af3c08570ccbb8</x:v>
      </x:c>
      <x:c r="E12" s="34" t="str">
        <x:v>workflow_log</x:v>
      </x:c>
    </x:row>
    <x:row r="13" ht="34" customHeight="1">
      <x:c r="A13" s="30" t="str">
        <x:v>01_computational_discovery/data/raw/logs/bound_prep/LiLC-1_NaCl.log</x:v>
      </x:c>
      <x:c r="B13" s="31" t="str">
        <x:v>01_computational_discovery/umbrella/analysis_archive_20260725/workflow/remote_logs/bound_prep/LiLC-1_NaCl.log</x:v>
      </x:c>
      <x:c r="C13" s="32" t="n">
        <x:v>543</x:v>
      </x:c>
      <x:c r="D13" s="33" t="str">
        <x:v>afa6368dcfe1886d2d5e017915ba853538056efba39e11ba65646a74464172c7</x:v>
      </x:c>
      <x:c r="E13" s="34" t="str">
        <x:v>workflow_log</x:v>
      </x:c>
    </x:row>
    <x:row r="14" ht="34" customHeight="1">
      <x:c r="A14" s="30" t="str">
        <x:v>01_computational_discovery/data/raw/logs/bound_prep/LiN3-Core_LiCl.log</x:v>
      </x:c>
      <x:c r="B14" s="31" t="str">
        <x:v>01_computational_discovery/umbrella/analysis_archive_20260725/workflow/remote_logs/bound_prep/LiN3-Core_LiCl.log</x:v>
      </x:c>
      <x:c r="C14" s="32" t="n">
        <x:v>515</x:v>
      </x:c>
      <x:c r="D14" s="33" t="str">
        <x:v>ec2f94bb81f09743f23c8cb9fa7bcc14aa9c572e473acad057d381ff95102070</x:v>
      </x:c>
      <x:c r="E14" s="34" t="str">
        <x:v>workflow_log</x:v>
      </x:c>
    </x:row>
    <x:row r="15" ht="34" customHeight="1">
      <x:c r="A15" s="30" t="str">
        <x:v>01_computational_discovery/data/raw/logs/bound_prep/LiN3-Core_NaCl.log</x:v>
      </x:c>
      <x:c r="B15" s="31" t="str">
        <x:v>01_computational_discovery/umbrella/analysis_archive_20260725/workflow/remote_logs/bound_prep/LiN3-Core_NaCl.log</x:v>
      </x:c>
      <x:c r="C15" s="32" t="n">
        <x:v>539</x:v>
      </x:c>
      <x:c r="D15" s="33" t="str">
        <x:v>7689fe0d3a17d415c5f14ea6866a5107abe2767c59939469af6f811dd83a5a1a</x:v>
      </x:c>
      <x:c r="E15" s="34" t="str">
        <x:v>workflow_log</x:v>
      </x:c>
    </x:row>
    <x:row r="16" ht="34" customHeight="1">
      <x:c r="A16" s="30" t="str">
        <x:v>01_computational_discovery/data/raw/logs/bound_prep/LiND-Hybrid_LiCl.log</x:v>
      </x:c>
      <x:c r="B16" s="31" t="str">
        <x:v>01_computational_discovery/umbrella/analysis_archive_20260725/workflow/remote_logs/bound_prep/LiND-Hybrid_LiCl.log</x:v>
      </x:c>
      <x:c r="C16" s="32" t="n">
        <x:v>538</x:v>
      </x:c>
      <x:c r="D16" s="33" t="str">
        <x:v>4e6c130465faec07f2cb05c32356c4189082e33cc3e3c0eda0635f2f7b863244</x:v>
      </x:c>
      <x:c r="E16" s="34" t="str">
        <x:v>workflow_log</x:v>
      </x:c>
    </x:row>
    <x:row r="17" ht="34" customHeight="1">
      <x:c r="A17" s="30" t="str">
        <x:v>01_computational_discovery/data/raw/logs/bound_prep/LiND-Hybrid_NaCl.log</x:v>
      </x:c>
      <x:c r="B17" s="31" t="str">
        <x:v>01_computational_discovery/umbrella/analysis_archive_20260725/workflow/remote_logs/bound_prep/LiND-Hybrid_NaCl.log</x:v>
      </x:c>
      <x:c r="C17" s="32" t="n">
        <x:v>555</x:v>
      </x:c>
      <x:c r="D17" s="33" t="str">
        <x:v>62fae715a2df19496d698e37f0f8536e4439b8e7b45d9c530d412052550ca18e</x:v>
      </x:c>
      <x:c r="E17" s="34" t="str">
        <x:v>workflow_log</x:v>
      </x:c>
    </x:row>
    <x:row r="18" ht="34" customHeight="1">
      <x:c r="A18" s="30" t="str">
        <x:v>01_computational_discovery/data/raw/logs/drivers/LiA3-Ref_LiCl.log</x:v>
      </x:c>
      <x:c r="B18" s="31" t="str">
        <x:v>01_computational_discovery/umbrella/analysis_archive_20260725/workflow/remote_logs/drivers/LiA3-Ref_LiCl.log</x:v>
      </x:c>
      <x:c r="C18" s="32" t="n">
        <x:v>0</x:v>
      </x:c>
      <x:c r="D18" s="33" t="str">
        <x:v>e3b0c44298fc1c149afbf4c8996fb92427ae41e4649b934ca495991b7852b855</x:v>
      </x:c>
      <x:c r="E18" s="34" t="str">
        <x:v>workflow_log</x:v>
      </x:c>
    </x:row>
    <x:row r="19" ht="34" customHeight="1">
      <x:c r="A19" s="30" t="str">
        <x:v>01_computational_discovery/data/raw/logs/drivers/LiA3-Ref_NaCl.log</x:v>
      </x:c>
      <x:c r="B19" s="31" t="str">
        <x:v>01_computational_discovery/umbrella/analysis_archive_20260725/workflow/remote_logs/drivers/LiA3-Ref_NaCl.log</x:v>
      </x:c>
      <x:c r="C19" s="32" t="n">
        <x:v>0</x:v>
      </x:c>
      <x:c r="D19" s="33" t="str">
        <x:v>e3b0c44298fc1c149afbf4c8996fb92427ae41e4649b934ca495991b7852b855</x:v>
      </x:c>
      <x:c r="E19" s="34" t="str">
        <x:v>workflow_log</x:v>
      </x:c>
    </x:row>
    <x:row r="20" ht="34" customHeight="1">
      <x:c r="A20" s="30" t="str">
        <x:v>01_computational_discovery/data/raw/logs/drivers/LiD3-Core_LiCl.log</x:v>
      </x:c>
      <x:c r="B20" s="31" t="str">
        <x:v>01_computational_discovery/umbrella/analysis_archive_20260725/workflow/remote_logs/drivers/LiD3-Core_LiCl.log</x:v>
      </x:c>
      <x:c r="C20" s="32" t="n">
        <x:v>0</x:v>
      </x:c>
      <x:c r="D20" s="33" t="str">
        <x:v>e3b0c44298fc1c149afbf4c8996fb92427ae41e4649b934ca495991b7852b855</x:v>
      </x:c>
      <x:c r="E20" s="34" t="str">
        <x:v>workflow_log</x:v>
      </x:c>
    </x:row>
    <x:row r="21" ht="34" customHeight="1">
      <x:c r="A21" s="30" t="str">
        <x:v>01_computational_discovery/data/raw/logs/drivers/LiD3-Core_NaCl.log</x:v>
      </x:c>
      <x:c r="B21" s="31" t="str">
        <x:v>01_computational_discovery/umbrella/analysis_archive_20260725/workflow/remote_logs/drivers/LiD3-Core_NaCl.log</x:v>
      </x:c>
      <x:c r="C21" s="32" t="n">
        <x:v>0</x:v>
      </x:c>
      <x:c r="D21" s="33" t="str">
        <x:v>e3b0c44298fc1c149afbf4c8996fb92427ae41e4649b934ca495991b7852b855</x:v>
      </x:c>
      <x:c r="E21" s="34" t="str">
        <x:v>workflow_log</x:v>
      </x:c>
    </x:row>
    <x:row r="22" ht="34" customHeight="1">
      <x:c r="A22" s="30" t="str">
        <x:v>01_computational_discovery/data/raw/logs/drivers/LiD3-Flex_LiCl.log</x:v>
      </x:c>
      <x:c r="B22" s="31" t="str">
        <x:v>01_computational_discovery/umbrella/analysis_archive_20260725/workflow/remote_logs/drivers/LiD3-Flex_LiCl.log</x:v>
      </x:c>
      <x:c r="C22" s="32" t="n">
        <x:v>0</x:v>
      </x:c>
      <x:c r="D22" s="33" t="str">
        <x:v>e3b0c44298fc1c149afbf4c8996fb92427ae41e4649b934ca495991b7852b855</x:v>
      </x:c>
      <x:c r="E22" s="34" t="str">
        <x:v>workflow_log</x:v>
      </x:c>
    </x:row>
    <x:row r="23" ht="34" customHeight="1">
      <x:c r="A23" s="30" t="str">
        <x:v>01_computational_discovery/data/raw/logs/drivers/LiD3-Flex_NaCl.log</x:v>
      </x:c>
      <x:c r="B23" s="31" t="str">
        <x:v>01_computational_discovery/umbrella/analysis_archive_20260725/workflow/remote_logs/drivers/LiD3-Flex_NaCl.log</x:v>
      </x:c>
      <x:c r="C23" s="32" t="n">
        <x:v>0</x:v>
      </x:c>
      <x:c r="D23" s="33" t="str">
        <x:v>e3b0c44298fc1c149afbf4c8996fb92427ae41e4649b934ca495991b7852b855</x:v>
      </x:c>
      <x:c r="E23" s="34" t="str">
        <x:v>workflow_log</x:v>
      </x:c>
    </x:row>
    <x:row r="24" ht="34" customHeight="1">
      <x:c r="A24" s="30" t="str">
        <x:v>01_computational_discovery/data/raw/logs/drivers/LiDA-1_LiCl.log</x:v>
      </x:c>
      <x:c r="B24" s="31" t="str">
        <x:v>01_computational_discovery/umbrella/analysis_archive_20260725/workflow/remote_logs/drivers/LiDA-1_LiCl.log</x:v>
      </x:c>
      <x:c r="C24" s="32" t="n">
        <x:v>0</x:v>
      </x:c>
      <x:c r="D24" s="33" t="str">
        <x:v>e3b0c44298fc1c149afbf4c8996fb92427ae41e4649b934ca495991b7852b855</x:v>
      </x:c>
      <x:c r="E24" s="34" t="str">
        <x:v>workflow_log</x:v>
      </x:c>
    </x:row>
    <x:row r="25" ht="34" customHeight="1">
      <x:c r="A25" s="30" t="str">
        <x:v>01_computational_discovery/data/raw/logs/drivers/LiDA-1_NaCl.log</x:v>
      </x:c>
      <x:c r="B25" s="31" t="str">
        <x:v>01_computational_discovery/umbrella/analysis_archive_20260725/workflow/remote_logs/drivers/LiDA-1_NaCl.log</x:v>
      </x:c>
      <x:c r="C25" s="32" t="n">
        <x:v>0</x:v>
      </x:c>
      <x:c r="D25" s="33" t="str">
        <x:v>e3b0c44298fc1c149afbf4c8996fb92427ae41e4649b934ca495991b7852b855</x:v>
      </x:c>
      <x:c r="E25" s="34" t="str">
        <x:v>workflow_log</x:v>
      </x:c>
    </x:row>
    <x:row r="26" ht="34" customHeight="1">
      <x:c r="A26" s="30" t="str">
        <x:v>01_computational_discovery/data/raw/logs/drivers/LiDS-1_LiCl.log</x:v>
      </x:c>
      <x:c r="B26" s="31" t="str">
        <x:v>01_computational_discovery/umbrella/analysis_archive_20260725/workflow/remote_logs/drivers/LiDS-1_LiCl.log</x:v>
      </x:c>
      <x:c r="C26" s="32" t="n">
        <x:v>0</x:v>
      </x:c>
      <x:c r="D26" s="33" t="str">
        <x:v>e3b0c44298fc1c149afbf4c8996fb92427ae41e4649b934ca495991b7852b855</x:v>
      </x:c>
      <x:c r="E26" s="34" t="str">
        <x:v>workflow_log</x:v>
      </x:c>
    </x:row>
    <x:row r="27" ht="34" customHeight="1">
      <x:c r="A27" s="30" t="str">
        <x:v>01_computational_discovery/data/raw/logs/drivers/LiDS-1_NaCl.log</x:v>
      </x:c>
      <x:c r="B27" s="31" t="str">
        <x:v>01_computational_discovery/umbrella/analysis_archive_20260725/workflow/remote_logs/drivers/LiDS-1_NaCl.log</x:v>
      </x:c>
      <x:c r="C27" s="32" t="n">
        <x:v>0</x:v>
      </x:c>
      <x:c r="D27" s="33" t="str">
        <x:v>e3b0c44298fc1c149afbf4c8996fb92427ae41e4649b934ca495991b7852b855</x:v>
      </x:c>
      <x:c r="E27" s="34" t="str">
        <x:v>workflow_log</x:v>
      </x:c>
    </x:row>
    <x:row r="28" ht="34" customHeight="1">
      <x:c r="A28" s="30" t="str">
        <x:v>01_computational_discovery/data/raw/logs/drivers/LiLC-1_LiCl.log</x:v>
      </x:c>
      <x:c r="B28" s="31" t="str">
        <x:v>01_computational_discovery/umbrella/analysis_archive_20260725/workflow/remote_logs/drivers/LiLC-1_LiCl.log</x:v>
      </x:c>
      <x:c r="C28" s="32" t="n">
        <x:v>0</x:v>
      </x:c>
      <x:c r="D28" s="33" t="str">
        <x:v>e3b0c44298fc1c149afbf4c8996fb92427ae41e4649b934ca495991b7852b855</x:v>
      </x:c>
      <x:c r="E28" s="34" t="str">
        <x:v>workflow_log</x:v>
      </x:c>
    </x:row>
    <x:row r="29" ht="34" customHeight="1">
      <x:c r="A29" s="30" t="str">
        <x:v>01_computational_discovery/data/raw/logs/drivers/LiLC-1_NaCl.log</x:v>
      </x:c>
      <x:c r="B29" s="31" t="str">
        <x:v>01_computational_discovery/umbrella/analysis_archive_20260725/workflow/remote_logs/drivers/LiLC-1_NaCl.log</x:v>
      </x:c>
      <x:c r="C29" s="32" t="n">
        <x:v>0</x:v>
      </x:c>
      <x:c r="D29" s="33" t="str">
        <x:v>e3b0c44298fc1c149afbf4c8996fb92427ae41e4649b934ca495991b7852b855</x:v>
      </x:c>
      <x:c r="E29" s="34" t="str">
        <x:v>workflow_log</x:v>
      </x:c>
    </x:row>
    <x:row r="30" ht="34" customHeight="1">
      <x:c r="A30" s="30" t="str">
        <x:v>01_computational_discovery/data/raw/logs/drivers/LiN3-Core_LiCl.log</x:v>
      </x:c>
      <x:c r="B30" s="31" t="str">
        <x:v>01_computational_discovery/umbrella/analysis_archive_20260725/workflow/remote_logs/drivers/LiN3-Core_LiCl.log</x:v>
      </x:c>
      <x:c r="C30" s="32" t="n">
        <x:v>0</x:v>
      </x:c>
      <x:c r="D30" s="33" t="str">
        <x:v>e3b0c44298fc1c149afbf4c8996fb92427ae41e4649b934ca495991b7852b855</x:v>
      </x:c>
      <x:c r="E30" s="34" t="str">
        <x:v>workflow_log</x:v>
      </x:c>
    </x:row>
    <x:row r="31" ht="34" customHeight="1">
      <x:c r="A31" s="30" t="str">
        <x:v>01_computational_discovery/data/raw/logs/drivers/LiN3-Core_NaCl.log</x:v>
      </x:c>
      <x:c r="B31" s="31" t="str">
        <x:v>01_computational_discovery/umbrella/analysis_archive_20260725/workflow/remote_logs/drivers/LiN3-Core_NaCl.log</x:v>
      </x:c>
      <x:c r="C31" s="32" t="n">
        <x:v>0</x:v>
      </x:c>
      <x:c r="D31" s="33" t="str">
        <x:v>e3b0c44298fc1c149afbf4c8996fb92427ae41e4649b934ca495991b7852b855</x:v>
      </x:c>
      <x:c r="E31" s="34" t="str">
        <x:v>workflow_log</x:v>
      </x:c>
    </x:row>
    <x:row r="32" ht="34" customHeight="1">
      <x:c r="A32" s="30" t="str">
        <x:v>01_computational_discovery/data/raw/logs/drivers/LiND-Hybrid_LiCl.log</x:v>
      </x:c>
      <x:c r="B32" s="31" t="str">
        <x:v>01_computational_discovery/umbrella/analysis_archive_20260725/workflow/remote_logs/drivers/LiND-Hybrid_LiCl.log</x:v>
      </x:c>
      <x:c r="C32" s="32" t="n">
        <x:v>0</x:v>
      </x:c>
      <x:c r="D32" s="33" t="str">
        <x:v>e3b0c44298fc1c149afbf4c8996fb92427ae41e4649b934ca495991b7852b855</x:v>
      </x:c>
      <x:c r="E32" s="34" t="str">
        <x:v>workflow_log</x:v>
      </x:c>
    </x:row>
    <x:row r="33" ht="34" customHeight="1">
      <x:c r="A33" s="30" t="str">
        <x:v>01_computational_discovery/data/raw/logs/drivers/LiND-Hybrid_NaCl.log</x:v>
      </x:c>
      <x:c r="B33" s="31" t="str">
        <x:v>01_computational_discovery/umbrella/analysis_archive_20260725/workflow/remote_logs/drivers/LiND-Hybrid_NaCl.log</x:v>
      </x:c>
      <x:c r="C33" s="32" t="n">
        <x:v>0</x:v>
      </x:c>
      <x:c r="D33" s="33" t="str">
        <x:v>e3b0c44298fc1c149afbf4c8996fb92427ae41e4649b934ca495991b7852b855</x:v>
      </x:c>
      <x:c r="E33" s="34" t="str">
        <x:v>workflow_log</x:v>
      </x:c>
    </x:row>
    <x:row r="34" ht="34" customHeight="1">
      <x:c r="A34" s="30" t="str">
        <x:v>01_computational_discovery/data/raw/manifests/archive_verification.tsv</x:v>
      </x:c>
      <x:c r="B34" s="31" t="str">
        <x:v>01_computational_discovery/umbrella/analysis_archive_20260725/manifest/archive_verification.tsv</x:v>
      </x:c>
      <x:c r="C34" s="32" t="n">
        <x:v>583</x:v>
      </x:c>
      <x:c r="D34" s="33" t="str">
        <x:v>ca384b65828798a1e372ef959f1cbb0b023a263e2ac5de97810d8ad7537296e8</x:v>
      </x:c>
      <x:c r="E34" s="34" t="str">
        <x:v>archive_verification</x:v>
      </x:c>
    </x:row>
    <x:row r="35" ht="34" customHeight="1">
      <x:c r="A35" s="30" t="str">
        <x:v>01_computational_discovery/data/raw/manifests/bulk_data_coverage.tsv</x:v>
      </x:c>
      <x:c r="B35" s="31" t="str">
        <x:v>01_computational_discovery/umbrella/analysis_archive_20260725/manifest/bulk_data_coverage.tsv</x:v>
      </x:c>
      <x:c r="C35" s="32" t="n">
        <x:v>723</x:v>
      </x:c>
      <x:c r="D35" s="33" t="str">
        <x:v>ab9b79628e34e3ec75c0690b6216ea134dfe35043fcc5e4829b1c81057260d50</x:v>
      </x:c>
      <x:c r="E35" s="34" t="str">
        <x:v>bulk_data_coverage</x:v>
      </x:c>
    </x:row>
    <x:row r="36" ht="34" customHeight="1">
      <x:c r="A36" s="30" t="str">
        <x:v>01_computational_discovery/data/raw/pmf/LiA3-Ref/LiCl/analysis_times.tsv</x:v>
      </x:c>
      <x:c r="B36" s="31" t="str">
        <x:v>01_computational_discovery/umbrella/analysis_archive_20260725/paired_pmf/LiA3-Ref/LiCl/analysis_times.tsv</x:v>
      </x:c>
      <x:c r="C36" s="32" t="n">
        <x:v>154</x:v>
      </x:c>
      <x:c r="D36" s="33" t="str">
        <x:v>99bb2eba7f9ea4e0ec1d94935a67cbd218812023006103fc0db9e39b93567f07</x:v>
      </x:c>
      <x:c r="E36" s="34" t="str">
        <x:v>pmf_evidence</x:v>
      </x:c>
    </x:row>
    <x:row r="37" ht="34" customHeight="1">
      <x:c r="A37" s="30" t="str">
        <x:v>01_computational_discovery/data/raw/pmf/LiA3-Ref/LiCl/bootstrap_std.xvg</x:v>
      </x:c>
      <x:c r="B37" s="31" t="str">
        <x:v>01_computational_discovery/umbrella/analysis_archive_20260725/paired_pmf/LiA3-Ref/LiCl/bootstrap_std.xvg</x:v>
      </x:c>
      <x:c r="C37" s="32" t="n">
        <x:v>8765</x:v>
      </x:c>
      <x:c r="D37" s="33" t="str">
        <x:v>6f89c90cd4538d789f3ffbc0f4731ccd6a01bc445efb59dfcc47bdc1885c571d</x:v>
      </x:c>
      <x:c r="E37" s="34" t="str">
        <x:v>pmf_evidence</x:v>
      </x:c>
    </x:row>
    <x:row r="38" ht="34" customHeight="1">
      <x:c r="A38" s="30" t="str">
        <x:v>01_computational_discovery/data/raw/pmf/LiA3-Ref/LiCl/histo_full.xvg</x:v>
      </x:c>
      <x:c r="B38" s="31" t="str">
        <x:v>01_computational_discovery/umbrella/analysis_archive_20260725/paired_pmf/LiA3-Ref/LiCl/histo_full.xvg</x:v>
      </x:c>
      <x:c r="C38" s="32" t="n">
        <x:v>81538</x:v>
      </x:c>
      <x:c r="D38" s="33" t="str">
        <x:v>89cbedecaf403c87e6248fa3d067632f3f7a6d0654bd289e1d2f8f305168a71b</x:v>
      </x:c>
      <x:c r="E38" s="34" t="str">
        <x:v>pmf_evidence</x:v>
      </x:c>
    </x:row>
    <x:row r="39" ht="34" customHeight="1">
      <x:c r="A39" s="30" t="str">
        <x:v>01_computational_discovery/data/raw/pmf/LiA3-Ref/LiCl/iact_full.xvg</x:v>
      </x:c>
      <x:c r="B39" s="31" t="str">
        <x:v>01_computational_discovery/umbrella/analysis_archive_20260725/paired_pmf/LiA3-Ref/LiCl/iact_full.xvg</x:v>
      </x:c>
      <x:c r="C39" s="32" t="n">
        <x:v>2023</x:v>
      </x:c>
      <x:c r="D39" s="33" t="str">
        <x:v>eddee3d678bf5aa228b1c12e392fdddfd4e1c10d1a60fe08030da9a8801408bc</x:v>
      </x:c>
      <x:c r="E39" s="34" t="str">
        <x:v>pmf_evidence</x:v>
      </x:c>
    </x:row>
    <x:row r="40" ht="34" customHeight="1">
      <x:c r="A40" s="30" t="str">
        <x:v>01_computational_discovery/data/raw/pmf/LiA3-Ref/LiCl/profile_burnin_12p5.xvg</x:v>
      </x:c>
      <x:c r="B40" s="31" t="str">
        <x:v>01_computational_discovery/umbrella/analysis_archive_20260725/paired_pmf/LiA3-Ref/LiCl/profile_burnin_12p5.xvg</x:v>
      </x:c>
      <x:c r="C40" s="32" t="n">
        <x:v>6063</x:v>
      </x:c>
      <x:c r="D40" s="33" t="str">
        <x:v>391703f91545f25c81927aac2abd9ce688e9d2fa2d4db87a2fd989a21808604a</x:v>
      </x:c>
      <x:c r="E40" s="34" t="str">
        <x:v>pmf_evidence</x:v>
      </x:c>
    </x:row>
    <x:row r="41" ht="34" customHeight="1">
      <x:c r="A41" s="30" t="str">
        <x:v>01_computational_discovery/data/raw/pmf/LiA3-Ref/LiCl/profile_burnin_25.xvg</x:v>
      </x:c>
      <x:c r="B41" s="31" t="str">
        <x:v>01_computational_discovery/umbrella/analysis_archive_20260725/paired_pmf/LiA3-Ref/LiCl/profile_burnin_25.xvg</x:v>
      </x:c>
      <x:c r="C41" s="32" t="n">
        <x:v>6057</x:v>
      </x:c>
      <x:c r="D41" s="33" t="str">
        <x:v>4081be33dce68143a8acce7bd25f9a618945db4e56cd5a362eedbf264be7d1f4</x:v>
      </x:c>
      <x:c r="E41" s="34" t="str">
        <x:v>pmf_evidence</x:v>
      </x:c>
    </x:row>
    <x:row r="42" ht="34" customHeight="1">
      <x:c r="A42" s="30" t="str">
        <x:v>01_computational_discovery/data/raw/pmf/LiA3-Ref/LiCl/profile_full.xvg</x:v>
      </x:c>
      <x:c r="B42" s="31" t="str">
        <x:v>01_computational_discovery/umbrella/analysis_archive_20260725/paired_pmf/LiA3-Ref/LiCl/profile_full.xvg</x:v>
      </x:c>
      <x:c r="C42" s="32" t="n">
        <x:v>6134</x:v>
      </x:c>
      <x:c r="D42" s="33" t="str">
        <x:v>112aa1318f31278b953135eb6734f3c9b2e7b034420bb3fbe1d6c5dbc46beefd</x:v>
      </x:c>
      <x:c r="E42" s="34" t="str">
        <x:v>pmf_evidence</x:v>
      </x:c>
    </x:row>
    <x:row r="43" ht="34" customHeight="1">
      <x:c r="A43" s="30" t="str">
        <x:v>01_computational_discovery/data/raw/pmf/LiA3-Ref/LiCl/profile_half_early.xvg</x:v>
      </x:c>
      <x:c r="B43" s="31" t="str">
        <x:v>01_computational_discovery/umbrella/analysis_archive_20260725/paired_pmf/LiA3-Ref/LiCl/profile_half_early.xvg</x:v>
      </x:c>
      <x:c r="C43" s="32" t="n">
        <x:v>6046</x:v>
      </x:c>
      <x:c r="D43" s="33" t="str">
        <x:v>07c72578ae719ec0fe4d68e6e1cbe04f0aefe968d7526011aef4e8e2adbc46e4</x:v>
      </x:c>
      <x:c r="E43" s="34" t="str">
        <x:v>pmf_evidence</x:v>
      </x:c>
    </x:row>
    <x:row r="44" ht="34" customHeight="1">
      <x:c r="A44" s="30" t="str">
        <x:v>01_computational_discovery/data/raw/pmf/LiA3-Ref/LiCl/profile_half_late.xvg</x:v>
      </x:c>
      <x:c r="B44" s="31" t="str">
        <x:v>01_computational_discovery/umbrella/analysis_archive_20260725/paired_pmf/LiA3-Ref/LiCl/profile_half_late.xvg</x:v>
      </x:c>
      <x:c r="C44" s="32" t="n">
        <x:v>6046</x:v>
      </x:c>
      <x:c r="D44" s="33" t="str">
        <x:v>ea23c009e74918f896dcd5704fe62b6fedd24e5f567860ec1ccc6a6fc40f079c</x:v>
      </x:c>
      <x:c r="E44" s="34" t="str">
        <x:v>pmf_evidence</x:v>
      </x:c>
    </x:row>
    <x:row r="45" ht="34" customHeight="1">
      <x:c r="A45" s="30" t="str">
        <x:v>01_computational_discovery/data/raw/pmf/LiA3-Ref/LiCl/pullf-files.dat</x:v>
      </x:c>
      <x:c r="B45" s="31" t="str">
        <x:v>01_computational_discovery/umbrella/analysis_archive_20260725/paired_pmf/LiA3-Ref/LiCl/pullf-files.dat</x:v>
      </x:c>
      <x:c r="C45" s="32" t="n">
        <x:v>3540</x:v>
      </x:c>
      <x:c r="D45" s="33" t="str">
        <x:v>00296bd5cfe5354f40555d7ad1554ad5bac1a05212966a5ddcf69b817fa4e9de</x:v>
      </x:c>
      <x:c r="E45" s="34" t="str">
        <x:v>pmf_evidence</x:v>
      </x:c>
    </x:row>
    <x:row r="46" ht="34" customHeight="1">
      <x:c r="A46" s="30" t="str">
        <x:v>01_computational_discovery/data/raw/pmf/LiA3-Ref/LiCl/tpr-files.dat</x:v>
      </x:c>
      <x:c r="B46" s="31" t="str">
        <x:v>01_computational_discovery/umbrella/analysis_archive_20260725/paired_pmf/LiA3-Ref/LiCl/tpr-files.dat</x:v>
      </x:c>
      <x:c r="C46" s="32" t="n">
        <x:v>3360</x:v>
      </x:c>
      <x:c r="D46" s="33" t="str">
        <x:v>508c0b01484354b895e47ddcb04b817a3a2d857d55d5c3f4ea74d799db16632b</x:v>
      </x:c>
      <x:c r="E46" s="34" t="str">
        <x:v>pmf_evidence</x:v>
      </x:c>
    </x:row>
    <x:row r="47" ht="34" customHeight="1">
      <x:c r="A47" s="30" t="str">
        <x:v>01_computational_discovery/data/raw/pmf/LiA3-Ref/LiCl/wham_full.log</x:v>
      </x:c>
      <x:c r="B47" s="31" t="str">
        <x:v>01_computational_discovery/umbrella/analysis_archive_20260725/paired_pmf/LiA3-Ref/LiCl/wham_full.log</x:v>
      </x:c>
      <x:c r="C47" s="32" t="n">
        <x:v>7117329</x:v>
      </x:c>
      <x:c r="D47" s="33" t="str">
        <x:v>11af62ec2ef56341f3409f3a546d5bc6786378540b93627a3dea7cd8da0bd9d5</x:v>
      </x:c>
      <x:c r="E47" s="34" t="str">
        <x:v>wham_log</x:v>
      </x:c>
    </x:row>
    <x:row r="48" ht="34" customHeight="1">
      <x:c r="A48" s="30" t="str">
        <x:v>01_computational_discovery/data/raw/pmf/LiA3-Ref/NaCl/analysis_times.tsv</x:v>
      </x:c>
      <x:c r="B48" s="31" t="str">
        <x:v>01_computational_discovery/umbrella/analysis_archive_20260725/paired_pmf/LiA3-Ref/NaCl/analysis_times.tsv</x:v>
      </x:c>
      <x:c r="C48" s="32" t="n">
        <x:v>154</x:v>
      </x:c>
      <x:c r="D48" s="33" t="str">
        <x:v>99bb2eba7f9ea4e0ec1d94935a67cbd218812023006103fc0db9e39b93567f07</x:v>
      </x:c>
      <x:c r="E48" s="34" t="str">
        <x:v>pmf_evidence</x:v>
      </x:c>
    </x:row>
    <x:row r="49" ht="34" customHeight="1">
      <x:c r="A49" s="30" t="str">
        <x:v>01_computational_discovery/data/raw/pmf/LiA3-Ref/NaCl/bootstrap_std.xvg</x:v>
      </x:c>
      <x:c r="B49" s="31" t="str">
        <x:v>01_computational_discovery/umbrella/analysis_archive_20260725/paired_pmf/LiA3-Ref/NaCl/bootstrap_std.xvg</x:v>
      </x:c>
      <x:c r="C49" s="32" t="n">
        <x:v>8760</x:v>
      </x:c>
      <x:c r="D49" s="33" t="str">
        <x:v>4458fc83d63af7789164321567f1f1c66071e3891bb7d1762c2cf00fc28e6768</x:v>
      </x:c>
      <x:c r="E49" s="34" t="str">
        <x:v>pmf_evidence</x:v>
      </x:c>
    </x:row>
    <x:row r="50" ht="34" customHeight="1">
      <x:c r="A50" s="30" t="str">
        <x:v>01_computational_discovery/data/raw/pmf/LiA3-Ref/NaCl/histo_full.xvg</x:v>
      </x:c>
      <x:c r="B50" s="31" t="str">
        <x:v>01_computational_discovery/umbrella/analysis_archive_20260725/paired_pmf/LiA3-Ref/NaCl/histo_full.xvg</x:v>
      </x:c>
      <x:c r="C50" s="32" t="n">
        <x:v>81543</x:v>
      </x:c>
      <x:c r="D50" s="33" t="str">
        <x:v>95c7749df088003707391f9cb628f77dfe16e2f538836781e050f1b0eb9739ab</x:v>
      </x:c>
      <x:c r="E50" s="34" t="str">
        <x:v>pmf_evidence</x:v>
      </x:c>
    </x:row>
    <x:row r="51" ht="34" customHeight="1">
      <x:c r="A51" s="30" t="str">
        <x:v>01_computational_discovery/data/raw/pmf/LiA3-Ref/NaCl/iact_full.xvg</x:v>
      </x:c>
      <x:c r="B51" s="31" t="str">
        <x:v>01_computational_discovery/umbrella/analysis_archive_20260725/paired_pmf/LiA3-Ref/NaCl/iact_full.xvg</x:v>
      </x:c>
      <x:c r="C51" s="32" t="n">
        <x:v>2028</x:v>
      </x:c>
      <x:c r="D51" s="33" t="str">
        <x:v>0cfa410beb2985f7469daca469b630a90335fba92a6ff191238a03bd914fec23</x:v>
      </x:c>
      <x:c r="E51" s="34" t="str">
        <x:v>pmf_evidence</x:v>
      </x:c>
    </x:row>
    <x:row r="52" ht="34" customHeight="1">
      <x:c r="A52" s="30" t="str">
        <x:v>01_computational_discovery/data/raw/pmf/LiA3-Ref/NaCl/profile_burnin_12p5.xvg</x:v>
      </x:c>
      <x:c r="B52" s="31" t="str">
        <x:v>01_computational_discovery/umbrella/analysis_archive_20260725/paired_pmf/LiA3-Ref/NaCl/profile_burnin_12p5.xvg</x:v>
      </x:c>
      <x:c r="C52" s="32" t="n">
        <x:v>6052</x:v>
      </x:c>
      <x:c r="D52" s="33" t="str">
        <x:v>241b6ea4153add74000fe3b2330e005d2058d8f849c3ecf6da6f0998b9b32963</x:v>
      </x:c>
      <x:c r="E52" s="34" t="str">
        <x:v>pmf_evidence</x:v>
      </x:c>
    </x:row>
    <x:row r="53" ht="34" customHeight="1">
      <x:c r="A53" s="30" t="str">
        <x:v>01_computational_discovery/data/raw/pmf/LiA3-Ref/NaCl/profile_burnin_25.xvg</x:v>
      </x:c>
      <x:c r="B53" s="31" t="str">
        <x:v>01_computational_discovery/umbrella/analysis_archive_20260725/paired_pmf/LiA3-Ref/NaCl/profile_burnin_25.xvg</x:v>
      </x:c>
      <x:c r="C53" s="32" t="n">
        <x:v>6045</x:v>
      </x:c>
      <x:c r="D53" s="33" t="str">
        <x:v>25ec29e8b7e5897a2ac82b3f5dff579134eff0c17655cfcb3eb049d85d5ca7cd</x:v>
      </x:c>
      <x:c r="E53" s="34" t="str">
        <x:v>pmf_evidence</x:v>
      </x:c>
    </x:row>
    <x:row r="54" ht="34" customHeight="1">
      <x:c r="A54" s="30" t="str">
        <x:v>01_computational_discovery/data/raw/pmf/LiA3-Ref/NaCl/profile_full.xvg</x:v>
      </x:c>
      <x:c r="B54" s="31" t="str">
        <x:v>01_computational_discovery/umbrella/analysis_archive_20260725/paired_pmf/LiA3-Ref/NaCl/profile_full.xvg</x:v>
      </x:c>
      <x:c r="C54" s="32" t="n">
        <x:v>6152</x:v>
      </x:c>
      <x:c r="D54" s="33" t="str">
        <x:v>a68aaa6bea1c0324a71511586cb6ab061725d41148c451ce8bf365b18f931ab9</x:v>
      </x:c>
      <x:c r="E54" s="34" t="str">
        <x:v>pmf_evidence</x:v>
      </x:c>
    </x:row>
    <x:row r="55" ht="34" customHeight="1">
      <x:c r="A55" s="30" t="str">
        <x:v>01_computational_discovery/data/raw/pmf/LiA3-Ref/NaCl/profile_half_early.xvg</x:v>
      </x:c>
      <x:c r="B55" s="31" t="str">
        <x:v>01_computational_discovery/umbrella/analysis_archive_20260725/paired_pmf/LiA3-Ref/NaCl/profile_half_early.xvg</x:v>
      </x:c>
      <x:c r="C55" s="32" t="n">
        <x:v>6046</x:v>
      </x:c>
      <x:c r="D55" s="33" t="str">
        <x:v>3360263314a6005325067bab8578955ecd3fa71edc93688fc070887d878182ff</x:v>
      </x:c>
      <x:c r="E55" s="34" t="str">
        <x:v>pmf_evidence</x:v>
      </x:c>
    </x:row>
    <x:row r="56" ht="34" customHeight="1">
      <x:c r="A56" s="30" t="str">
        <x:v>01_computational_discovery/data/raw/pmf/LiA3-Ref/NaCl/profile_half_late.xvg</x:v>
      </x:c>
      <x:c r="B56" s="31" t="str">
        <x:v>01_computational_discovery/umbrella/analysis_archive_20260725/paired_pmf/LiA3-Ref/NaCl/profile_half_late.xvg</x:v>
      </x:c>
      <x:c r="C56" s="32" t="n">
        <x:v>6059</x:v>
      </x:c>
      <x:c r="D56" s="33" t="str">
        <x:v>2f8cc62a526cd36b2a4e5cb9d12e18174e326fe2df33cf59ad07e3f72ca99b17</x:v>
      </x:c>
      <x:c r="E56" s="34" t="str">
        <x:v>pmf_evidence</x:v>
      </x:c>
    </x:row>
    <x:row r="57" ht="34" customHeight="1">
      <x:c r="A57" s="30" t="str">
        <x:v>01_computational_discovery/data/raw/pmf/LiA3-Ref/NaCl/pullf-files.dat</x:v>
      </x:c>
      <x:c r="B57" s="31" t="str">
        <x:v>01_computational_discovery/umbrella/analysis_archive_20260725/paired_pmf/LiA3-Ref/NaCl/pullf-files.dat</x:v>
      </x:c>
      <x:c r="C57" s="32" t="n">
        <x:v>3900</x:v>
      </x:c>
      <x:c r="D57" s="33" t="str">
        <x:v>14c40773697be197fb9db88057e6f8e614bd5de9bb66a228396cec5bfc5f727f</x:v>
      </x:c>
      <x:c r="E57" s="34" t="str">
        <x:v>pmf_evidence</x:v>
      </x:c>
    </x:row>
    <x:row r="58" ht="34" customHeight="1">
      <x:c r="A58" s="30" t="str">
        <x:v>01_computational_discovery/data/raw/pmf/LiA3-Ref/NaCl/tpr-files.dat</x:v>
      </x:c>
      <x:c r="B58" s="31" t="str">
        <x:v>01_computational_discovery/umbrella/analysis_archive_20260725/paired_pmf/LiA3-Ref/NaCl/tpr-files.dat</x:v>
      </x:c>
      <x:c r="C58" s="32" t="n">
        <x:v>3720</x:v>
      </x:c>
      <x:c r="D58" s="33" t="str">
        <x:v>668d218b5e2315a7cfc5da03baaadabaad74b4422dc4f3fb7dc48a4e87e392f7</x:v>
      </x:c>
      <x:c r="E58" s="34" t="str">
        <x:v>pmf_evidence</x:v>
      </x:c>
    </x:row>
    <x:row r="59" ht="34" customHeight="1">
      <x:c r="A59" s="30" t="str">
        <x:v>01_computational_discovery/data/raw/pmf/LiA3-Ref/NaCl/wham_full.log</x:v>
      </x:c>
      <x:c r="B59" s="31" t="str">
        <x:v>01_computational_discovery/umbrella/analysis_archive_20260725/paired_pmf/LiA3-Ref/NaCl/wham_full.log</x:v>
      </x:c>
      <x:c r="C59" s="32" t="n">
        <x:v>6568861</x:v>
      </x:c>
      <x:c r="D59" s="33" t="str">
        <x:v>5b8939d814155284a3363fff5ca65d7bae6b3caa5a3b8f69048bee0395f86ae0</x:v>
      </x:c>
      <x:c r="E59" s="34" t="str">
        <x:v>wham_log</x:v>
      </x:c>
    </x:row>
    <x:row r="60" ht="34" customHeight="1">
      <x:c r="A60" s="30" t="str">
        <x:v>01_computational_discovery/data/raw/pmf/LiA3-Ref/paired_qc.tsv</x:v>
      </x:c>
      <x:c r="B60" s="31" t="str">
        <x:v>01_computational_discovery/umbrella/analysis_archive_20260725/paired_pmf/LiA3-Ref/LiA3-Ref_paired_qc.tsv</x:v>
      </x:c>
      <x:c r="C60" s="32" t="n">
        <x:v>892</x:v>
      </x:c>
      <x:c r="D60" s="33" t="str">
        <x:v>16a3002e62e09092108427f1853f29ac444fcf3b5751e74dc906038f97725bd2</x:v>
      </x:c>
      <x:c r="E60" s="34" t="str">
        <x:v>paired_qc</x:v>
      </x:c>
    </x:row>
    <x:row r="61" ht="34" customHeight="1">
      <x:c r="A61" s="30" t="str">
        <x:v>01_computational_discovery/data/raw/pmf/LiA3-Ref/paired_regions.tsv</x:v>
      </x:c>
      <x:c r="B61" s="31" t="str">
        <x:v>01_computational_discovery/umbrella/analysis_archive_20260725/paired_pmf/LiA3-Ref/paired_regions.tsv</x:v>
      </x:c>
      <x:c r="C61" s="32" t="n">
        <x:v>222</x:v>
      </x:c>
      <x:c r="D61" s="33" t="str">
        <x:v>72dd30febf09b7b36d1f94202376681520df8df95de035bab7a80310e6644ae7</x:v>
      </x:c>
      <x:c r="E61" s="34" t="str">
        <x:v>paired_regions</x:v>
      </x:c>
    </x:row>
    <x:row r="62" ht="34" customHeight="1">
      <x:c r="A62" s="30" t="str">
        <x:v>01_computational_discovery/data/raw/pmf/LiD3-Core/LiCl/analysis_times.tsv</x:v>
      </x:c>
      <x:c r="B62" s="31" t="str">
        <x:v>01_computational_discovery/umbrella/analysis_archive_20260725/paired_pmf/LiD3-Core/LiCl/analysis_times.tsv</x:v>
      </x:c>
      <x:c r="C62" s="32" t="n">
        <x:v>154</x:v>
      </x:c>
      <x:c r="D62" s="33" t="str">
        <x:v>99bb2eba7f9ea4e0ec1d94935a67cbd218812023006103fc0db9e39b93567f07</x:v>
      </x:c>
      <x:c r="E62" s="34" t="str">
        <x:v>pmf_evidence</x:v>
      </x:c>
    </x:row>
    <x:row r="63" ht="34" customHeight="1">
      <x:c r="A63" s="30" t="str">
        <x:v>01_computational_discovery/data/raw/pmf/LiD3-Core/LiCl/bootstrap_std.xvg</x:v>
      </x:c>
      <x:c r="B63" s="31" t="str">
        <x:v>01_computational_discovery/umbrella/analysis_archive_20260725/paired_pmf/LiD3-Core/LiCl/bootstrap_std.xvg</x:v>
      </x:c>
      <x:c r="C63" s="32" t="n">
        <x:v>8717</x:v>
      </x:c>
      <x:c r="D63" s="33" t="str">
        <x:v>b0ffbe36ad8d005d167f45341e7d69b581c0eb649bf7af22c6a090017bcd52d7</x:v>
      </x:c>
      <x:c r="E63" s="34" t="str">
        <x:v>pmf_evidence</x:v>
      </x:c>
    </x:row>
    <x:row r="64" ht="34" customHeight="1">
      <x:c r="A64" s="30" t="str">
        <x:v>01_computational_discovery/data/raw/pmf/LiD3-Core/LiCl/histo_full.xvg</x:v>
      </x:c>
      <x:c r="B64" s="31" t="str">
        <x:v>01_computational_discovery/umbrella/analysis_archive_20260725/paired_pmf/LiD3-Core/LiCl/histo_full.xvg</x:v>
      </x:c>
      <x:c r="C64" s="32" t="n">
        <x:v>81539</x:v>
      </x:c>
      <x:c r="D64" s="33" t="str">
        <x:v>a5fa565362e6be4f08d3b08acfec3589c75511a0302b8c4903bbd41ec084d20b</x:v>
      </x:c>
      <x:c r="E64" s="34" t="str">
        <x:v>pmf_evidence</x:v>
      </x:c>
    </x:row>
    <x:row r="65" ht="34" customHeight="1">
      <x:c r="A65" s="30" t="str">
        <x:v>01_computational_discovery/data/raw/pmf/LiD3-Core/LiCl/iact_full.xvg</x:v>
      </x:c>
      <x:c r="B65" s="31" t="str">
        <x:v>01_computational_discovery/umbrella/analysis_archive_20260725/paired_pmf/LiD3-Core/LiCl/iact_full.xvg</x:v>
      </x:c>
      <x:c r="C65" s="32" t="n">
        <x:v>2024</x:v>
      </x:c>
      <x:c r="D65" s="33" t="str">
        <x:v>7aa11ea42f44dac368cda3e01cac8f7bb6375085664bbff12fff4b2c8d88bb01</x:v>
      </x:c>
      <x:c r="E65" s="34" t="str">
        <x:v>pmf_evidence</x:v>
      </x:c>
    </x:row>
    <x:row r="66" ht="34" customHeight="1">
      <x:c r="A66" s="30" t="str">
        <x:v>01_computational_discovery/data/raw/pmf/LiD3-Core/LiCl/profile_burnin_12p5.xvg</x:v>
      </x:c>
      <x:c r="B66" s="31" t="str">
        <x:v>01_computational_discovery/umbrella/analysis_archive_20260725/paired_pmf/LiD3-Core/LiCl/profile_burnin_12p5.xvg</x:v>
      </x:c>
      <x:c r="C66" s="32" t="n">
        <x:v>6050</x:v>
      </x:c>
      <x:c r="D66" s="33" t="str">
        <x:v>2cdf80e8ed6c71ab271d03663955c3dd4d4a0f3a66012f40040016202ccefa19</x:v>
      </x:c>
      <x:c r="E66" s="34" t="str">
        <x:v>pmf_evidence</x:v>
      </x:c>
    </x:row>
    <x:row r="67" ht="34" customHeight="1">
      <x:c r="A67" s="30" t="str">
        <x:v>01_computational_discovery/data/raw/pmf/LiD3-Core/LiCl/profile_burnin_25.xvg</x:v>
      </x:c>
      <x:c r="B67" s="31" t="str">
        <x:v>01_computational_discovery/umbrella/analysis_archive_20260725/paired_pmf/LiD3-Core/LiCl/profile_burnin_25.xvg</x:v>
      </x:c>
      <x:c r="C67" s="32" t="n">
        <x:v>6044</x:v>
      </x:c>
      <x:c r="D67" s="33" t="str">
        <x:v>77a0504d7b9bf2f6cf3c7a0613f9f446d1a2e11a9ce4c128ff68009cfa3d83d3</x:v>
      </x:c>
      <x:c r="E67" s="34" t="str">
        <x:v>pmf_evidence</x:v>
      </x:c>
    </x:row>
    <x:row r="68" ht="34" customHeight="1">
      <x:c r="A68" s="30" t="str">
        <x:v>01_computational_discovery/data/raw/pmf/LiD3-Core/LiCl/profile_full.xvg</x:v>
      </x:c>
      <x:c r="B68" s="31" t="str">
        <x:v>01_computational_discovery/umbrella/analysis_archive_20260725/paired_pmf/LiD3-Core/LiCl/profile_full.xvg</x:v>
      </x:c>
      <x:c r="C68" s="32" t="n">
        <x:v>6148</x:v>
      </x:c>
      <x:c r="D68" s="33" t="str">
        <x:v>7605cc07a783f54ca413687388c8c67ff56c5a3b8404bfb799247d3a18629925</x:v>
      </x:c>
      <x:c r="E68" s="34" t="str">
        <x:v>pmf_evidence</x:v>
      </x:c>
    </x:row>
    <x:row r="69" ht="34" customHeight="1">
      <x:c r="A69" s="30" t="str">
        <x:v>01_computational_discovery/data/raw/pmf/LiD3-Core/LiCl/profile_half_early.xvg</x:v>
      </x:c>
      <x:c r="B69" s="31" t="str">
        <x:v>01_computational_discovery/umbrella/analysis_archive_20260725/paired_pmf/LiD3-Core/LiCl/profile_half_early.xvg</x:v>
      </x:c>
      <x:c r="C69" s="32" t="n">
        <x:v>6058</x:v>
      </x:c>
      <x:c r="D69" s="33" t="str">
        <x:v>09684dc23e86df92d84ef681a58342da6f3bf336b3a1f151bd92d9afbb88a73f</x:v>
      </x:c>
      <x:c r="E69" s="34" t="str">
        <x:v>pmf_evidence</x:v>
      </x:c>
    </x:row>
    <x:row r="70" ht="34" customHeight="1">
      <x:c r="A70" s="30" t="str">
        <x:v>01_computational_discovery/data/raw/pmf/LiD3-Core/LiCl/profile_half_late.xvg</x:v>
      </x:c>
      <x:c r="B70" s="31" t="str">
        <x:v>01_computational_discovery/umbrella/analysis_archive_20260725/paired_pmf/LiD3-Core/LiCl/profile_half_late.xvg</x:v>
      </x:c>
      <x:c r="C70" s="32" t="n">
        <x:v>6057</x:v>
      </x:c>
      <x:c r="D70" s="33" t="str">
        <x:v>12766cefd483e6cd998b12db31bb89bdffa25983f977920030a24fd5b39ac4af</x:v>
      </x:c>
      <x:c r="E70" s="34" t="str">
        <x:v>pmf_evidence</x:v>
      </x:c>
    </x:row>
    <x:row r="71" ht="34" customHeight="1">
      <x:c r="A71" s="30" t="str">
        <x:v>01_computational_discovery/data/raw/pmf/LiD3-Core/LiCl/pullf-files.dat</x:v>
      </x:c>
      <x:c r="B71" s="31" t="str">
        <x:v>01_computational_discovery/umbrella/analysis_archive_20260725/paired_pmf/LiD3-Core/LiCl/pullf-files.dat</x:v>
      </x:c>
      <x:c r="C71" s="32" t="n">
        <x:v>3570</x:v>
      </x:c>
      <x:c r="D71" s="33" t="str">
        <x:v>1328c1dbc4c86cfc732eff26acc765dea6a90ae93c36b6f656905323f8fbbe80</x:v>
      </x:c>
      <x:c r="E71" s="34" t="str">
        <x:v>pmf_evidence</x:v>
      </x:c>
    </x:row>
    <x:row r="72" ht="34" customHeight="1">
      <x:c r="A72" s="30" t="str">
        <x:v>01_computational_discovery/data/raw/pmf/LiD3-Core/LiCl/tpr-files.dat</x:v>
      </x:c>
      <x:c r="B72" s="31" t="str">
        <x:v>01_computational_discovery/umbrella/analysis_archive_20260725/paired_pmf/LiD3-Core/LiCl/tpr-files.dat</x:v>
      </x:c>
      <x:c r="C72" s="32" t="n">
        <x:v>3390</x:v>
      </x:c>
      <x:c r="D72" s="33" t="str">
        <x:v>78afab5fdd906256dab72daabb282f59efb754be15cbff2c39489e307d04ebee</x:v>
      </x:c>
      <x:c r="E72" s="34" t="str">
        <x:v>pmf_evidence</x:v>
      </x:c>
    </x:row>
    <x:row r="73" ht="34" customHeight="1">
      <x:c r="A73" s="30" t="str">
        <x:v>01_computational_discovery/data/raw/pmf/LiD3-Core/LiCl/wham_full.log</x:v>
      </x:c>
      <x:c r="B73" s="31" t="str">
        <x:v>01_computational_discovery/umbrella/analysis_archive_20260725/paired_pmf/LiD3-Core/LiCl/wham_full.log</x:v>
      </x:c>
      <x:c r="C73" s="32" t="n">
        <x:v>8074232</x:v>
      </x:c>
      <x:c r="D73" s="33" t="str">
        <x:v>d149185f9185ac1f4650eb95a792aeae3ee964bdfe76bf4493094cf34f3b79c5</x:v>
      </x:c>
      <x:c r="E73" s="34" t="str">
        <x:v>wham_log</x:v>
      </x:c>
    </x:row>
    <x:row r="74" ht="34" customHeight="1">
      <x:c r="A74" s="30" t="str">
        <x:v>01_computational_discovery/data/raw/pmf/LiD3-Core/NaCl/analysis_times.tsv</x:v>
      </x:c>
      <x:c r="B74" s="31" t="str">
        <x:v>01_computational_discovery/umbrella/analysis_archive_20260725/paired_pmf/LiD3-Core/NaCl/analysis_times.tsv</x:v>
      </x:c>
      <x:c r="C74" s="32" t="n">
        <x:v>154</x:v>
      </x:c>
      <x:c r="D74" s="33" t="str">
        <x:v>99bb2eba7f9ea4e0ec1d94935a67cbd218812023006103fc0db9e39b93567f07</x:v>
      </x:c>
      <x:c r="E74" s="34" t="str">
        <x:v>pmf_evidence</x:v>
      </x:c>
    </x:row>
    <x:row r="75" ht="34" customHeight="1">
      <x:c r="A75" s="30" t="str">
        <x:v>01_computational_discovery/data/raw/pmf/LiD3-Core/NaCl/bootstrap_std.xvg</x:v>
      </x:c>
      <x:c r="B75" s="31" t="str">
        <x:v>01_computational_discovery/umbrella/analysis_archive_20260725/paired_pmf/LiD3-Core/NaCl/bootstrap_std.xvg</x:v>
      </x:c>
      <x:c r="C75" s="32" t="n">
        <x:v>8781</x:v>
      </x:c>
      <x:c r="D75" s="33" t="str">
        <x:v>59c003772fb2c274af40bf6ae0b00a9c58a23fa32f121d89b8e5885b8874d6ef</x:v>
      </x:c>
      <x:c r="E75" s="34" t="str">
        <x:v>pmf_evidence</x:v>
      </x:c>
    </x:row>
    <x:row r="76" ht="34" customHeight="1">
      <x:c r="A76" s="30" t="str">
        <x:v>01_computational_discovery/data/raw/pmf/LiD3-Core/NaCl/histo_full.xvg</x:v>
      </x:c>
      <x:c r="B76" s="31" t="str">
        <x:v>01_computational_discovery/umbrella/analysis_archive_20260725/paired_pmf/LiD3-Core/NaCl/histo_full.xvg</x:v>
      </x:c>
      <x:c r="C76" s="32" t="n">
        <x:v>81532</x:v>
      </x:c>
      <x:c r="D76" s="33" t="str">
        <x:v>bba8620c7c1198430494af25548627729e2a989eb14e259f48f95e233351a392</x:v>
      </x:c>
      <x:c r="E76" s="34" t="str">
        <x:v>pmf_evidence</x:v>
      </x:c>
    </x:row>
    <x:row r="77" ht="34" customHeight="1">
      <x:c r="A77" s="30" t="str">
        <x:v>01_computational_discovery/data/raw/pmf/LiD3-Core/NaCl/iact_full.xvg</x:v>
      </x:c>
      <x:c r="B77" s="31" t="str">
        <x:v>01_computational_discovery/umbrella/analysis_archive_20260725/paired_pmf/LiD3-Core/NaCl/iact_full.xvg</x:v>
      </x:c>
      <x:c r="C77" s="32" t="n">
        <x:v>2017</x:v>
      </x:c>
      <x:c r="D77" s="33" t="str">
        <x:v>ec0aff49e12bfd6f374d7efdc57469fa373a966319e7f19eefd382712de34df1</x:v>
      </x:c>
      <x:c r="E77" s="34" t="str">
        <x:v>pmf_evidence</x:v>
      </x:c>
    </x:row>
    <x:row r="78" ht="34" customHeight="1">
      <x:c r="A78" s="30" t="str">
        <x:v>01_computational_discovery/data/raw/pmf/LiD3-Core/NaCl/profile_burnin_12p5.xvg</x:v>
      </x:c>
      <x:c r="B78" s="31" t="str">
        <x:v>01_computational_discovery/umbrella/analysis_archive_20260725/paired_pmf/LiD3-Core/NaCl/profile_burnin_12p5.xvg</x:v>
      </x:c>
      <x:c r="C78" s="32" t="n">
        <x:v>6060</x:v>
      </x:c>
      <x:c r="D78" s="33" t="str">
        <x:v>4c55218d5d65cd7a78cd2111014636dfd2d056cc98833ee504f32e7f556b967a</x:v>
      </x:c>
      <x:c r="E78" s="34" t="str">
        <x:v>pmf_evidence</x:v>
      </x:c>
    </x:row>
    <x:row r="79" ht="34" customHeight="1">
      <x:c r="A79" s="30" t="str">
        <x:v>01_computational_discovery/data/raw/pmf/LiD3-Core/NaCl/profile_burnin_25.xvg</x:v>
      </x:c>
      <x:c r="B79" s="31" t="str">
        <x:v>01_computational_discovery/umbrella/analysis_archive_20260725/paired_pmf/LiD3-Core/NaCl/profile_burnin_25.xvg</x:v>
      </x:c>
      <x:c r="C79" s="32" t="n">
        <x:v>6054</x:v>
      </x:c>
      <x:c r="D79" s="33" t="str">
        <x:v>0a4a522c4407a53ecd85a0f37f0dce6c232d029f4d2d10ad9901bdcf7e8413df</x:v>
      </x:c>
      <x:c r="E79" s="34" t="str">
        <x:v>pmf_evidence</x:v>
      </x:c>
    </x:row>
    <x:row r="80" ht="34" customHeight="1">
      <x:c r="A80" s="30" t="str">
        <x:v>01_computational_discovery/data/raw/pmf/LiD3-Core/NaCl/profile_full.xvg</x:v>
      </x:c>
      <x:c r="B80" s="31" t="str">
        <x:v>01_computational_discovery/umbrella/analysis_archive_20260725/paired_pmf/LiD3-Core/NaCl/profile_full.xvg</x:v>
      </x:c>
      <x:c r="C80" s="32" t="n">
        <x:v>6141</x:v>
      </x:c>
      <x:c r="D80" s="33" t="str">
        <x:v>aa68165126010db405cea9a3978d96804c04f27de8d6d37e2346207198c04b8b</x:v>
      </x:c>
      <x:c r="E80" s="34" t="str">
        <x:v>pmf_evidence</x:v>
      </x:c>
    </x:row>
    <x:row r="81" ht="34" customHeight="1">
      <x:c r="A81" s="30" t="str">
        <x:v>01_computational_discovery/data/raw/pmf/LiD3-Core/NaCl/profile_half_early.xvg</x:v>
      </x:c>
      <x:c r="B81" s="31" t="str">
        <x:v>01_computational_discovery/umbrella/analysis_archive_20260725/paired_pmf/LiD3-Core/NaCl/profile_half_early.xvg</x:v>
      </x:c>
      <x:c r="C81" s="32" t="n">
        <x:v>6045</x:v>
      </x:c>
      <x:c r="D81" s="33" t="str">
        <x:v>36af9841072091cdf390e18d58178f188ceea21fb07d28aeb45ed7a53ebe01db</x:v>
      </x:c>
      <x:c r="E81" s="34" t="str">
        <x:v>pmf_evidence</x:v>
      </x:c>
    </x:row>
    <x:row r="82" ht="34" customHeight="1">
      <x:c r="A82" s="30" t="str">
        <x:v>01_computational_discovery/data/raw/pmf/LiD3-Core/NaCl/profile_half_late.xvg</x:v>
      </x:c>
      <x:c r="B82" s="31" t="str">
        <x:v>01_computational_discovery/umbrella/analysis_archive_20260725/paired_pmf/LiD3-Core/NaCl/profile_half_late.xvg</x:v>
      </x:c>
      <x:c r="C82" s="32" t="n">
        <x:v>6015</x:v>
      </x:c>
      <x:c r="D82" s="33" t="str">
        <x:v>bdcc2507ec9ed2596589877ec3e4ca9ad35e765fc0bd7586fc4db49741640afa</x:v>
      </x:c>
      <x:c r="E82" s="34" t="str">
        <x:v>pmf_evidence</x:v>
      </x:c>
    </x:row>
    <x:row r="83" ht="34" customHeight="1">
      <x:c r="A83" s="30" t="str">
        <x:v>01_computational_discovery/data/raw/pmf/LiD3-Core/NaCl/pullf-files.dat</x:v>
      </x:c>
      <x:c r="B83" s="31" t="str">
        <x:v>01_computational_discovery/umbrella/analysis_archive_20260725/paired_pmf/LiD3-Core/NaCl/pullf-files.dat</x:v>
      </x:c>
      <x:c r="C83" s="32" t="n">
        <x:v>3930</x:v>
      </x:c>
      <x:c r="D83" s="33" t="str">
        <x:v>5448a187c3022530020e4a69c190d0b6ad6cc0699f0011d58b297eb7eff664a5</x:v>
      </x:c>
      <x:c r="E83" s="34" t="str">
        <x:v>pmf_evidence</x:v>
      </x:c>
    </x:row>
    <x:row r="84" ht="34" customHeight="1">
      <x:c r="A84" s="30" t="str">
        <x:v>01_computational_discovery/data/raw/pmf/LiD3-Core/NaCl/tpr-files.dat</x:v>
      </x:c>
      <x:c r="B84" s="31" t="str">
        <x:v>01_computational_discovery/umbrella/analysis_archive_20260725/paired_pmf/LiD3-Core/NaCl/tpr-files.dat</x:v>
      </x:c>
      <x:c r="C84" s="32" t="n">
        <x:v>3750</x:v>
      </x:c>
      <x:c r="D84" s="33" t="str">
        <x:v>2f63e06a02d4307b3cd539179be7ae18ca0f7e0318386c5c087dcfb3be0df20b</x:v>
      </x:c>
      <x:c r="E84" s="34" t="str">
        <x:v>pmf_evidence</x:v>
      </x:c>
    </x:row>
    <x:row r="85" ht="34" customHeight="1">
      <x:c r="A85" s="30" t="str">
        <x:v>01_computational_discovery/data/raw/pmf/LiD3-Core/NaCl/wham_full.log</x:v>
      </x:c>
      <x:c r="B85" s="31" t="str">
        <x:v>01_computational_discovery/umbrella/analysis_archive_20260725/paired_pmf/LiD3-Core/NaCl/wham_full.log</x:v>
      </x:c>
      <x:c r="C85" s="32" t="n">
        <x:v>6880705</x:v>
      </x:c>
      <x:c r="D85" s="33" t="str">
        <x:v>98ba8a37f84f8ff824ac6d315972ea6e1b03d60ca090f8f304319d9e86ab289a</x:v>
      </x:c>
      <x:c r="E85" s="34" t="str">
        <x:v>wham_log</x:v>
      </x:c>
    </x:row>
    <x:row r="86" ht="34" customHeight="1">
      <x:c r="A86" s="30" t="str">
        <x:v>01_computational_discovery/data/raw/pmf/LiD3-Core/paired_qc.tsv</x:v>
      </x:c>
      <x:c r="B86" s="31" t="str">
        <x:v>01_computational_discovery/umbrella/analysis_archive_20260725/paired_pmf/LiD3-Core/LiD3-Core_paired_qc.tsv</x:v>
      </x:c>
      <x:c r="C86" s="32" t="n">
        <x:v>896</x:v>
      </x:c>
      <x:c r="D86" s="33" t="str">
        <x:v>0245aee4d5f6f9bd4b2e37762a63fd3fc24271b505456fb6148345e290dcf600</x:v>
      </x:c>
      <x:c r="E86" s="34" t="str">
        <x:v>paired_qc</x:v>
      </x:c>
    </x:row>
    <x:row r="87" ht="34" customHeight="1">
      <x:c r="A87" s="30" t="str">
        <x:v>01_computational_discovery/data/raw/pmf/LiD3-Core/paired_regions.tsv</x:v>
      </x:c>
      <x:c r="B87" s="31" t="str">
        <x:v>01_computational_discovery/umbrella/analysis_archive_20260725/paired_pmf/LiD3-Core/paired_regions.tsv</x:v>
      </x:c>
      <x:c r="C87" s="32" t="n">
        <x:v>214</x:v>
      </x:c>
      <x:c r="D87" s="33" t="str">
        <x:v>b2e773dd5636983cdd9642dac5d55693300fd0ae9d090953b6fe836444651ad0</x:v>
      </x:c>
      <x:c r="E87" s="34" t="str">
        <x:v>paired_regions</x:v>
      </x:c>
    </x:row>
    <x:row r="88" ht="34" customHeight="1">
      <x:c r="A88" s="30" t="str">
        <x:v>01_computational_discovery/data/raw/pmf/LiD3-Flex/LiCl/analysis_times.tsv</x:v>
      </x:c>
      <x:c r="B88" s="31" t="str">
        <x:v>01_computational_discovery/umbrella/analysis_archive_20260725/paired_pmf/LiD3-Flex/LiCl/analysis_times.tsv</x:v>
      </x:c>
      <x:c r="C88" s="32" t="n">
        <x:v>154</x:v>
      </x:c>
      <x:c r="D88" s="33" t="str">
        <x:v>99bb2eba7f9ea4e0ec1d94935a67cbd218812023006103fc0db9e39b93567f07</x:v>
      </x:c>
      <x:c r="E88" s="34" t="str">
        <x:v>pmf_evidence</x:v>
      </x:c>
    </x:row>
    <x:row r="89" ht="34" customHeight="1">
      <x:c r="A89" s="30" t="str">
        <x:v>01_computational_discovery/data/raw/pmf/LiD3-Flex/LiCl/bootstrap_std.xvg</x:v>
      </x:c>
      <x:c r="B89" s="31" t="str">
        <x:v>01_computational_discovery/umbrella/analysis_archive_20260725/paired_pmf/LiD3-Flex/LiCl/bootstrap_std.xvg</x:v>
      </x:c>
      <x:c r="C89" s="32" t="n">
        <x:v>8766</x:v>
      </x:c>
      <x:c r="D89" s="33" t="str">
        <x:v>81879d273378758df110c9eb865938880949991d35264e22dedd284b220ea643</x:v>
      </x:c>
      <x:c r="E89" s="34" t="str">
        <x:v>pmf_evidence</x:v>
      </x:c>
    </x:row>
    <x:row r="90" ht="34" customHeight="1">
      <x:c r="A90" s="30" t="str">
        <x:v>01_computational_discovery/data/raw/pmf/LiD3-Flex/LiCl/histo_full.xvg</x:v>
      </x:c>
      <x:c r="B90" s="31" t="str">
        <x:v>01_computational_discovery/umbrella/analysis_archive_20260725/paired_pmf/LiD3-Flex/LiCl/histo_full.xvg</x:v>
      </x:c>
      <x:c r="C90" s="32" t="n">
        <x:v>81538</x:v>
      </x:c>
      <x:c r="D90" s="33" t="str">
        <x:v>a3aeb7e9754c2c57e0fb5468b46f1639767aded535effc2138eb23a613a8e8e7</x:v>
      </x:c>
      <x:c r="E90" s="34" t="str">
        <x:v>pmf_evidence</x:v>
      </x:c>
    </x:row>
    <x:row r="91" ht="34" customHeight="1">
      <x:c r="A91" s="30" t="str">
        <x:v>01_computational_discovery/data/raw/pmf/LiD3-Flex/LiCl/iact_full.xvg</x:v>
      </x:c>
      <x:c r="B91" s="31" t="str">
        <x:v>01_computational_discovery/umbrella/analysis_archive_20260725/paired_pmf/LiD3-Flex/LiCl/iact_full.xvg</x:v>
      </x:c>
      <x:c r="C91" s="32" t="n">
        <x:v>2023</x:v>
      </x:c>
      <x:c r="D91" s="33" t="str">
        <x:v>2a4b0e714704e45be38e8a27505c5150a191424fa502514524547ecedb5084f7</x:v>
      </x:c>
      <x:c r="E91" s="34" t="str">
        <x:v>pmf_evidence</x:v>
      </x:c>
    </x:row>
    <x:row r="92" ht="34" customHeight="1">
      <x:c r="A92" s="30" t="str">
        <x:v>01_computational_discovery/data/raw/pmf/LiD3-Flex/LiCl/profile_burnin_12p5.xvg</x:v>
      </x:c>
      <x:c r="B92" s="31" t="str">
        <x:v>01_computational_discovery/umbrella/analysis_archive_20260725/paired_pmf/LiD3-Flex/LiCl/profile_burnin_12p5.xvg</x:v>
      </x:c>
      <x:c r="C92" s="32" t="n">
        <x:v>6052</x:v>
      </x:c>
      <x:c r="D92" s="33" t="str">
        <x:v>e5fd28086ebf2cb220b97f9ac9411eacc199aa1784ac7a6602378c0805f173cc</x:v>
      </x:c>
      <x:c r="E92" s="34" t="str">
        <x:v>pmf_evidence</x:v>
      </x:c>
    </x:row>
    <x:row r="93" ht="34" customHeight="1">
      <x:c r="A93" s="30" t="str">
        <x:v>01_computational_discovery/data/raw/pmf/LiD3-Flex/LiCl/profile_burnin_25.xvg</x:v>
      </x:c>
      <x:c r="B93" s="31" t="str">
        <x:v>01_computational_discovery/umbrella/analysis_archive_20260725/paired_pmf/LiD3-Flex/LiCl/profile_burnin_25.xvg</x:v>
      </x:c>
      <x:c r="C93" s="32" t="n">
        <x:v>6046</x:v>
      </x:c>
      <x:c r="D93" s="33" t="str">
        <x:v>361c48fcaac08e3df544add1c663178d2ca6911324c61aeea3be6427995588d0</x:v>
      </x:c>
      <x:c r="E93" s="34" t="str">
        <x:v>pmf_evidence</x:v>
      </x:c>
    </x:row>
    <x:row r="94" ht="34" customHeight="1">
      <x:c r="A94" s="30" t="str">
        <x:v>01_computational_discovery/data/raw/pmf/LiD3-Flex/LiCl/profile_full.xvg</x:v>
      </x:c>
      <x:c r="B94" s="31" t="str">
        <x:v>01_computational_discovery/umbrella/analysis_archive_20260725/paired_pmf/LiD3-Flex/LiCl/profile_full.xvg</x:v>
      </x:c>
      <x:c r="C94" s="32" t="n">
        <x:v>6147</x:v>
      </x:c>
      <x:c r="D94" s="33" t="str">
        <x:v>5abe7f89240f2c2bb79bda54a2759fc11ade61a836000d050fe2d8683f1d13d5</x:v>
      </x:c>
      <x:c r="E94" s="34" t="str">
        <x:v>pmf_evidence</x:v>
      </x:c>
    </x:row>
    <x:row r="95" ht="34" customHeight="1">
      <x:c r="A95" s="30" t="str">
        <x:v>01_computational_discovery/data/raw/pmf/LiD3-Flex/LiCl/profile_half_early.xvg</x:v>
      </x:c>
      <x:c r="B95" s="31" t="str">
        <x:v>01_computational_discovery/umbrella/analysis_archive_20260725/paired_pmf/LiD3-Flex/LiCl/profile_half_early.xvg</x:v>
      </x:c>
      <x:c r="C95" s="32" t="n">
        <x:v>6030</x:v>
      </x:c>
      <x:c r="D95" s="33" t="str">
        <x:v>9860b218c60a6d9a0d06824709456da5d458daf3c587ab92289a762218171ea8</x:v>
      </x:c>
      <x:c r="E95" s="34" t="str">
        <x:v>pmf_evidence</x:v>
      </x:c>
    </x:row>
    <x:row r="96" ht="34" customHeight="1">
      <x:c r="A96" s="30" t="str">
        <x:v>01_computational_discovery/data/raw/pmf/LiD3-Flex/LiCl/profile_half_late.xvg</x:v>
      </x:c>
      <x:c r="B96" s="31" t="str">
        <x:v>01_computational_discovery/umbrella/analysis_archive_20260725/paired_pmf/LiD3-Flex/LiCl/profile_half_late.xvg</x:v>
      </x:c>
      <x:c r="C96" s="32" t="n">
        <x:v>6030</x:v>
      </x:c>
      <x:c r="D96" s="33" t="str">
        <x:v>125cf2b579eecbfc740ffeeca53bb87bf3b6dc7d1413dd904137d56d57274d77</x:v>
      </x:c>
      <x:c r="E96" s="34" t="str">
        <x:v>pmf_evidence</x:v>
      </x:c>
    </x:row>
    <x:row r="97" ht="34" customHeight="1">
      <x:c r="A97" s="30" t="str">
        <x:v>01_computational_discovery/data/raw/pmf/LiD3-Flex/LiCl/pullf-files.dat</x:v>
      </x:c>
      <x:c r="B97" s="31" t="str">
        <x:v>01_computational_discovery/umbrella/analysis_archive_20260725/paired_pmf/LiD3-Flex/LiCl/pullf-files.dat</x:v>
      </x:c>
      <x:c r="C97" s="32" t="n">
        <x:v>3570</x:v>
      </x:c>
      <x:c r="D97" s="33" t="str">
        <x:v>d9f1bd4dcc5042fe2f250739eb44dd99338e25d026b6dece3d1a5a88fb3690b1</x:v>
      </x:c>
      <x:c r="E97" s="34" t="str">
        <x:v>pmf_evidence</x:v>
      </x:c>
    </x:row>
    <x:row r="98" ht="34" customHeight="1">
      <x:c r="A98" s="30" t="str">
        <x:v>01_computational_discovery/data/raw/pmf/LiD3-Flex/LiCl/tpr-files.dat</x:v>
      </x:c>
      <x:c r="B98" s="31" t="str">
        <x:v>01_computational_discovery/umbrella/analysis_archive_20260725/paired_pmf/LiD3-Flex/LiCl/tpr-files.dat</x:v>
      </x:c>
      <x:c r="C98" s="32" t="n">
        <x:v>3390</x:v>
      </x:c>
      <x:c r="D98" s="33" t="str">
        <x:v>6498d64f8ce7a2f2445367110c79f0ac8fe606d78f40457a071192dd1804a3fd</x:v>
      </x:c>
      <x:c r="E98" s="34" t="str">
        <x:v>pmf_evidence</x:v>
      </x:c>
    </x:row>
    <x:row r="99" ht="34" customHeight="1">
      <x:c r="A99" s="30" t="str">
        <x:v>01_computational_discovery/data/raw/pmf/LiD3-Flex/LiCl/wham_full.log</x:v>
      </x:c>
      <x:c r="B99" s="31" t="str">
        <x:v>01_computational_discovery/umbrella/analysis_archive_20260725/paired_pmf/LiD3-Flex/LiCl/wham_full.log</x:v>
      </x:c>
      <x:c r="C99" s="32" t="n">
        <x:v>6508170</x:v>
      </x:c>
      <x:c r="D99" s="33" t="str">
        <x:v>7d7f53ae0d3faae79e791447e6df80514b02914f43593ee9379a76861dfdc5af</x:v>
      </x:c>
      <x:c r="E99" s="34" t="str">
        <x:v>wham_log</x:v>
      </x:c>
    </x:row>
    <x:row r="100" ht="34" customHeight="1">
      <x:c r="A100" s="30" t="str">
        <x:v>01_computational_discovery/data/raw/pmf/LiD3-Flex/NaCl/analysis_times.tsv</x:v>
      </x:c>
      <x:c r="B100" s="31" t="str">
        <x:v>01_computational_discovery/umbrella/analysis_archive_20260725/paired_pmf/LiD3-Flex/NaCl/analysis_times.tsv</x:v>
      </x:c>
      <x:c r="C100" s="32" t="n">
        <x:v>154</x:v>
      </x:c>
      <x:c r="D100" s="33" t="str">
        <x:v>99bb2eba7f9ea4e0ec1d94935a67cbd218812023006103fc0db9e39b93567f07</x:v>
      </x:c>
      <x:c r="E100" s="34" t="str">
        <x:v>pmf_evidence</x:v>
      </x:c>
    </x:row>
    <x:row r="101" ht="34" customHeight="1">
      <x:c r="A101" s="30" t="str">
        <x:v>01_computational_discovery/data/raw/pmf/LiD3-Flex/NaCl/bootstrap_std.xvg</x:v>
      </x:c>
      <x:c r="B101" s="31" t="str">
        <x:v>01_computational_discovery/umbrella/analysis_archive_20260725/paired_pmf/LiD3-Flex/NaCl/bootstrap_std.xvg</x:v>
      </x:c>
      <x:c r="C101" s="32" t="n">
        <x:v>8761</x:v>
      </x:c>
      <x:c r="D101" s="33" t="str">
        <x:v>995a5aec4edba1726742385e500b3e55e88e445c43a051119fc7cb762981fe90</x:v>
      </x:c>
      <x:c r="E101" s="34" t="str">
        <x:v>pmf_evidence</x:v>
      </x:c>
    </x:row>
    <x:row r="102" ht="34" customHeight="1">
      <x:c r="A102" s="30" t="str">
        <x:v>01_computational_discovery/data/raw/pmf/LiD3-Flex/NaCl/histo_full.xvg</x:v>
      </x:c>
      <x:c r="B102" s="31" t="str">
        <x:v>01_computational_discovery/umbrella/analysis_archive_20260725/paired_pmf/LiD3-Flex/NaCl/histo_full.xvg</x:v>
      </x:c>
      <x:c r="C102" s="32" t="n">
        <x:v>81518</x:v>
      </x:c>
      <x:c r="D102" s="33" t="str">
        <x:v>d19c2193668ca9d23a81f9454fb3da2e18ce63dc7ae05b66f20ca119600fbe9f</x:v>
      </x:c>
      <x:c r="E102" s="34" t="str">
        <x:v>pmf_evidence</x:v>
      </x:c>
    </x:row>
    <x:row r="103" ht="34" customHeight="1">
      <x:c r="A103" s="30" t="str">
        <x:v>01_computational_discovery/data/raw/pmf/LiD3-Flex/NaCl/iact_full.xvg</x:v>
      </x:c>
      <x:c r="B103" s="31" t="str">
        <x:v>01_computational_discovery/umbrella/analysis_archive_20260725/paired_pmf/LiD3-Flex/NaCl/iact_full.xvg</x:v>
      </x:c>
      <x:c r="C103" s="32" t="n">
        <x:v>2003</x:v>
      </x:c>
      <x:c r="D103" s="33" t="str">
        <x:v>38d24589df6a3b692b34541e5f9a88cbc96876ac9f64fc3e7270657f3423e9d1</x:v>
      </x:c>
      <x:c r="E103" s="34" t="str">
        <x:v>pmf_evidence</x:v>
      </x:c>
    </x:row>
    <x:row r="104" ht="34" customHeight="1">
      <x:c r="A104" s="30" t="str">
        <x:v>01_computational_discovery/data/raw/pmf/LiD3-Flex/NaCl/profile_burnin_12p5.xvg</x:v>
      </x:c>
      <x:c r="B104" s="31" t="str">
        <x:v>01_computational_discovery/umbrella/analysis_archive_20260725/paired_pmf/LiD3-Flex/NaCl/profile_burnin_12p5.xvg</x:v>
      </x:c>
      <x:c r="C104" s="32" t="n">
        <x:v>6057</x:v>
      </x:c>
      <x:c r="D104" s="33" t="str">
        <x:v>662ffa650f91992ac7fbc51817bd86c06eebe5046b838bf215d05407f1276b62</x:v>
      </x:c>
      <x:c r="E104" s="34" t="str">
        <x:v>pmf_evidence</x:v>
      </x:c>
    </x:row>
    <x:row r="105" ht="34" customHeight="1">
      <x:c r="A105" s="30" t="str">
        <x:v>01_computational_discovery/data/raw/pmf/LiD3-Flex/NaCl/profile_burnin_25.xvg</x:v>
      </x:c>
      <x:c r="B105" s="31" t="str">
        <x:v>01_computational_discovery/umbrella/analysis_archive_20260725/paired_pmf/LiD3-Flex/NaCl/profile_burnin_25.xvg</x:v>
      </x:c>
      <x:c r="C105" s="32" t="n">
        <x:v>6053</x:v>
      </x:c>
      <x:c r="D105" s="33" t="str">
        <x:v>97206b2f62f9fa4d8d0246c09db9b3fd4509bdda00636d2769f6e9c9652d3b08</x:v>
      </x:c>
      <x:c r="E105" s="34" t="str">
        <x:v>pmf_evidence</x:v>
      </x:c>
    </x:row>
    <x:row r="106" ht="34" customHeight="1">
      <x:c r="A106" s="30" t="str">
        <x:v>01_computational_discovery/data/raw/pmf/LiD3-Flex/NaCl/profile_full.xvg</x:v>
      </x:c>
      <x:c r="B106" s="31" t="str">
        <x:v>01_computational_discovery/umbrella/analysis_archive_20260725/paired_pmf/LiD3-Flex/NaCl/profile_full.xvg</x:v>
      </x:c>
      <x:c r="C106" s="32" t="n">
        <x:v>6122</x:v>
      </x:c>
      <x:c r="D106" s="33" t="str">
        <x:v>634afa50da8047b7d0acfe632f0b29a33f9ef3d217cad80119a3b0b37f527b21</x:v>
      </x:c>
      <x:c r="E106" s="34" t="str">
        <x:v>pmf_evidence</x:v>
      </x:c>
    </x:row>
    <x:row r="107" ht="34" customHeight="1">
      <x:c r="A107" s="30" t="str">
        <x:v>01_computational_discovery/data/raw/pmf/LiD3-Flex/NaCl/profile_half_early.xvg</x:v>
      </x:c>
      <x:c r="B107" s="31" t="str">
        <x:v>01_computational_discovery/umbrella/analysis_archive_20260725/paired_pmf/LiD3-Flex/NaCl/profile_half_early.xvg</x:v>
      </x:c>
      <x:c r="C107" s="32" t="n">
        <x:v>6065</x:v>
      </x:c>
      <x:c r="D107" s="33" t="str">
        <x:v>d4554349a8d7575a5342822a92954961223cd0cc018bb56f3a066dc7ac17cb84</x:v>
      </x:c>
      <x:c r="E107" s="34" t="str">
        <x:v>pmf_evidence</x:v>
      </x:c>
    </x:row>
    <x:row r="108" ht="34" customHeight="1">
      <x:c r="A108" s="30" t="str">
        <x:v>01_computational_discovery/data/raw/pmf/LiD3-Flex/NaCl/profile_half_late.xvg</x:v>
      </x:c>
      <x:c r="B108" s="31" t="str">
        <x:v>01_computational_discovery/umbrella/analysis_archive_20260725/paired_pmf/LiD3-Flex/NaCl/profile_half_late.xvg</x:v>
      </x:c>
      <x:c r="C108" s="32" t="n">
        <x:v>6020</x:v>
      </x:c>
      <x:c r="D108" s="33" t="str">
        <x:v>2394c7e0e4c85ec5da363c24a557cecafbf552ee757feb6d1a1f6008543f0206</x:v>
      </x:c>
      <x:c r="E108" s="34" t="str">
        <x:v>pmf_evidence</x:v>
      </x:c>
    </x:row>
    <x:row r="109" ht="34" customHeight="1">
      <x:c r="A109" s="30" t="str">
        <x:v>01_computational_discovery/data/raw/pmf/LiD3-Flex/NaCl/pullf-files.dat</x:v>
      </x:c>
      <x:c r="B109" s="31" t="str">
        <x:v>01_computational_discovery/umbrella/analysis_archive_20260725/paired_pmf/LiD3-Flex/NaCl/pullf-files.dat</x:v>
      </x:c>
      <x:c r="C109" s="32" t="n">
        <x:v>3930</x:v>
      </x:c>
      <x:c r="D109" s="33" t="str">
        <x:v>f34a7d37116329ec09f8c6ae5d925c99cea19cc459d5f52f24e05d4d4b4488b3</x:v>
      </x:c>
      <x:c r="E109" s="34" t="str">
        <x:v>pmf_evidence</x:v>
      </x:c>
    </x:row>
    <x:row r="110" ht="34" customHeight="1">
      <x:c r="A110" s="30" t="str">
        <x:v>01_computational_discovery/data/raw/pmf/LiD3-Flex/NaCl/tpr-files.dat</x:v>
      </x:c>
      <x:c r="B110" s="31" t="str">
        <x:v>01_computational_discovery/umbrella/analysis_archive_20260725/paired_pmf/LiD3-Flex/NaCl/tpr-files.dat</x:v>
      </x:c>
      <x:c r="C110" s="32" t="n">
        <x:v>3750</x:v>
      </x:c>
      <x:c r="D110" s="33" t="str">
        <x:v>c0ce1be1bbc8fba19eff768ba1bd98afdaee94843933491eaba9a7535d92e2d9</x:v>
      </x:c>
      <x:c r="E110" s="34" t="str">
        <x:v>pmf_evidence</x:v>
      </x:c>
    </x:row>
    <x:row r="111" ht="34" customHeight="1">
      <x:c r="A111" s="30" t="str">
        <x:v>01_computational_discovery/data/raw/pmf/LiD3-Flex/NaCl/wham_full.log</x:v>
      </x:c>
      <x:c r="B111" s="31" t="str">
        <x:v>01_computational_discovery/umbrella/analysis_archive_20260725/paired_pmf/LiD3-Flex/NaCl/wham_full.log</x:v>
      </x:c>
      <x:c r="C111" s="32" t="n">
        <x:v>6127060</x:v>
      </x:c>
      <x:c r="D111" s="33" t="str">
        <x:v>39276039d7e759eb05e8f8db0fab7249b3c77fc22c2132619fcdca104604275a</x:v>
      </x:c>
      <x:c r="E111" s="34" t="str">
        <x:v>wham_log</x:v>
      </x:c>
    </x:row>
    <x:row r="112" ht="34" customHeight="1">
      <x:c r="A112" s="30" t="str">
        <x:v>01_computational_discovery/data/raw/pmf/LiD3-Flex/paired_qc.tsv</x:v>
      </x:c>
      <x:c r="B112" s="31" t="str">
        <x:v>01_computational_discovery/umbrella/analysis_archive_20260725/paired_pmf/LiD3-Flex/LiD3-Flex_paired_qc.tsv</x:v>
      </x:c>
      <x:c r="C112" s="32" t="n">
        <x:v>899</x:v>
      </x:c>
      <x:c r="D112" s="33" t="str">
        <x:v>e63f0072d0fb2e2fcdc97159b678203fbc6baf6f80bd00bab027bf072fd065d4</x:v>
      </x:c>
      <x:c r="E112" s="34" t="str">
        <x:v>paired_qc</x:v>
      </x:c>
    </x:row>
    <x:row r="113" ht="34" customHeight="1">
      <x:c r="A113" s="30" t="str">
        <x:v>01_computational_discovery/data/raw/pmf/LiD3-Flex/paired_regions.tsv</x:v>
      </x:c>
      <x:c r="B113" s="31" t="str">
        <x:v>01_computational_discovery/umbrella/analysis_archive_20260725/paired_pmf/LiD3-Flex/paired_regions.tsv</x:v>
      </x:c>
      <x:c r="C113" s="32" t="n">
        <x:v>215</x:v>
      </x:c>
      <x:c r="D113" s="33" t="str">
        <x:v>2c4cfee8ea7e6c2557c4ab186e2a325f712c1aad11142d7dc859b4ad113825e8</x:v>
      </x:c>
      <x:c r="E113" s="34" t="str">
        <x:v>paired_regions</x:v>
      </x:c>
    </x:row>
    <x:row r="114" ht="34" customHeight="1">
      <x:c r="A114" s="30" t="str">
        <x:v>01_computational_discovery/data/raw/pmf/LiDA-1/LiCl/analysis_times.tsv</x:v>
      </x:c>
      <x:c r="B114" s="31" t="str">
        <x:v>01_computational_discovery/umbrella/analysis_archive_20260725/paired_pmf/LiDA-1/LiCl/analysis_times.tsv</x:v>
      </x:c>
      <x:c r="C114" s="32" t="n">
        <x:v>154</x:v>
      </x:c>
      <x:c r="D114" s="33" t="str">
        <x:v>99bb2eba7f9ea4e0ec1d94935a67cbd218812023006103fc0db9e39b93567f07</x:v>
      </x:c>
      <x:c r="E114" s="34" t="str">
        <x:v>pmf_evidence</x:v>
      </x:c>
    </x:row>
    <x:row r="115" ht="34" customHeight="1">
      <x:c r="A115" s="30" t="str">
        <x:v>01_computational_discovery/data/raw/pmf/LiDA-1/LiCl/bootstrap_std.xvg</x:v>
      </x:c>
      <x:c r="B115" s="31" t="str">
        <x:v>01_computational_discovery/umbrella/analysis_archive_20260725/paired_pmf/LiDA-1/LiCl/bootstrap_std.xvg</x:v>
      </x:c>
      <x:c r="C115" s="32" t="n">
        <x:v>8604</x:v>
      </x:c>
      <x:c r="D115" s="33" t="str">
        <x:v>b557ddcfe33bd6767937d3c32c41d2e6549af86a7abf00a3df05e0c325cc1f43</x:v>
      </x:c>
      <x:c r="E115" s="34" t="str">
        <x:v>pmf_evidence</x:v>
      </x:c>
    </x:row>
    <x:row r="116" ht="34" customHeight="1">
      <x:c r="A116" s="30" t="str">
        <x:v>01_computational_discovery/data/raw/pmf/LiDA-1/LiCl/histo_full.xvg</x:v>
      </x:c>
      <x:c r="B116" s="31" t="str">
        <x:v>01_computational_discovery/umbrella/analysis_archive_20260725/paired_pmf/LiDA-1/LiCl/histo_full.xvg</x:v>
      </x:c>
      <x:c r="C116" s="32" t="n">
        <x:v>81545</x:v>
      </x:c>
      <x:c r="D116" s="33" t="str">
        <x:v>4252d61649760b93749d1da7cbfabd833cdef022a75615109833cc062be6a032</x:v>
      </x:c>
      <x:c r="E116" s="34" t="str">
        <x:v>pmf_evidence</x:v>
      </x:c>
    </x:row>
    <x:row r="117" ht="34" customHeight="1">
      <x:c r="A117" s="30" t="str">
        <x:v>01_computational_discovery/data/raw/pmf/LiDA-1/LiCl/iact_full.xvg</x:v>
      </x:c>
      <x:c r="B117" s="31" t="str">
        <x:v>01_computational_discovery/umbrella/analysis_archive_20260725/paired_pmf/LiDA-1/LiCl/iact_full.xvg</x:v>
      </x:c>
      <x:c r="C117" s="32" t="n">
        <x:v>2030</x:v>
      </x:c>
      <x:c r="D117" s="33" t="str">
        <x:v>b87b886eab38383be0fe857292c91051f60decbd34854face7730d51e0200422</x:v>
      </x:c>
      <x:c r="E117" s="34" t="str">
        <x:v>pmf_evidence</x:v>
      </x:c>
    </x:row>
    <x:row r="118" ht="34" customHeight="1">
      <x:c r="A118" s="30" t="str">
        <x:v>01_computational_discovery/data/raw/pmf/LiDA-1/LiCl/profile_burnin_12p5.xvg</x:v>
      </x:c>
      <x:c r="B118" s="31" t="str">
        <x:v>01_computational_discovery/umbrella/analysis_archive_20260725/paired_pmf/LiDA-1/LiCl/profile_burnin_12p5.xvg</x:v>
      </x:c>
      <x:c r="C118" s="32" t="n">
        <x:v>5906</x:v>
      </x:c>
      <x:c r="D118" s="33" t="str">
        <x:v>3a4963c82e3cd04458bd3f9858db84a6c9143f0f28442c29e7a825e82ce1afa7</x:v>
      </x:c>
      <x:c r="E118" s="34" t="str">
        <x:v>pmf_evidence</x:v>
      </x:c>
    </x:row>
    <x:row r="119" ht="34" customHeight="1">
      <x:c r="A119" s="30" t="str">
        <x:v>01_computational_discovery/data/raw/pmf/LiDA-1/LiCl/profile_burnin_25.xvg</x:v>
      </x:c>
      <x:c r="B119" s="31" t="str">
        <x:v>01_computational_discovery/umbrella/analysis_archive_20260725/paired_pmf/LiDA-1/LiCl/profile_burnin_25.xvg</x:v>
      </x:c>
      <x:c r="C119" s="32" t="n">
        <x:v>5915</x:v>
      </x:c>
      <x:c r="D119" s="33" t="str">
        <x:v>75ec64a052f8ab99c4ed11db3ea2847ed37b19636cdde0176efa26627e56f127</x:v>
      </x:c>
      <x:c r="E119" s="34" t="str">
        <x:v>pmf_evidence</x:v>
      </x:c>
    </x:row>
    <x:row r="120" ht="34" customHeight="1">
      <x:c r="A120" s="30" t="str">
        <x:v>01_computational_discovery/data/raw/pmf/LiDA-1/LiCl/profile_full.xvg</x:v>
      </x:c>
      <x:c r="B120" s="31" t="str">
        <x:v>01_computational_discovery/umbrella/analysis_archive_20260725/paired_pmf/LiDA-1/LiCl/profile_full.xvg</x:v>
      </x:c>
      <x:c r="C120" s="32" t="n">
        <x:v>5999</x:v>
      </x:c>
      <x:c r="D120" s="33" t="str">
        <x:v>01f5ee13f0e8ee3c3d2e47bbc826e3f05fd9d9fe5f8e10a51b50a8b41c6d3af0</x:v>
      </x:c>
      <x:c r="E120" s="34" t="str">
        <x:v>pmf_evidence</x:v>
      </x:c>
    </x:row>
    <x:row r="121" ht="34" customHeight="1">
      <x:c r="A121" s="30" t="str">
        <x:v>01_computational_discovery/data/raw/pmf/LiDA-1/LiCl/profile_half_early.xvg</x:v>
      </x:c>
      <x:c r="B121" s="31" t="str">
        <x:v>01_computational_discovery/umbrella/analysis_archive_20260725/paired_pmf/LiDA-1/LiCl/profile_half_early.xvg</x:v>
      </x:c>
      <x:c r="C121" s="32" t="n">
        <x:v>5869</x:v>
      </x:c>
      <x:c r="D121" s="33" t="str">
        <x:v>87d637788d172e027a173a1eeaf185875c63fbc0554368af39d1c5bfa8ff8199</x:v>
      </x:c>
      <x:c r="E121" s="34" t="str">
        <x:v>pmf_evidence</x:v>
      </x:c>
    </x:row>
    <x:row r="122" ht="34" customHeight="1">
      <x:c r="A122" s="30" t="str">
        <x:v>01_computational_discovery/data/raw/pmf/LiDA-1/LiCl/profile_half_late.xvg</x:v>
      </x:c>
      <x:c r="B122" s="31" t="str">
        <x:v>01_computational_discovery/umbrella/analysis_archive_20260725/paired_pmf/LiDA-1/LiCl/profile_half_late.xvg</x:v>
      </x:c>
      <x:c r="C122" s="32" t="n">
        <x:v>6056</x:v>
      </x:c>
      <x:c r="D122" s="33" t="str">
        <x:v>0079930e99deda80d2c28a6f3a20f3d9ee7924846469621d458b021f293bbee7</x:v>
      </x:c>
      <x:c r="E122" s="34" t="str">
        <x:v>pmf_evidence</x:v>
      </x:c>
    </x:row>
    <x:row r="123" ht="34" customHeight="1">
      <x:c r="A123" s="30" t="str">
        <x:v>01_computational_discovery/data/raw/pmf/LiDA-1/LiCl/pullf-files.dat</x:v>
      </x:c>
      <x:c r="B123" s="31" t="str">
        <x:v>01_computational_discovery/umbrella/analysis_archive_20260725/paired_pmf/LiDA-1/LiCl/pullf-files.dat</x:v>
      </x:c>
      <x:c r="C123" s="32" t="n">
        <x:v>3480</x:v>
      </x:c>
      <x:c r="D123" s="33" t="str">
        <x:v>567eedcd3f584f820b49bbba407945596c27da1b3c0c98f60ee16b5796b38922</x:v>
      </x:c>
      <x:c r="E123" s="34" t="str">
        <x:v>pmf_evidence</x:v>
      </x:c>
    </x:row>
    <x:row r="124" ht="34" customHeight="1">
      <x:c r="A124" s="30" t="str">
        <x:v>01_computational_discovery/data/raw/pmf/LiDA-1/LiCl/tpr-files.dat</x:v>
      </x:c>
      <x:c r="B124" s="31" t="str">
        <x:v>01_computational_discovery/umbrella/analysis_archive_20260725/paired_pmf/LiDA-1/LiCl/tpr-files.dat</x:v>
      </x:c>
      <x:c r="C124" s="32" t="n">
        <x:v>3300</x:v>
      </x:c>
      <x:c r="D124" s="33" t="str">
        <x:v>23f3bbc2a5cbaa73011f60384005816c4fa15bd439a402cd4a33bc72f6165127</x:v>
      </x:c>
      <x:c r="E124" s="34" t="str">
        <x:v>pmf_evidence</x:v>
      </x:c>
    </x:row>
    <x:row r="125" ht="34" customHeight="1">
      <x:c r="A125" s="30" t="str">
        <x:v>01_computational_discovery/data/raw/pmf/LiDA-1/LiCl/wham_full.log</x:v>
      </x:c>
      <x:c r="B125" s="31" t="str">
        <x:v>01_computational_discovery/umbrella/analysis_archive_20260725/paired_pmf/LiDA-1/LiCl/wham_full.log</x:v>
      </x:c>
      <x:c r="C125" s="32" t="n">
        <x:v>6666459</x:v>
      </x:c>
      <x:c r="D125" s="33" t="str">
        <x:v>b360317ac93217187df80fbb8ea10c84dae6d62c5458491399979d2945f75e45</x:v>
      </x:c>
      <x:c r="E125" s="34" t="str">
        <x:v>wham_log</x:v>
      </x:c>
    </x:row>
    <x:row r="126" ht="34" customHeight="1">
      <x:c r="A126" s="30" t="str">
        <x:v>01_computational_discovery/data/raw/pmf/LiDA-1/NaCl/analysis_times.tsv</x:v>
      </x:c>
      <x:c r="B126" s="31" t="str">
        <x:v>01_computational_discovery/umbrella/analysis_archive_20260725/paired_pmf/LiDA-1/NaCl/analysis_times.tsv</x:v>
      </x:c>
      <x:c r="C126" s="32" t="n">
        <x:v>154</x:v>
      </x:c>
      <x:c r="D126" s="33" t="str">
        <x:v>99bb2eba7f9ea4e0ec1d94935a67cbd218812023006103fc0db9e39b93567f07</x:v>
      </x:c>
      <x:c r="E126" s="34" t="str">
        <x:v>pmf_evidence</x:v>
      </x:c>
    </x:row>
    <x:row r="127" ht="34" customHeight="1">
      <x:c r="A127" s="30" t="str">
        <x:v>01_computational_discovery/data/raw/pmf/LiDA-1/NaCl/bootstrap_std.xvg</x:v>
      </x:c>
      <x:c r="B127" s="31" t="str">
        <x:v>01_computational_discovery/umbrella/analysis_archive_20260725/paired_pmf/LiDA-1/NaCl/bootstrap_std.xvg</x:v>
      </x:c>
      <x:c r="C127" s="32" t="n">
        <x:v>8763</x:v>
      </x:c>
      <x:c r="D127" s="33" t="str">
        <x:v>a472878a0b8303d8dadfbe8651d7d0c7e10476f665a284c5505000722da01449</x:v>
      </x:c>
      <x:c r="E127" s="34" t="str">
        <x:v>pmf_evidence</x:v>
      </x:c>
    </x:row>
    <x:row r="128" ht="34" customHeight="1">
      <x:c r="A128" s="30" t="str">
        <x:v>01_computational_discovery/data/raw/pmf/LiDA-1/NaCl/histo_full.xvg</x:v>
      </x:c>
      <x:c r="B128" s="31" t="str">
        <x:v>01_computational_discovery/umbrella/analysis_archive_20260725/paired_pmf/LiDA-1/NaCl/histo_full.xvg</x:v>
      </x:c>
      <x:c r="C128" s="32" t="n">
        <x:v>81521</x:v>
      </x:c>
      <x:c r="D128" s="33" t="str">
        <x:v>faf01f2ae6dafbadfb2b08a59fb6ef16b3f757a96008da69dc6ebfa27bf991fd</x:v>
      </x:c>
      <x:c r="E128" s="34" t="str">
        <x:v>pmf_evidence</x:v>
      </x:c>
    </x:row>
    <x:row r="129" ht="34" customHeight="1">
      <x:c r="A129" s="30" t="str">
        <x:v>01_computational_discovery/data/raw/pmf/LiDA-1/NaCl/iact_full.xvg</x:v>
      </x:c>
      <x:c r="B129" s="31" t="str">
        <x:v>01_computational_discovery/umbrella/analysis_archive_20260725/paired_pmf/LiDA-1/NaCl/iact_full.xvg</x:v>
      </x:c>
      <x:c r="C129" s="32" t="n">
        <x:v>2021</x:v>
      </x:c>
      <x:c r="D129" s="33" t="str">
        <x:v>9e4b559bd7964b203a169c15f575835ce7a598444336355c2b6e20a8c15dd6bb</x:v>
      </x:c>
      <x:c r="E129" s="34" t="str">
        <x:v>pmf_evidence</x:v>
      </x:c>
    </x:row>
    <x:row r="130" ht="34" customHeight="1">
      <x:c r="A130" s="30" t="str">
        <x:v>01_computational_discovery/data/raw/pmf/LiDA-1/NaCl/profile_burnin_12p5.xvg</x:v>
      </x:c>
      <x:c r="B130" s="31" t="str">
        <x:v>01_computational_discovery/umbrella/analysis_archive_20260725/paired_pmf/LiDA-1/NaCl/profile_burnin_12p5.xvg</x:v>
      </x:c>
      <x:c r="C130" s="32" t="n">
        <x:v>6059</x:v>
      </x:c>
      <x:c r="D130" s="33" t="str">
        <x:v>434542dfd45074fe9b69749f774ba59b75f1d5898a3b469eefd657e591d5acbf</x:v>
      </x:c>
      <x:c r="E130" s="34" t="str">
        <x:v>pmf_evidence</x:v>
      </x:c>
    </x:row>
    <x:row r="131" ht="34" customHeight="1">
      <x:c r="A131" s="30" t="str">
        <x:v>01_computational_discovery/data/raw/pmf/LiDA-1/NaCl/profile_burnin_25.xvg</x:v>
      </x:c>
      <x:c r="B131" s="31" t="str">
        <x:v>01_computational_discovery/umbrella/analysis_archive_20260725/paired_pmf/LiDA-1/NaCl/profile_burnin_25.xvg</x:v>
      </x:c>
      <x:c r="C131" s="32" t="n">
        <x:v>6051</x:v>
      </x:c>
      <x:c r="D131" s="33" t="str">
        <x:v>068ac78727aa1f2869d7eac90a57aaa0dc0039ecbc7da8da2eca8d7ee1ceaea4</x:v>
      </x:c>
      <x:c r="E131" s="34" t="str">
        <x:v>pmf_evidence</x:v>
      </x:c>
    </x:row>
    <x:row r="132" ht="34" customHeight="1">
      <x:c r="A132" s="30" t="str">
        <x:v>01_computational_discovery/data/raw/pmf/LiDA-1/NaCl/profile_full.xvg</x:v>
      </x:c>
      <x:c r="B132" s="31" t="str">
        <x:v>01_computational_discovery/umbrella/analysis_archive_20260725/paired_pmf/LiDA-1/NaCl/profile_full.xvg</x:v>
      </x:c>
      <x:c r="C132" s="32" t="n">
        <x:v>6142</x:v>
      </x:c>
      <x:c r="D132" s="33" t="str">
        <x:v>b334a6c00b61b92565dda497bc8d5dd9e0e0dc65e834d83d6c164e48dc292c57</x:v>
      </x:c>
      <x:c r="E132" s="34" t="str">
        <x:v>pmf_evidence</x:v>
      </x:c>
    </x:row>
    <x:row r="133" ht="34" customHeight="1">
      <x:c r="A133" s="30" t="str">
        <x:v>01_computational_discovery/data/raw/pmf/LiDA-1/NaCl/profile_half_early.xvg</x:v>
      </x:c>
      <x:c r="B133" s="31" t="str">
        <x:v>01_computational_discovery/umbrella/analysis_archive_20260725/paired_pmf/LiDA-1/NaCl/profile_half_early.xvg</x:v>
      </x:c>
      <x:c r="C133" s="32" t="n">
        <x:v>6052</x:v>
      </x:c>
      <x:c r="D133" s="33" t="str">
        <x:v>f757b0e9b2ad014e12474c36f86e344903babd39c3ba8f8bb88e3e6e821a4256</x:v>
      </x:c>
      <x:c r="E133" s="34" t="str">
        <x:v>pmf_evidence</x:v>
      </x:c>
    </x:row>
    <x:row r="134" ht="34" customHeight="1">
      <x:c r="A134" s="30" t="str">
        <x:v>01_computational_discovery/data/raw/pmf/LiDA-1/NaCl/profile_half_late.xvg</x:v>
      </x:c>
      <x:c r="B134" s="31" t="str">
        <x:v>01_computational_discovery/umbrella/analysis_archive_20260725/paired_pmf/LiDA-1/NaCl/profile_half_late.xvg</x:v>
      </x:c>
      <x:c r="C134" s="32" t="n">
        <x:v>6035</x:v>
      </x:c>
      <x:c r="D134" s="33" t="str">
        <x:v>db5ae4eba334acfc57106dde169a524014055b12f83573804fcd959fc1e04482</x:v>
      </x:c>
      <x:c r="E134" s="34" t="str">
        <x:v>pmf_evidence</x:v>
      </x:c>
    </x:row>
    <x:row r="135" ht="34" customHeight="1">
      <x:c r="A135" s="30" t="str">
        <x:v>01_computational_discovery/data/raw/pmf/LiDA-1/NaCl/pullf-files.dat</x:v>
      </x:c>
      <x:c r="B135" s="31" t="str">
        <x:v>01_computational_discovery/umbrella/analysis_archive_20260725/paired_pmf/LiDA-1/NaCl/pullf-files.dat</x:v>
      </x:c>
      <x:c r="C135" s="32" t="n">
        <x:v>3840</x:v>
      </x:c>
      <x:c r="D135" s="33" t="str">
        <x:v>2f660459188738ce5e5d4fd958c71789f3501f7855fbbad611899974e19c09a6</x:v>
      </x:c>
      <x:c r="E135" s="34" t="str">
        <x:v>pmf_evidence</x:v>
      </x:c>
    </x:row>
    <x:row r="136" ht="34" customHeight="1">
      <x:c r="A136" s="30" t="str">
        <x:v>01_computational_discovery/data/raw/pmf/LiDA-1/NaCl/tpr-files.dat</x:v>
      </x:c>
      <x:c r="B136" s="31" t="str">
        <x:v>01_computational_discovery/umbrella/analysis_archive_20260725/paired_pmf/LiDA-1/NaCl/tpr-files.dat</x:v>
      </x:c>
      <x:c r="C136" s="32" t="n">
        <x:v>3660</x:v>
      </x:c>
      <x:c r="D136" s="33" t="str">
        <x:v>726f0ccfcfe7d0d9edef8ef0e9f69808d9c7fae2a171751a306b577aef8d57d6</x:v>
      </x:c>
      <x:c r="E136" s="34" t="str">
        <x:v>pmf_evidence</x:v>
      </x:c>
    </x:row>
    <x:row r="137" ht="34" customHeight="1">
      <x:c r="A137" s="30" t="str">
        <x:v>01_computational_discovery/data/raw/pmf/LiDA-1/NaCl/wham_full.log</x:v>
      </x:c>
      <x:c r="B137" s="31" t="str">
        <x:v>01_computational_discovery/umbrella/analysis_archive_20260725/paired_pmf/LiDA-1/NaCl/wham_full.log</x:v>
      </x:c>
      <x:c r="C137" s="32" t="n">
        <x:v>7257877</x:v>
      </x:c>
      <x:c r="D137" s="33" t="str">
        <x:v>1e7ae2a48fd599829d8ef113ef3006676887623ec3c38f69011280ab53e05f51</x:v>
      </x:c>
      <x:c r="E137" s="34" t="str">
        <x:v>wham_log</x:v>
      </x:c>
    </x:row>
    <x:row r="138" ht="34" customHeight="1">
      <x:c r="A138" s="30" t="str">
        <x:v>01_computational_discovery/data/raw/pmf/LiDA-1/paired_qc.tsv</x:v>
      </x:c>
      <x:c r="B138" s="31" t="str">
        <x:v>01_computational_discovery/umbrella/analysis_archive_20260725/paired_pmf/LiDA-1/LiDA-1_paired_qc.tsv</x:v>
      </x:c>
      <x:c r="C138" s="32" t="n">
        <x:v>894</x:v>
      </x:c>
      <x:c r="D138" s="33" t="str">
        <x:v>d7c64e4cd4528c2b44d97782811159e7b64edd24d282b9915b69073d6355d8ce</x:v>
      </x:c>
      <x:c r="E138" s="34" t="str">
        <x:v>paired_qc</x:v>
      </x:c>
    </x:row>
    <x:row r="139" ht="34" customHeight="1">
      <x:c r="A139" s="30" t="str">
        <x:v>01_computational_discovery/data/raw/pmf/LiDA-1/paired_regions.tsv</x:v>
      </x:c>
      <x:c r="B139" s="31" t="str">
        <x:v>01_computational_discovery/umbrella/analysis_archive_20260725/paired_pmf/LiDA-1/paired_regions.tsv</x:v>
      </x:c>
      <x:c r="C139" s="32" t="n">
        <x:v>216</x:v>
      </x:c>
      <x:c r="D139" s="33" t="str">
        <x:v>e6c944d34da9860c6da5de9c8d8c68ca4673cac8a702e5f32bfc6a58f600462d</x:v>
      </x:c>
      <x:c r="E139" s="34" t="str">
        <x:v>paired_regions</x:v>
      </x:c>
    </x:row>
    <x:row r="140" ht="34" customHeight="1">
      <x:c r="A140" s="30" t="str">
        <x:v>01_computational_discovery/data/raw/pmf/LiDS-1/LiCl/analysis_times.tsv</x:v>
      </x:c>
      <x:c r="B140" s="31" t="str">
        <x:v>01_computational_discovery/umbrella/analysis_archive_20260725/paired_pmf/LiDS-1/LiCl/analysis_times.tsv</x:v>
      </x:c>
      <x:c r="C140" s="32" t="n">
        <x:v>154</x:v>
      </x:c>
      <x:c r="D140" s="33" t="str">
        <x:v>99bb2eba7f9ea4e0ec1d94935a67cbd218812023006103fc0db9e39b93567f07</x:v>
      </x:c>
      <x:c r="E140" s="34" t="str">
        <x:v>pmf_evidence</x:v>
      </x:c>
    </x:row>
    <x:row r="141" ht="34" customHeight="1">
      <x:c r="A141" s="30" t="str">
        <x:v>01_computational_discovery/data/raw/pmf/LiDS-1/LiCl/bootstrap_std.xvg</x:v>
      </x:c>
      <x:c r="B141" s="31" t="str">
        <x:v>01_computational_discovery/umbrella/analysis_archive_20260725/paired_pmf/LiDS-1/LiCl/bootstrap_std.xvg</x:v>
      </x:c>
      <x:c r="C141" s="32" t="n">
        <x:v>8576</x:v>
      </x:c>
      <x:c r="D141" s="33" t="str">
        <x:v>6d9bd0357158da556f7610179d6c17aedb8111bdba79e33928e0fd30f5559c0b</x:v>
      </x:c>
      <x:c r="E141" s="34" t="str">
        <x:v>pmf_evidence</x:v>
      </x:c>
    </x:row>
    <x:row r="142" ht="34" customHeight="1">
      <x:c r="A142" s="30" t="str">
        <x:v>01_computational_discovery/data/raw/pmf/LiDS-1/LiCl/histo_full.xvg</x:v>
      </x:c>
      <x:c r="B142" s="31" t="str">
        <x:v>01_computational_discovery/umbrella/analysis_archive_20260725/paired_pmf/LiDS-1/LiCl/histo_full.xvg</x:v>
      </x:c>
      <x:c r="C142" s="32" t="n">
        <x:v>81530</x:v>
      </x:c>
      <x:c r="D142" s="33" t="str">
        <x:v>494cb929ddc2957e0ab47e183e2e90eb519c07f1dff8fefa24cd3a738a6e42fb</x:v>
      </x:c>
      <x:c r="E142" s="34" t="str">
        <x:v>pmf_evidence</x:v>
      </x:c>
    </x:row>
    <x:row r="143" ht="34" customHeight="1">
      <x:c r="A143" s="30" t="str">
        <x:v>01_computational_discovery/data/raw/pmf/LiDS-1/LiCl/iact_full.xvg</x:v>
      </x:c>
      <x:c r="B143" s="31" t="str">
        <x:v>01_computational_discovery/umbrella/analysis_archive_20260725/paired_pmf/LiDS-1/LiCl/iact_full.xvg</x:v>
      </x:c>
      <x:c r="C143" s="32" t="n">
        <x:v>2015</x:v>
      </x:c>
      <x:c r="D143" s="33" t="str">
        <x:v>6382371ee73bb096c475e7c9208693c951c68be8416cea9d19b85873fdccf8ca</x:v>
      </x:c>
      <x:c r="E143" s="34" t="str">
        <x:v>pmf_evidence</x:v>
      </x:c>
    </x:row>
    <x:row r="144" ht="34" customHeight="1">
      <x:c r="A144" s="30" t="str">
        <x:v>01_computational_discovery/data/raw/pmf/LiDS-1/LiCl/profile_burnin_12p5.xvg</x:v>
      </x:c>
      <x:c r="B144" s="31" t="str">
        <x:v>01_computational_discovery/umbrella/analysis_archive_20260725/paired_pmf/LiDS-1/LiCl/profile_burnin_12p5.xvg</x:v>
      </x:c>
      <x:c r="C144" s="32" t="n">
        <x:v>5863</x:v>
      </x:c>
      <x:c r="D144" s="33" t="str">
        <x:v>d40c709129fd502c3faacf307b92172bc251b6685c8c3cad301aa78d61d6cf70</x:v>
      </x:c>
      <x:c r="E144" s="34" t="str">
        <x:v>pmf_evidence</x:v>
      </x:c>
    </x:row>
    <x:row r="145" ht="34" customHeight="1">
      <x:c r="A145" s="30" t="str">
        <x:v>01_computational_discovery/data/raw/pmf/LiDS-1/LiCl/profile_burnin_25.xvg</x:v>
      </x:c>
      <x:c r="B145" s="31" t="str">
        <x:v>01_computational_discovery/umbrella/analysis_archive_20260725/paired_pmf/LiDS-1/LiCl/profile_burnin_25.xvg</x:v>
      </x:c>
      <x:c r="C145" s="32" t="n">
        <x:v>5865</x:v>
      </x:c>
      <x:c r="D145" s="33" t="str">
        <x:v>79ea489288f1dbd484190355cc0814ff0d7aa2b8de7deda05fa863b0facad812</x:v>
      </x:c>
      <x:c r="E145" s="34" t="str">
        <x:v>pmf_evidence</x:v>
      </x:c>
    </x:row>
    <x:row r="146" ht="34" customHeight="1">
      <x:c r="A146" s="30" t="str">
        <x:v>01_computational_discovery/data/raw/pmf/LiDS-1/LiCl/profile_full.xvg</x:v>
      </x:c>
      <x:c r="B146" s="31" t="str">
        <x:v>01_computational_discovery/umbrella/analysis_archive_20260725/paired_pmf/LiDS-1/LiCl/profile_full.xvg</x:v>
      </x:c>
      <x:c r="C146" s="32" t="n">
        <x:v>5946</x:v>
      </x:c>
      <x:c r="D146" s="33" t="str">
        <x:v>a808174129cbfa0ceba58612206d42d4ca01d68972e1bd366d7066e68ad6eaa8</x:v>
      </x:c>
      <x:c r="E146" s="34" t="str">
        <x:v>pmf_evidence</x:v>
      </x:c>
    </x:row>
    <x:row r="147" ht="34" customHeight="1">
      <x:c r="A147" s="30" t="str">
        <x:v>01_computational_discovery/data/raw/pmf/LiDS-1/LiCl/profile_half_early.xvg</x:v>
      </x:c>
      <x:c r="B147" s="31" t="str">
        <x:v>01_computational_discovery/umbrella/analysis_archive_20260725/paired_pmf/LiDS-1/LiCl/profile_half_early.xvg</x:v>
      </x:c>
      <x:c r="C147" s="32" t="n">
        <x:v>5873</x:v>
      </x:c>
      <x:c r="D147" s="33" t="str">
        <x:v>eb04c80bf653653c9ffbdc30b7a736b7f293279d4815a290b0acedbfd70ee788</x:v>
      </x:c>
      <x:c r="E147" s="34" t="str">
        <x:v>pmf_evidence</x:v>
      </x:c>
    </x:row>
    <x:row r="148" ht="34" customHeight="1">
      <x:c r="A148" s="30" t="str">
        <x:v>01_computational_discovery/data/raw/pmf/LiDS-1/LiCl/profile_half_late.xvg</x:v>
      </x:c>
      <x:c r="B148" s="31" t="str">
        <x:v>01_computational_discovery/umbrella/analysis_archive_20260725/paired_pmf/LiDS-1/LiCl/profile_half_late.xvg</x:v>
      </x:c>
      <x:c r="C148" s="32" t="n">
        <x:v>5860</x:v>
      </x:c>
      <x:c r="D148" s="33" t="str">
        <x:v>a5ccac7093c8d7d4f22b9bdb5e5a676153277d31329576e171843e080c4d9eb0</x:v>
      </x:c>
      <x:c r="E148" s="34" t="str">
        <x:v>pmf_evidence</x:v>
      </x:c>
    </x:row>
    <x:row r="149" ht="34" customHeight="1">
      <x:c r="A149" s="30" t="str">
        <x:v>01_computational_discovery/data/raw/pmf/LiDS-1/LiCl/pullf-files.dat</x:v>
      </x:c>
      <x:c r="B149" s="31" t="str">
        <x:v>01_computational_discovery/umbrella/analysis_archive_20260725/paired_pmf/LiDS-1/LiCl/pullf-files.dat</x:v>
      </x:c>
      <x:c r="C149" s="32" t="n">
        <x:v>3480</x:v>
      </x:c>
      <x:c r="D149" s="33" t="str">
        <x:v>acf3238e77e038209d1dd26f6444687d2dc79e1c7a1efe49ff8be849daf3961d</x:v>
      </x:c>
      <x:c r="E149" s="34" t="str">
        <x:v>pmf_evidence</x:v>
      </x:c>
    </x:row>
    <x:row r="150" ht="34" customHeight="1">
      <x:c r="A150" s="30" t="str">
        <x:v>01_computational_discovery/data/raw/pmf/LiDS-1/LiCl/tpr-files.dat</x:v>
      </x:c>
      <x:c r="B150" s="31" t="str">
        <x:v>01_computational_discovery/umbrella/analysis_archive_20260725/paired_pmf/LiDS-1/LiCl/tpr-files.dat</x:v>
      </x:c>
      <x:c r="C150" s="32" t="n">
        <x:v>3300</x:v>
      </x:c>
      <x:c r="D150" s="33" t="str">
        <x:v>294b5200189b963e17c849a2e29ce9eb13b6a3555532e10c6c66f826a334ab2c</x:v>
      </x:c>
      <x:c r="E150" s="34" t="str">
        <x:v>pmf_evidence</x:v>
      </x:c>
    </x:row>
    <x:row r="151" ht="34" customHeight="1">
      <x:c r="A151" s="30" t="str">
        <x:v>01_computational_discovery/data/raw/pmf/LiDS-1/LiCl/wham_full.log</x:v>
      </x:c>
      <x:c r="B151" s="31" t="str">
        <x:v>01_computational_discovery/umbrella/analysis_archive_20260725/paired_pmf/LiDS-1/LiCl/wham_full.log</x:v>
      </x:c>
      <x:c r="C151" s="32" t="n">
        <x:v>6492972</x:v>
      </x:c>
      <x:c r="D151" s="33" t="str">
        <x:v>389430c2a91af4b6fad8c029496696f72f26caa03e4ef9960de7b79c00db9ec6</x:v>
      </x:c>
      <x:c r="E151" s="34" t="str">
        <x:v>wham_log</x:v>
      </x:c>
    </x:row>
    <x:row r="152" ht="34" customHeight="1">
      <x:c r="A152" s="30" t="str">
        <x:v>01_computational_discovery/data/raw/pmf/LiDS-1/NaCl/analysis_times.tsv</x:v>
      </x:c>
      <x:c r="B152" s="31" t="str">
        <x:v>01_computational_discovery/umbrella/analysis_archive_20260725/paired_pmf/LiDS-1/NaCl/analysis_times.tsv</x:v>
      </x:c>
      <x:c r="C152" s="32" t="n">
        <x:v>154</x:v>
      </x:c>
      <x:c r="D152" s="33" t="str">
        <x:v>99bb2eba7f9ea4e0ec1d94935a67cbd218812023006103fc0db9e39b93567f07</x:v>
      </x:c>
      <x:c r="E152" s="34" t="str">
        <x:v>pmf_evidence</x:v>
      </x:c>
    </x:row>
    <x:row r="153" ht="34" customHeight="1">
      <x:c r="A153" s="30" t="str">
        <x:v>01_computational_discovery/data/raw/pmf/LiDS-1/NaCl/bootstrap_std.xvg</x:v>
      </x:c>
      <x:c r="B153" s="31" t="str">
        <x:v>01_computational_discovery/umbrella/analysis_archive_20260725/paired_pmf/LiDS-1/NaCl/bootstrap_std.xvg</x:v>
      </x:c>
      <x:c r="C153" s="32" t="n">
        <x:v>8772</x:v>
      </x:c>
      <x:c r="D153" s="33" t="str">
        <x:v>b5b7001c6159baa889a7ad061f77246dacf68e3c8ec76cb8723deca9e3d05b89</x:v>
      </x:c>
      <x:c r="E153" s="34" t="str">
        <x:v>pmf_evidence</x:v>
      </x:c>
    </x:row>
    <x:row r="154" ht="34" customHeight="1">
      <x:c r="A154" s="30" t="str">
        <x:v>01_computational_discovery/data/raw/pmf/LiDS-1/NaCl/histo_full.xvg</x:v>
      </x:c>
      <x:c r="B154" s="31" t="str">
        <x:v>01_computational_discovery/umbrella/analysis_archive_20260725/paired_pmf/LiDS-1/NaCl/histo_full.xvg</x:v>
      </x:c>
      <x:c r="C154" s="32" t="n">
        <x:v>81534</x:v>
      </x:c>
      <x:c r="D154" s="33" t="str">
        <x:v>95c184cb38355d7ad845e7a842def262224b7afa131178b5fcf17d362463be18</x:v>
      </x:c>
      <x:c r="E154" s="34" t="str">
        <x:v>pmf_evidence</x:v>
      </x:c>
    </x:row>
    <x:row r="155" ht="34" customHeight="1">
      <x:c r="A155" s="30" t="str">
        <x:v>01_computational_discovery/data/raw/pmf/LiDS-1/NaCl/iact_full.xvg</x:v>
      </x:c>
      <x:c r="B155" s="31" t="str">
        <x:v>01_computational_discovery/umbrella/analysis_archive_20260725/paired_pmf/LiDS-1/NaCl/iact_full.xvg</x:v>
      </x:c>
      <x:c r="C155" s="32" t="n">
        <x:v>2019</x:v>
      </x:c>
      <x:c r="D155" s="33" t="str">
        <x:v>5165b13e2e4450bf7bb8ed78513e0b0e20aa27b63cb18b29e0b9f55c5ab53547</x:v>
      </x:c>
      <x:c r="E155" s="34" t="str">
        <x:v>pmf_evidence</x:v>
      </x:c>
    </x:row>
    <x:row r="156" ht="34" customHeight="1">
      <x:c r="A156" s="30" t="str">
        <x:v>01_computational_discovery/data/raw/pmf/LiDS-1/NaCl/profile_burnin_12p5.xvg</x:v>
      </x:c>
      <x:c r="B156" s="31" t="str">
        <x:v>01_computational_discovery/umbrella/analysis_archive_20260725/paired_pmf/LiDS-1/NaCl/profile_burnin_12p5.xvg</x:v>
      </x:c>
      <x:c r="C156" s="32" t="n">
        <x:v>6060</x:v>
      </x:c>
      <x:c r="D156" s="33" t="str">
        <x:v>c58c1f6077100cc5cafeed33006ca47af536cded5c72e4ca1c15f3cae6da6308</x:v>
      </x:c>
      <x:c r="E156" s="34" t="str">
        <x:v>pmf_evidence</x:v>
      </x:c>
    </x:row>
    <x:row r="157" ht="34" customHeight="1">
      <x:c r="A157" s="30" t="str">
        <x:v>01_computational_discovery/data/raw/pmf/LiDS-1/NaCl/profile_burnin_25.xvg</x:v>
      </x:c>
      <x:c r="B157" s="31" t="str">
        <x:v>01_computational_discovery/umbrella/analysis_archive_20260725/paired_pmf/LiDS-1/NaCl/profile_burnin_25.xvg</x:v>
      </x:c>
      <x:c r="C157" s="32" t="n">
        <x:v>6055</x:v>
      </x:c>
      <x:c r="D157" s="33" t="str">
        <x:v>4497394677dfd93b88e970d7edc12495926e680b1f7efb69a23e44dfab9f6ae6</x:v>
      </x:c>
      <x:c r="E157" s="34" t="str">
        <x:v>pmf_evidence</x:v>
      </x:c>
    </x:row>
    <x:row r="158" ht="34" customHeight="1">
      <x:c r="A158" s="30" t="str">
        <x:v>01_computational_discovery/data/raw/pmf/LiDS-1/NaCl/profile_full.xvg</x:v>
      </x:c>
      <x:c r="B158" s="31" t="str">
        <x:v>01_computational_discovery/umbrella/analysis_archive_20260725/paired_pmf/LiDS-1/NaCl/profile_full.xvg</x:v>
      </x:c>
      <x:c r="C158" s="32" t="n">
        <x:v>6142</x:v>
      </x:c>
      <x:c r="D158" s="33" t="str">
        <x:v>a95f43359f8585a000b5634f5c5bb8348100ef72866c959c2178d5fae779f725</x:v>
      </x:c>
      <x:c r="E158" s="34" t="str">
        <x:v>pmf_evidence</x:v>
      </x:c>
    </x:row>
    <x:row r="159" ht="34" customHeight="1">
      <x:c r="A159" s="30" t="str">
        <x:v>01_computational_discovery/data/raw/pmf/LiDS-1/NaCl/profile_half_early.xvg</x:v>
      </x:c>
      <x:c r="B159" s="31" t="str">
        <x:v>01_computational_discovery/umbrella/analysis_archive_20260725/paired_pmf/LiDS-1/NaCl/profile_half_early.xvg</x:v>
      </x:c>
      <x:c r="C159" s="32" t="n">
        <x:v>6055</x:v>
      </x:c>
      <x:c r="D159" s="33" t="str">
        <x:v>cf19b67dbfc517ff6ecab73fc28df3305b6ee04fb79137b6d27cb63aecdedaa8</x:v>
      </x:c>
      <x:c r="E159" s="34" t="str">
        <x:v>pmf_evidence</x:v>
      </x:c>
    </x:row>
    <x:row r="160" ht="34" customHeight="1">
      <x:c r="A160" s="30" t="str">
        <x:v>01_computational_discovery/data/raw/pmf/LiDS-1/NaCl/profile_half_late.xvg</x:v>
      </x:c>
      <x:c r="B160" s="31" t="str">
        <x:v>01_computational_discovery/umbrella/analysis_archive_20260725/paired_pmf/LiDS-1/NaCl/profile_half_late.xvg</x:v>
      </x:c>
      <x:c r="C160" s="32" t="n">
        <x:v>6056</x:v>
      </x:c>
      <x:c r="D160" s="33" t="str">
        <x:v>6f3d84c2b601e3b4ab7fb166a91b5a92fd873598661c7454c350dd7b5debc86a</x:v>
      </x:c>
      <x:c r="E160" s="34" t="str">
        <x:v>pmf_evidence</x:v>
      </x:c>
    </x:row>
    <x:row r="161" ht="34" customHeight="1">
      <x:c r="A161" s="30" t="str">
        <x:v>01_computational_discovery/data/raw/pmf/LiDS-1/NaCl/pullf-files.dat</x:v>
      </x:c>
      <x:c r="B161" s="31" t="str">
        <x:v>01_computational_discovery/umbrella/analysis_archive_20260725/paired_pmf/LiDS-1/NaCl/pullf-files.dat</x:v>
      </x:c>
      <x:c r="C161" s="32" t="n">
        <x:v>3840</x:v>
      </x:c>
      <x:c r="D161" s="33" t="str">
        <x:v>165e330cc349acc004e6516298f20edcb1b9376a30d1324306f38e094851fc3b</x:v>
      </x:c>
      <x:c r="E161" s="34" t="str">
        <x:v>pmf_evidence</x:v>
      </x:c>
    </x:row>
    <x:row r="162" ht="34" customHeight="1">
      <x:c r="A162" s="30" t="str">
        <x:v>01_computational_discovery/data/raw/pmf/LiDS-1/NaCl/tpr-files.dat</x:v>
      </x:c>
      <x:c r="B162" s="31" t="str">
        <x:v>01_computational_discovery/umbrella/analysis_archive_20260725/paired_pmf/LiDS-1/NaCl/tpr-files.dat</x:v>
      </x:c>
      <x:c r="C162" s="32" t="n">
        <x:v>3660</x:v>
      </x:c>
      <x:c r="D162" s="33" t="str">
        <x:v>c4d1fa0aee237b6bd9e0d0f78a6098b63a9d9d8139dfb0b524dc953627ac380c</x:v>
      </x:c>
      <x:c r="E162" s="34" t="str">
        <x:v>pmf_evidence</x:v>
      </x:c>
    </x:row>
    <x:row r="163" ht="34" customHeight="1">
      <x:c r="A163" s="30" t="str">
        <x:v>01_computational_discovery/data/raw/pmf/LiDS-1/NaCl/wham_full.log</x:v>
      </x:c>
      <x:c r="B163" s="31" t="str">
        <x:v>01_computational_discovery/umbrella/analysis_archive_20260725/paired_pmf/LiDS-1/NaCl/wham_full.log</x:v>
      </x:c>
      <x:c r="C163" s="32" t="n">
        <x:v>7940511</x:v>
      </x:c>
      <x:c r="D163" s="33" t="str">
        <x:v>b9f2df09f5ff0719ad9dd6db876d87f6f0f91e4be59def4b563e6aca3edc777a</x:v>
      </x:c>
      <x:c r="E163" s="34" t="str">
        <x:v>wham_log</x:v>
      </x:c>
    </x:row>
    <x:row r="164" ht="34" customHeight="1">
      <x:c r="A164" s="30" t="str">
        <x:v>01_computational_discovery/data/raw/pmf/LiDS-1/paired_qc.tsv</x:v>
      </x:c>
      <x:c r="B164" s="31" t="str">
        <x:v>01_computational_discovery/umbrella/analysis_archive_20260725/paired_pmf/LiDS-1/LiDS-1_paired_qc.tsv</x:v>
      </x:c>
      <x:c r="C164" s="32" t="n">
        <x:v>893</x:v>
      </x:c>
      <x:c r="D164" s="33" t="str">
        <x:v>aace51610686761dc278b345d33fc08ff45bca10720ed2516c704bd312b1e378</x:v>
      </x:c>
      <x:c r="E164" s="34" t="str">
        <x:v>paired_qc</x:v>
      </x:c>
    </x:row>
    <x:row r="165" ht="34" customHeight="1">
      <x:c r="A165" s="30" t="str">
        <x:v>01_computational_discovery/data/raw/pmf/LiDS-1/paired_regions.tsv</x:v>
      </x:c>
      <x:c r="B165" s="31" t="str">
        <x:v>01_computational_discovery/umbrella/analysis_archive_20260725/paired_pmf/LiDS-1/paired_regions.tsv</x:v>
      </x:c>
      <x:c r="C165" s="32" t="n">
        <x:v>211</x:v>
      </x:c>
      <x:c r="D165" s="33" t="str">
        <x:v>c17c41193c4d078dc30df6e447461477a8259525bb127554d53e19cff74d146e</x:v>
      </x:c>
      <x:c r="E165" s="34" t="str">
        <x:v>paired_regions</x:v>
      </x:c>
    </x:row>
    <x:row r="166" ht="34" customHeight="1">
      <x:c r="A166" s="30" t="str">
        <x:v>01_computational_discovery/data/raw/pmf/LiLC-1/LiCl/analysis_times.tsv</x:v>
      </x:c>
      <x:c r="B166" s="31" t="str">
        <x:v>01_computational_discovery/umbrella/analysis_archive_20260725/paired_pmf/LiLC-1/LiCl/analysis_times.tsv</x:v>
      </x:c>
      <x:c r="C166" s="32" t="n">
        <x:v>154</x:v>
      </x:c>
      <x:c r="D166" s="33" t="str">
        <x:v>99bb2eba7f9ea4e0ec1d94935a67cbd218812023006103fc0db9e39b93567f07</x:v>
      </x:c>
      <x:c r="E166" s="34" t="str">
        <x:v>pmf_evidence</x:v>
      </x:c>
    </x:row>
    <x:row r="167" ht="34" customHeight="1">
      <x:c r="A167" s="30" t="str">
        <x:v>01_computational_discovery/data/raw/pmf/LiLC-1/LiCl/bootstrap_std.xvg</x:v>
      </x:c>
      <x:c r="B167" s="31" t="str">
        <x:v>01_computational_discovery/umbrella/analysis_archive_20260725/paired_pmf/LiLC-1/LiCl/bootstrap_std.xvg</x:v>
      </x:c>
      <x:c r="C167" s="32" t="n">
        <x:v>8754</x:v>
      </x:c>
      <x:c r="D167" s="33" t="str">
        <x:v>f5bc282c27673a76c854b17980fbc713d9735f72eb9b5480f3acce154f67491f</x:v>
      </x:c>
      <x:c r="E167" s="34" t="str">
        <x:v>pmf_evidence</x:v>
      </x:c>
    </x:row>
    <x:row r="168" ht="34" customHeight="1">
      <x:c r="A168" s="30" t="str">
        <x:v>01_computational_discovery/data/raw/pmf/LiLC-1/LiCl/histo_full.xvg</x:v>
      </x:c>
      <x:c r="B168" s="31" t="str">
        <x:v>01_computational_discovery/umbrella/analysis_archive_20260725/paired_pmf/LiLC-1/LiCl/histo_full.xvg</x:v>
      </x:c>
      <x:c r="C168" s="32" t="n">
        <x:v>81524</x:v>
      </x:c>
      <x:c r="D168" s="33" t="str">
        <x:v>dedb87d8b89029bd9738072ed4fa0d0e3b57026ce55c83d2dce77aad52bf4637</x:v>
      </x:c>
      <x:c r="E168" s="34" t="str">
        <x:v>pmf_evidence</x:v>
      </x:c>
    </x:row>
    <x:row r="169" ht="34" customHeight="1">
      <x:c r="A169" s="30" t="str">
        <x:v>01_computational_discovery/data/raw/pmf/LiLC-1/LiCl/iact_full.xvg</x:v>
      </x:c>
      <x:c r="B169" s="31" t="str">
        <x:v>01_computational_discovery/umbrella/analysis_archive_20260725/paired_pmf/LiLC-1/LiCl/iact_full.xvg</x:v>
      </x:c>
      <x:c r="C169" s="32" t="n">
        <x:v>2009</x:v>
      </x:c>
      <x:c r="D169" s="33" t="str">
        <x:v>a2afaea888d5012d40a3fb35f557f1dffa8cff57259a3541af0bfc4d0d26fa74</x:v>
      </x:c>
      <x:c r="E169" s="34" t="str">
        <x:v>pmf_evidence</x:v>
      </x:c>
    </x:row>
    <x:row r="170" ht="34" customHeight="1">
      <x:c r="A170" s="30" t="str">
        <x:v>01_computational_discovery/data/raw/pmf/LiLC-1/LiCl/profile_burnin_12p5.xvg</x:v>
      </x:c>
      <x:c r="B170" s="31" t="str">
        <x:v>01_computational_discovery/umbrella/analysis_archive_20260725/paired_pmf/LiLC-1/LiCl/profile_burnin_12p5.xvg</x:v>
      </x:c>
      <x:c r="C170" s="32" t="n">
        <x:v>6049</x:v>
      </x:c>
      <x:c r="D170" s="33" t="str">
        <x:v>080a0faede52e0773819cee7e95e3484738db8aaa81b92c1c070831c545d2d2d</x:v>
      </x:c>
      <x:c r="E170" s="34" t="str">
        <x:v>pmf_evidence</x:v>
      </x:c>
    </x:row>
    <x:row r="171" ht="34" customHeight="1">
      <x:c r="A171" s="30" t="str">
        <x:v>01_computational_discovery/data/raw/pmf/LiLC-1/LiCl/profile_burnin_25.xvg</x:v>
      </x:c>
      <x:c r="B171" s="31" t="str">
        <x:v>01_computational_discovery/umbrella/analysis_archive_20260725/paired_pmf/LiLC-1/LiCl/profile_burnin_25.xvg</x:v>
      </x:c>
      <x:c r="C171" s="32" t="n">
        <x:v>6044</x:v>
      </x:c>
      <x:c r="D171" s="33" t="str">
        <x:v>540e031b88d91e32557ec01987497eef3e18b25187b1b85bd3833ff264098b92</x:v>
      </x:c>
      <x:c r="E171" s="34" t="str">
        <x:v>pmf_evidence</x:v>
      </x:c>
    </x:row>
    <x:row r="172" ht="34" customHeight="1">
      <x:c r="A172" s="30" t="str">
        <x:v>01_computational_discovery/data/raw/pmf/LiLC-1/LiCl/profile_full.xvg</x:v>
      </x:c>
      <x:c r="B172" s="31" t="str">
        <x:v>01_computational_discovery/umbrella/analysis_archive_20260725/paired_pmf/LiLC-1/LiCl/profile_full.xvg</x:v>
      </x:c>
      <x:c r="C172" s="32" t="n">
        <x:v>6132</x:v>
      </x:c>
      <x:c r="D172" s="33" t="str">
        <x:v>33b8ff9203be5bc7c68dea8efe742b443a349511eadd6a47328b3cc143803944</x:v>
      </x:c>
      <x:c r="E172" s="34" t="str">
        <x:v>pmf_evidence</x:v>
      </x:c>
    </x:row>
    <x:row r="173" ht="34" customHeight="1">
      <x:c r="A173" s="30" t="str">
        <x:v>01_computational_discovery/data/raw/pmf/LiLC-1/LiCl/profile_half_early.xvg</x:v>
      </x:c>
      <x:c r="B173" s="31" t="str">
        <x:v>01_computational_discovery/umbrella/analysis_archive_20260725/paired_pmf/LiLC-1/LiCl/profile_half_early.xvg</x:v>
      </x:c>
      <x:c r="C173" s="32" t="n">
        <x:v>6044</x:v>
      </x:c>
      <x:c r="D173" s="33" t="str">
        <x:v>71e4c85b16ad21c8c652206800a42c6ddd283be7a5a94e60561e69f7fe78e4ed</x:v>
      </x:c>
      <x:c r="E173" s="34" t="str">
        <x:v>pmf_evidence</x:v>
      </x:c>
    </x:row>
    <x:row r="174" ht="34" customHeight="1">
      <x:c r="A174" s="30" t="str">
        <x:v>01_computational_discovery/data/raw/pmf/LiLC-1/LiCl/profile_half_late.xvg</x:v>
      </x:c>
      <x:c r="B174" s="31" t="str">
        <x:v>01_computational_discovery/umbrella/analysis_archive_20260725/paired_pmf/LiLC-1/LiCl/profile_half_late.xvg</x:v>
      </x:c>
      <x:c r="C174" s="32" t="n">
        <x:v>6045</x:v>
      </x:c>
      <x:c r="D174" s="33" t="str">
        <x:v>8e4543c812dd02b902e9966fe52906c09ce7aa8e9803175b183e66b7c05789aa</x:v>
      </x:c>
      <x:c r="E174" s="34" t="str">
        <x:v>pmf_evidence</x:v>
      </x:c>
    </x:row>
    <x:row r="175" ht="34" customHeight="1">
      <x:c r="A175" s="30" t="str">
        <x:v>01_computational_discovery/data/raw/pmf/LiLC-1/LiCl/pullf-files.dat</x:v>
      </x:c>
      <x:c r="B175" s="31" t="str">
        <x:v>01_computational_discovery/umbrella/analysis_archive_20260725/paired_pmf/LiLC-1/LiCl/pullf-files.dat</x:v>
      </x:c>
      <x:c r="C175" s="32" t="n">
        <x:v>3480</x:v>
      </x:c>
      <x:c r="D175" s="33" t="str">
        <x:v>1cdb5d8781b6313e356014a276b3f63965c22e75180e4054d4fae007a0d93531</x:v>
      </x:c>
      <x:c r="E175" s="34" t="str">
        <x:v>pmf_evidence</x:v>
      </x:c>
    </x:row>
    <x:row r="176" ht="34" customHeight="1">
      <x:c r="A176" s="30" t="str">
        <x:v>01_computational_discovery/data/raw/pmf/LiLC-1/LiCl/tpr-files.dat</x:v>
      </x:c>
      <x:c r="B176" s="31" t="str">
        <x:v>01_computational_discovery/umbrella/analysis_archive_20260725/paired_pmf/LiLC-1/LiCl/tpr-files.dat</x:v>
      </x:c>
      <x:c r="C176" s="32" t="n">
        <x:v>3300</x:v>
      </x:c>
      <x:c r="D176" s="33" t="str">
        <x:v>c9d12a46be8ce4ae97b3a58104380c53a7200bcfa195067b64419feab4398e83</x:v>
      </x:c>
      <x:c r="E176" s="34" t="str">
        <x:v>pmf_evidence</x:v>
      </x:c>
    </x:row>
    <x:row r="177" ht="34" customHeight="1">
      <x:c r="A177" s="30" t="str">
        <x:v>01_computational_discovery/data/raw/pmf/LiLC-1/LiCl/wham_full.log</x:v>
      </x:c>
      <x:c r="B177" s="31" t="str">
        <x:v>01_computational_discovery/umbrella/analysis_archive_20260725/paired_pmf/LiLC-1/LiCl/wham_full.log</x:v>
      </x:c>
      <x:c r="C177" s="32" t="n">
        <x:v>6548390</x:v>
      </x:c>
      <x:c r="D177" s="33" t="str">
        <x:v>bc45a12b25e87e16f0a55f734b351e96ee12aae457f8d9c890d322a5eb2accbc</x:v>
      </x:c>
      <x:c r="E177" s="34" t="str">
        <x:v>wham_log</x:v>
      </x:c>
    </x:row>
    <x:row r="178" ht="34" customHeight="1">
      <x:c r="A178" s="30" t="str">
        <x:v>01_computational_discovery/data/raw/pmf/LiLC-1/NaCl/analysis_times.tsv</x:v>
      </x:c>
      <x:c r="B178" s="31" t="str">
        <x:v>01_computational_discovery/umbrella/analysis_archive_20260725/paired_pmf/LiLC-1/NaCl/analysis_times.tsv</x:v>
      </x:c>
      <x:c r="C178" s="32" t="n">
        <x:v>154</x:v>
      </x:c>
      <x:c r="D178" s="33" t="str">
        <x:v>99bb2eba7f9ea4e0ec1d94935a67cbd218812023006103fc0db9e39b93567f07</x:v>
      </x:c>
      <x:c r="E178" s="34" t="str">
        <x:v>pmf_evidence</x:v>
      </x:c>
    </x:row>
    <x:row r="179" ht="34" customHeight="1">
      <x:c r="A179" s="30" t="str">
        <x:v>01_computational_discovery/data/raw/pmf/LiLC-1/NaCl/bootstrap_std.xvg</x:v>
      </x:c>
      <x:c r="B179" s="31" t="str">
        <x:v>01_computational_discovery/umbrella/analysis_archive_20260725/paired_pmf/LiLC-1/NaCl/bootstrap_std.xvg</x:v>
      </x:c>
      <x:c r="C179" s="32" t="n">
        <x:v>8741</x:v>
      </x:c>
      <x:c r="D179" s="33" t="str">
        <x:v>afd004f050fbd107d5b73022d0148f40bef1ec9169950bb78260ad5a934635ef</x:v>
      </x:c>
      <x:c r="E179" s="34" t="str">
        <x:v>pmf_evidence</x:v>
      </x:c>
    </x:row>
    <x:row r="180" ht="34" customHeight="1">
      <x:c r="A180" s="30" t="str">
        <x:v>01_computational_discovery/data/raw/pmf/LiLC-1/NaCl/histo_full.xvg</x:v>
      </x:c>
      <x:c r="B180" s="31" t="str">
        <x:v>01_computational_discovery/umbrella/analysis_archive_20260725/paired_pmf/LiLC-1/NaCl/histo_full.xvg</x:v>
      </x:c>
      <x:c r="C180" s="32" t="n">
        <x:v>81537</x:v>
      </x:c>
      <x:c r="D180" s="33" t="str">
        <x:v>66ad9b68a895e613c5df90e81b2b6f8b792c8b9b00784ec366cc3c97389f36d0</x:v>
      </x:c>
      <x:c r="E180" s="34" t="str">
        <x:v>pmf_evidence</x:v>
      </x:c>
    </x:row>
    <x:row r="181" ht="34" customHeight="1">
      <x:c r="A181" s="30" t="str">
        <x:v>01_computational_discovery/data/raw/pmf/LiLC-1/NaCl/iact_full.xvg</x:v>
      </x:c>
      <x:c r="B181" s="31" t="str">
        <x:v>01_computational_discovery/umbrella/analysis_archive_20260725/paired_pmf/LiLC-1/NaCl/iact_full.xvg</x:v>
      </x:c>
      <x:c r="C181" s="32" t="n">
        <x:v>2022</x:v>
      </x:c>
      <x:c r="D181" s="33" t="str">
        <x:v>b28975ece13f41e0855f56c5b6bbf293a1be1ae8caba5067fd86ee405ae58fa7</x:v>
      </x:c>
      <x:c r="E181" s="34" t="str">
        <x:v>pmf_evidence</x:v>
      </x:c>
    </x:row>
    <x:row r="182" ht="34" customHeight="1">
      <x:c r="A182" s="30" t="str">
        <x:v>01_computational_discovery/data/raw/pmf/LiLC-1/NaCl/profile_burnin_12p5.xvg</x:v>
      </x:c>
      <x:c r="B182" s="31" t="str">
        <x:v>01_computational_discovery/umbrella/analysis_archive_20260725/paired_pmf/LiLC-1/NaCl/profile_burnin_12p5.xvg</x:v>
      </x:c>
      <x:c r="C182" s="32" t="n">
        <x:v>6032</x:v>
      </x:c>
      <x:c r="D182" s="33" t="str">
        <x:v>92131155c7bf51133e4f197e600d7230d47dbedf6649bb37558b80c79f8065a3</x:v>
      </x:c>
      <x:c r="E182" s="34" t="str">
        <x:v>pmf_evidence</x:v>
      </x:c>
    </x:row>
    <x:row r="183" ht="34" customHeight="1">
      <x:c r="A183" s="30" t="str">
        <x:v>01_computational_discovery/data/raw/pmf/LiLC-1/NaCl/profile_burnin_25.xvg</x:v>
      </x:c>
      <x:c r="B183" s="31" t="str">
        <x:v>01_computational_discovery/umbrella/analysis_archive_20260725/paired_pmf/LiLC-1/NaCl/profile_burnin_25.xvg</x:v>
      </x:c>
      <x:c r="C183" s="32" t="n">
        <x:v>6057</x:v>
      </x:c>
      <x:c r="D183" s="33" t="str">
        <x:v>1bdc557832ec4f2415ef9f5515eb657e1d0a29ca27ba19d8a529fff0bae3bf84</x:v>
      </x:c>
      <x:c r="E183" s="34" t="str">
        <x:v>pmf_evidence</x:v>
      </x:c>
    </x:row>
    <x:row r="184" ht="34" customHeight="1">
      <x:c r="A184" s="30" t="str">
        <x:v>01_computational_discovery/data/raw/pmf/LiLC-1/NaCl/profile_full.xvg</x:v>
      </x:c>
      <x:c r="B184" s="31" t="str">
        <x:v>01_computational_discovery/umbrella/analysis_archive_20260725/paired_pmf/LiLC-1/NaCl/profile_full.xvg</x:v>
      </x:c>
      <x:c r="C184" s="32" t="n">
        <x:v>6146</x:v>
      </x:c>
      <x:c r="D184" s="33" t="str">
        <x:v>5a6cbc58421eca5590550548da659e1e9508544afe920b87088e9200d4d0264a</x:v>
      </x:c>
      <x:c r="E184" s="34" t="str">
        <x:v>pmf_evidence</x:v>
      </x:c>
    </x:row>
    <x:row r="185" ht="34" customHeight="1">
      <x:c r="A185" s="30" t="str">
        <x:v>01_computational_discovery/data/raw/pmf/LiLC-1/NaCl/profile_half_early.xvg</x:v>
      </x:c>
      <x:c r="B185" s="31" t="str">
        <x:v>01_computational_discovery/umbrella/analysis_archive_20260725/paired_pmf/LiLC-1/NaCl/profile_half_early.xvg</x:v>
      </x:c>
      <x:c r="C185" s="32" t="n">
        <x:v>6058</x:v>
      </x:c>
      <x:c r="D185" s="33" t="str">
        <x:v>84b3b533170c52b05843cf57befd7f394c6bdd4533218f0aece6c7c89c2d615a</x:v>
      </x:c>
      <x:c r="E185" s="34" t="str">
        <x:v>pmf_evidence</x:v>
      </x:c>
    </x:row>
    <x:row r="186" ht="34" customHeight="1">
      <x:c r="A186" s="30" t="str">
        <x:v>01_computational_discovery/data/raw/pmf/LiLC-1/NaCl/profile_half_late.xvg</x:v>
      </x:c>
      <x:c r="B186" s="31" t="str">
        <x:v>01_computational_discovery/umbrella/analysis_archive_20260725/paired_pmf/LiLC-1/NaCl/profile_half_late.xvg</x:v>
      </x:c>
      <x:c r="C186" s="32" t="n">
        <x:v>6064</x:v>
      </x:c>
      <x:c r="D186" s="33" t="str">
        <x:v>894461d9f2cc79a1d081c2cff11bbff4b42281e82eb44651833fd6774aaad99f</x:v>
      </x:c>
      <x:c r="E186" s="34" t="str">
        <x:v>pmf_evidence</x:v>
      </x:c>
    </x:row>
    <x:row r="187" ht="34" customHeight="1">
      <x:c r="A187" s="30" t="str">
        <x:v>01_computational_discovery/data/raw/pmf/LiLC-1/NaCl/pullf-files.dat</x:v>
      </x:c>
      <x:c r="B187" s="31" t="str">
        <x:v>01_computational_discovery/umbrella/analysis_archive_20260725/paired_pmf/LiLC-1/NaCl/pullf-files.dat</x:v>
      </x:c>
      <x:c r="C187" s="32" t="n">
        <x:v>3840</x:v>
      </x:c>
      <x:c r="D187" s="33" t="str">
        <x:v>4041e64b683d23ea19dd1718b2df3aeaaf8d4e4097f4025ac10e6b9a249ab6ba</x:v>
      </x:c>
      <x:c r="E187" s="34" t="str">
        <x:v>pmf_evidence</x:v>
      </x:c>
    </x:row>
    <x:row r="188" ht="34" customHeight="1">
      <x:c r="A188" s="30" t="str">
        <x:v>01_computational_discovery/data/raw/pmf/LiLC-1/NaCl/tpr-files.dat</x:v>
      </x:c>
      <x:c r="B188" s="31" t="str">
        <x:v>01_computational_discovery/umbrella/analysis_archive_20260725/paired_pmf/LiLC-1/NaCl/tpr-files.dat</x:v>
      </x:c>
      <x:c r="C188" s="32" t="n">
        <x:v>3660</x:v>
      </x:c>
      <x:c r="D188" s="33" t="str">
        <x:v>6e2c1ccd6b1519889b005359ad6db711008de1c4b9e300d878d3fcc3fdc778d3</x:v>
      </x:c>
      <x:c r="E188" s="34" t="str">
        <x:v>pmf_evidence</x:v>
      </x:c>
    </x:row>
    <x:row r="189" ht="34" customHeight="1">
      <x:c r="A189" s="30" t="str">
        <x:v>01_computational_discovery/data/raw/pmf/LiLC-1/NaCl/wham_full.log</x:v>
      </x:c>
      <x:c r="B189" s="31" t="str">
        <x:v>01_computational_discovery/umbrella/analysis_archive_20260725/paired_pmf/LiLC-1/NaCl/wham_full.log</x:v>
      </x:c>
      <x:c r="C189" s="32" t="n">
        <x:v>6713464</x:v>
      </x:c>
      <x:c r="D189" s="33" t="str">
        <x:v>d53dfd554b6134c9c4b0c58ef24f54309a1e734ee28a6157ffb815216e0e31e8</x:v>
      </x:c>
      <x:c r="E189" s="34" t="str">
        <x:v>wham_log</x:v>
      </x:c>
    </x:row>
    <x:row r="190" ht="34" customHeight="1">
      <x:c r="A190" s="30" t="str">
        <x:v>01_computational_discovery/data/raw/pmf/LiLC-1/paired_qc.tsv</x:v>
      </x:c>
      <x:c r="B190" s="31" t="str">
        <x:v>01_computational_discovery/umbrella/analysis_archive_20260725/paired_pmf/LiLC-1/LiLC-1_paired_qc.tsv</x:v>
      </x:c>
      <x:c r="C190" s="32" t="n">
        <x:v>890</x:v>
      </x:c>
      <x:c r="D190" s="33" t="str">
        <x:v>1fb108a82c4bbc3bc94285d8d6376c3aec7bcd40d898e26556d9676a492f4dea</x:v>
      </x:c>
      <x:c r="E190" s="34" t="str">
        <x:v>paired_qc</x:v>
      </x:c>
    </x:row>
    <x:row r="191" ht="34" customHeight="1">
      <x:c r="A191" s="30" t="str">
        <x:v>01_computational_discovery/data/raw/pmf/LiLC-1/paired_regions.tsv</x:v>
      </x:c>
      <x:c r="B191" s="31" t="str">
        <x:v>01_computational_discovery/umbrella/analysis_archive_20260725/paired_pmf/LiLC-1/paired_regions.tsv</x:v>
      </x:c>
      <x:c r="C191" s="32" t="n">
        <x:v>213</x:v>
      </x:c>
      <x:c r="D191" s="33" t="str">
        <x:v>6e1c6b9b532a59ca483ddfba57bec95e94091f23719e183197a2ea01d02b85b4</x:v>
      </x:c>
      <x:c r="E191" s="34" t="str">
        <x:v>paired_regions</x:v>
      </x:c>
    </x:row>
    <x:row r="192" ht="34" customHeight="1">
      <x:c r="A192" s="30" t="str">
        <x:v>01_computational_discovery/data/raw/pmf/LiN3-Core/LiCl/analysis_times.tsv</x:v>
      </x:c>
      <x:c r="B192" s="31" t="str">
        <x:v>01_computational_discovery/umbrella/analysis_archive_20260725/paired_pmf/LiN3-Core/LiCl/analysis_times.tsv</x:v>
      </x:c>
      <x:c r="C192" s="32" t="n">
        <x:v>154</x:v>
      </x:c>
      <x:c r="D192" s="33" t="str">
        <x:v>99bb2eba7f9ea4e0ec1d94935a67cbd218812023006103fc0db9e39b93567f07</x:v>
      </x:c>
      <x:c r="E192" s="34" t="str">
        <x:v>pmf_evidence</x:v>
      </x:c>
    </x:row>
    <x:row r="193" ht="34" customHeight="1">
      <x:c r="A193" s="30" t="str">
        <x:v>01_computational_discovery/data/raw/pmf/LiN3-Core/LiCl/bootstrap_std.xvg</x:v>
      </x:c>
      <x:c r="B193" s="31" t="str">
        <x:v>01_computational_discovery/umbrella/analysis_archive_20260725/paired_pmf/LiN3-Core/LiCl/bootstrap_std.xvg</x:v>
      </x:c>
      <x:c r="C193" s="32" t="n">
        <x:v>8764</x:v>
      </x:c>
      <x:c r="D193" s="33" t="str">
        <x:v>b7c43a18917c226bcf8e564c230abb9930d6f3617fa9c728acf415e6af9f5f74</x:v>
      </x:c>
      <x:c r="E193" s="34" t="str">
        <x:v>pmf_evidence</x:v>
      </x:c>
    </x:row>
    <x:row r="194" ht="34" customHeight="1">
      <x:c r="A194" s="30" t="str">
        <x:v>01_computational_discovery/data/raw/pmf/LiN3-Core/LiCl/histo_full.xvg</x:v>
      </x:c>
      <x:c r="B194" s="31" t="str">
        <x:v>01_computational_discovery/umbrella/analysis_archive_20260725/paired_pmf/LiN3-Core/LiCl/histo_full.xvg</x:v>
      </x:c>
      <x:c r="C194" s="32" t="n">
        <x:v>81527</x:v>
      </x:c>
      <x:c r="D194" s="33" t="str">
        <x:v>d69b68b0b3b3a61744483efa7077dcdcfccb8a72478f23c2292c0461f8d75d31</x:v>
      </x:c>
      <x:c r="E194" s="34" t="str">
        <x:v>pmf_evidence</x:v>
      </x:c>
    </x:row>
    <x:row r="195" ht="34" customHeight="1">
      <x:c r="A195" s="30" t="str">
        <x:v>01_computational_discovery/data/raw/pmf/LiN3-Core/LiCl/iact_full.xvg</x:v>
      </x:c>
      <x:c r="B195" s="31" t="str">
        <x:v>01_computational_discovery/umbrella/analysis_archive_20260725/paired_pmf/LiN3-Core/LiCl/iact_full.xvg</x:v>
      </x:c>
      <x:c r="C195" s="32" t="n">
        <x:v>2012</x:v>
      </x:c>
      <x:c r="D195" s="33" t="str">
        <x:v>9e76e1f457bbaccb8a8adadd68755ad79704723ae5c57aeac1f7794da28f9354</x:v>
      </x:c>
      <x:c r="E195" s="34" t="str">
        <x:v>pmf_evidence</x:v>
      </x:c>
    </x:row>
    <x:row r="196" ht="34" customHeight="1">
      <x:c r="A196" s="30" t="str">
        <x:v>01_computational_discovery/data/raw/pmf/LiN3-Core/LiCl/profile_burnin_12p5.xvg</x:v>
      </x:c>
      <x:c r="B196" s="31" t="str">
        <x:v>01_computational_discovery/umbrella/analysis_archive_20260725/paired_pmf/LiN3-Core/LiCl/profile_burnin_12p5.xvg</x:v>
      </x:c>
      <x:c r="C196" s="32" t="n">
        <x:v>6057</x:v>
      </x:c>
      <x:c r="D196" s="33" t="str">
        <x:v>04d092eb762ba4fa236d7cb8b776e4bdfa30576d7c6a6a937e9d24410b226ed7</x:v>
      </x:c>
      <x:c r="E196" s="34" t="str">
        <x:v>pmf_evidence</x:v>
      </x:c>
    </x:row>
    <x:row r="197" ht="34" customHeight="1">
      <x:c r="A197" s="30" t="str">
        <x:v>01_computational_discovery/data/raw/pmf/LiN3-Core/LiCl/profile_burnin_25.xvg</x:v>
      </x:c>
      <x:c r="B197" s="31" t="str">
        <x:v>01_computational_discovery/umbrella/analysis_archive_20260725/paired_pmf/LiN3-Core/LiCl/profile_burnin_25.xvg</x:v>
      </x:c>
      <x:c r="C197" s="32" t="n">
        <x:v>6051</x:v>
      </x:c>
      <x:c r="D197" s="33" t="str">
        <x:v>38544bf89888e21c62404e6edc604a74eb6fa5865c52557af7afae0968b3ac51</x:v>
      </x:c>
      <x:c r="E197" s="34" t="str">
        <x:v>pmf_evidence</x:v>
      </x:c>
    </x:row>
    <x:row r="198" ht="34" customHeight="1">
      <x:c r="A198" s="30" t="str">
        <x:v>01_computational_discovery/data/raw/pmf/LiN3-Core/LiCl/profile_full.xvg</x:v>
      </x:c>
      <x:c r="B198" s="31" t="str">
        <x:v>01_computational_discovery/umbrella/analysis_archive_20260725/paired_pmf/LiN3-Core/LiCl/profile_full.xvg</x:v>
      </x:c>
      <x:c r="C198" s="32" t="n">
        <x:v>6136</x:v>
      </x:c>
      <x:c r="D198" s="33" t="str">
        <x:v>3ef2483b643504d9feb3f2471d5212301cadbc2b4b2a902d3f5d2e5dc5e9c0e9</x:v>
      </x:c>
      <x:c r="E198" s="34" t="str">
        <x:v>pmf_evidence</x:v>
      </x:c>
    </x:row>
    <x:row r="199" ht="34" customHeight="1">
      <x:c r="A199" s="30" t="str">
        <x:v>01_computational_discovery/data/raw/pmf/LiN3-Core/LiCl/profile_half_early.xvg</x:v>
      </x:c>
      <x:c r="B199" s="31" t="str">
        <x:v>01_computational_discovery/umbrella/analysis_archive_20260725/paired_pmf/LiN3-Core/LiCl/profile_half_early.xvg</x:v>
      </x:c>
      <x:c r="C199" s="32" t="n">
        <x:v>6057</x:v>
      </x:c>
      <x:c r="D199" s="33" t="str">
        <x:v>7abaeeb8b96b5f2362d458b281d1ac03fffb98e864ba39acd92716ba311ae852</x:v>
      </x:c>
      <x:c r="E199" s="34" t="str">
        <x:v>pmf_evidence</x:v>
      </x:c>
    </x:row>
    <x:row r="200" ht="34" customHeight="1">
      <x:c r="A200" s="30" t="str">
        <x:v>01_computational_discovery/data/raw/pmf/LiN3-Core/LiCl/profile_half_late.xvg</x:v>
      </x:c>
      <x:c r="B200" s="31" t="str">
        <x:v>01_computational_discovery/umbrella/analysis_archive_20260725/paired_pmf/LiN3-Core/LiCl/profile_half_late.xvg</x:v>
      </x:c>
      <x:c r="C200" s="32" t="n">
        <x:v>6057</x:v>
      </x:c>
      <x:c r="D200" s="33" t="str">
        <x:v>357e421cbb4153b4f5041d352dafb462e4dae49b6fe210ef49b8ae56e725c4b4</x:v>
      </x:c>
      <x:c r="E200" s="34" t="str">
        <x:v>pmf_evidence</x:v>
      </x:c>
    </x:row>
    <x:row r="201" ht="34" customHeight="1">
      <x:c r="A201" s="30" t="str">
        <x:v>01_computational_discovery/data/raw/pmf/LiN3-Core/LiCl/pullf-files.dat</x:v>
      </x:c>
      <x:c r="B201" s="31" t="str">
        <x:v>01_computational_discovery/umbrella/analysis_archive_20260725/paired_pmf/LiN3-Core/LiCl/pullf-files.dat</x:v>
      </x:c>
      <x:c r="C201" s="32" t="n">
        <x:v>3570</x:v>
      </x:c>
      <x:c r="D201" s="33" t="str">
        <x:v>4e09017f9b428040361352ebcb0042b70005f9558913a8df6d3d1a21e56240c1</x:v>
      </x:c>
      <x:c r="E201" s="34" t="str">
        <x:v>pmf_evidence</x:v>
      </x:c>
    </x:row>
    <x:row r="202" ht="34" customHeight="1">
      <x:c r="A202" s="30" t="str">
        <x:v>01_computational_discovery/data/raw/pmf/LiN3-Core/LiCl/tpr-files.dat</x:v>
      </x:c>
      <x:c r="B202" s="31" t="str">
        <x:v>01_computational_discovery/umbrella/analysis_archive_20260725/paired_pmf/LiN3-Core/LiCl/tpr-files.dat</x:v>
      </x:c>
      <x:c r="C202" s="32" t="n">
        <x:v>3390</x:v>
      </x:c>
      <x:c r="D202" s="33" t="str">
        <x:v>12034bab4b5f624414df281a2a011667c60c75eb877da21518105fafc6f928e6</x:v>
      </x:c>
      <x:c r="E202" s="34" t="str">
        <x:v>pmf_evidence</x:v>
      </x:c>
    </x:row>
    <x:row r="203" ht="34" customHeight="1">
      <x:c r="A203" s="30" t="str">
        <x:v>01_computational_discovery/data/raw/pmf/LiN3-Core/LiCl/wham_full.log</x:v>
      </x:c>
      <x:c r="B203" s="31" t="str">
        <x:v>01_computational_discovery/umbrella/analysis_archive_20260725/paired_pmf/LiN3-Core/LiCl/wham_full.log</x:v>
      </x:c>
      <x:c r="C203" s="32" t="n">
        <x:v>6716281</x:v>
      </x:c>
      <x:c r="D203" s="33" t="str">
        <x:v>6d924c31ac9d1cfd1157953584a5970179502e2e7bfb56e67ef043356e6bfe0a</x:v>
      </x:c>
      <x:c r="E203" s="34" t="str">
        <x:v>wham_log</x:v>
      </x:c>
    </x:row>
    <x:row r="204" ht="34" customHeight="1">
      <x:c r="A204" s="30" t="str">
        <x:v>01_computational_discovery/data/raw/pmf/LiN3-Core/NaCl/analysis_times.tsv</x:v>
      </x:c>
      <x:c r="B204" s="31" t="str">
        <x:v>01_computational_discovery/umbrella/analysis_archive_20260725/paired_pmf/LiN3-Core/NaCl/analysis_times.tsv</x:v>
      </x:c>
      <x:c r="C204" s="32" t="n">
        <x:v>154</x:v>
      </x:c>
      <x:c r="D204" s="33" t="str">
        <x:v>99bb2eba7f9ea4e0ec1d94935a67cbd218812023006103fc0db9e39b93567f07</x:v>
      </x:c>
      <x:c r="E204" s="34" t="str">
        <x:v>pmf_evidence</x:v>
      </x:c>
    </x:row>
    <x:row r="205" ht="34" customHeight="1">
      <x:c r="A205" s="30" t="str">
        <x:v>01_computational_discovery/data/raw/pmf/LiN3-Core/NaCl/bootstrap_std.xvg</x:v>
      </x:c>
      <x:c r="B205" s="31" t="str">
        <x:v>01_computational_discovery/umbrella/analysis_archive_20260725/paired_pmf/LiN3-Core/NaCl/bootstrap_std.xvg</x:v>
      </x:c>
      <x:c r="C205" s="32" t="n">
        <x:v>8767</x:v>
      </x:c>
      <x:c r="D205" s="33" t="str">
        <x:v>20ea16f2abef10451de67209947f8a5cd3630d7016b1cd93ebe8cb269b3c6ae7</x:v>
      </x:c>
      <x:c r="E205" s="34" t="str">
        <x:v>pmf_evidence</x:v>
      </x:c>
    </x:row>
    <x:row r="206" ht="34" customHeight="1">
      <x:c r="A206" s="30" t="str">
        <x:v>01_computational_discovery/data/raw/pmf/LiN3-Core/NaCl/histo_full.xvg</x:v>
      </x:c>
      <x:c r="B206" s="31" t="str">
        <x:v>01_computational_discovery/umbrella/analysis_archive_20260725/paired_pmf/LiN3-Core/NaCl/histo_full.xvg</x:v>
      </x:c>
      <x:c r="C206" s="32" t="n">
        <x:v>81509</x:v>
      </x:c>
      <x:c r="D206" s="33" t="str">
        <x:v>e59a848b7b0d5b14f08f254d30f90dece163f2d618e6cc88921d79100d60dc2b</x:v>
      </x:c>
      <x:c r="E206" s="34" t="str">
        <x:v>pmf_evidence</x:v>
      </x:c>
    </x:row>
    <x:row r="207" ht="34" customHeight="1">
      <x:c r="A207" s="30" t="str">
        <x:v>01_computational_discovery/data/raw/pmf/LiN3-Core/NaCl/iact_full.xvg</x:v>
      </x:c>
      <x:c r="B207" s="31" t="str">
        <x:v>01_computational_discovery/umbrella/analysis_archive_20260725/paired_pmf/LiN3-Core/NaCl/iact_full.xvg</x:v>
      </x:c>
      <x:c r="C207" s="32" t="n">
        <x:v>1994</x:v>
      </x:c>
      <x:c r="D207" s="33" t="str">
        <x:v>c2844fbb3d63bb87aa9c11e10e0802b43ebb62295a3a584849e8f84e99f6b8d3</x:v>
      </x:c>
      <x:c r="E207" s="34" t="str">
        <x:v>pmf_evidence</x:v>
      </x:c>
    </x:row>
    <x:row r="208" ht="34" customHeight="1">
      <x:c r="A208" s="30" t="str">
        <x:v>01_computational_discovery/data/raw/pmf/LiN3-Core/NaCl/profile_burnin_12p5.xvg</x:v>
      </x:c>
      <x:c r="B208" s="31" t="str">
        <x:v>01_computational_discovery/umbrella/analysis_archive_20260725/paired_pmf/LiN3-Core/NaCl/profile_burnin_12p5.xvg</x:v>
      </x:c>
      <x:c r="C208" s="32" t="n">
        <x:v>6064</x:v>
      </x:c>
      <x:c r="D208" s="33" t="str">
        <x:v>0f5bc434741fa90764fda7d29336f5b75f3cc2253933c21aa120de350ccbe458</x:v>
      </x:c>
      <x:c r="E208" s="34" t="str">
        <x:v>pmf_evidence</x:v>
      </x:c>
    </x:row>
    <x:row r="209" ht="34" customHeight="1">
      <x:c r="A209" s="30" t="str">
        <x:v>01_computational_discovery/data/raw/pmf/LiN3-Core/NaCl/profile_burnin_25.xvg</x:v>
      </x:c>
      <x:c r="B209" s="31" t="str">
        <x:v>01_computational_discovery/umbrella/analysis_archive_20260725/paired_pmf/LiN3-Core/NaCl/profile_burnin_25.xvg</x:v>
      </x:c>
      <x:c r="C209" s="32" t="n">
        <x:v>6053</x:v>
      </x:c>
      <x:c r="D209" s="33" t="str">
        <x:v>e53f920b5af3385245a5d42268fd67c238469c40e60e5a72f004ddd1238283b2</x:v>
      </x:c>
      <x:c r="E209" s="34" t="str">
        <x:v>pmf_evidence</x:v>
      </x:c>
    </x:row>
    <x:row r="210" ht="34" customHeight="1">
      <x:c r="A210" s="30" t="str">
        <x:v>01_computational_discovery/data/raw/pmf/LiN3-Core/NaCl/profile_full.xvg</x:v>
      </x:c>
      <x:c r="B210" s="31" t="str">
        <x:v>01_computational_discovery/umbrella/analysis_archive_20260725/paired_pmf/LiN3-Core/NaCl/profile_full.xvg</x:v>
      </x:c>
      <x:c r="C210" s="32" t="n">
        <x:v>6113</x:v>
      </x:c>
      <x:c r="D210" s="33" t="str">
        <x:v>647e002445986382645c1f938d00309037b617e92de4cc977f7156aeeaf95b81</x:v>
      </x:c>
      <x:c r="E210" s="34" t="str">
        <x:v>pmf_evidence</x:v>
      </x:c>
    </x:row>
    <x:row r="211" ht="34" customHeight="1">
      <x:c r="A211" s="30" t="str">
        <x:v>01_computational_discovery/data/raw/pmf/LiN3-Core/NaCl/profile_half_early.xvg</x:v>
      </x:c>
      <x:c r="B211" s="31" t="str">
        <x:v>01_computational_discovery/umbrella/analysis_archive_20260725/paired_pmf/LiN3-Core/NaCl/profile_half_early.xvg</x:v>
      </x:c>
      <x:c r="C211" s="32" t="n">
        <x:v>6045</x:v>
      </x:c>
      <x:c r="D211" s="33" t="str">
        <x:v>77de642d0099e40a4f19c475b5159212a33cfbde0ba90460697655f6328c8804</x:v>
      </x:c>
      <x:c r="E211" s="34" t="str">
        <x:v>pmf_evidence</x:v>
      </x:c>
    </x:row>
    <x:row r="212" ht="34" customHeight="1">
      <x:c r="A212" s="30" t="str">
        <x:v>01_computational_discovery/data/raw/pmf/LiN3-Core/NaCl/profile_half_late.xvg</x:v>
      </x:c>
      <x:c r="B212" s="31" t="str">
        <x:v>01_computational_discovery/umbrella/analysis_archive_20260725/paired_pmf/LiN3-Core/NaCl/profile_half_late.xvg</x:v>
      </x:c>
      <x:c r="C212" s="32" t="n">
        <x:v>6054</x:v>
      </x:c>
      <x:c r="D212" s="33" t="str">
        <x:v>caef00d1f0ec9cbc7ec95789c403dbbeb4ecf1b114f9ee109b1a2bde5209b7d7</x:v>
      </x:c>
      <x:c r="E212" s="34" t="str">
        <x:v>pmf_evidence</x:v>
      </x:c>
    </x:row>
    <x:row r="213" ht="34" customHeight="1">
      <x:c r="A213" s="30" t="str">
        <x:v>01_computational_discovery/data/raw/pmf/LiN3-Core/NaCl/pullf-files.dat</x:v>
      </x:c>
      <x:c r="B213" s="31" t="str">
        <x:v>01_computational_discovery/umbrella/analysis_archive_20260725/paired_pmf/LiN3-Core/NaCl/pullf-files.dat</x:v>
      </x:c>
      <x:c r="C213" s="32" t="n">
        <x:v>3930</x:v>
      </x:c>
      <x:c r="D213" s="33" t="str">
        <x:v>ae046224d23744b094422d92029b8ce1aadd64e6f1b43761fefb3705d7ca611d</x:v>
      </x:c>
      <x:c r="E213" s="34" t="str">
        <x:v>pmf_evidence</x:v>
      </x:c>
    </x:row>
    <x:row r="214" ht="34" customHeight="1">
      <x:c r="A214" s="30" t="str">
        <x:v>01_computational_discovery/data/raw/pmf/LiN3-Core/NaCl/tpr-files.dat</x:v>
      </x:c>
      <x:c r="B214" s="31" t="str">
        <x:v>01_computational_discovery/umbrella/analysis_archive_20260725/paired_pmf/LiN3-Core/NaCl/tpr-files.dat</x:v>
      </x:c>
      <x:c r="C214" s="32" t="n">
        <x:v>3750</x:v>
      </x:c>
      <x:c r="D214" s="33" t="str">
        <x:v>0b50cfe15d048884596f7c0434db4db2cb8201c153b54bdf0cbc697ee495c795</x:v>
      </x:c>
      <x:c r="E214" s="34" t="str">
        <x:v>pmf_evidence</x:v>
      </x:c>
    </x:row>
    <x:row r="215" ht="34" customHeight="1">
      <x:c r="A215" s="30" t="str">
        <x:v>01_computational_discovery/data/raw/pmf/LiN3-Core/NaCl/wham_full.log</x:v>
      </x:c>
      <x:c r="B215" s="31" t="str">
        <x:v>01_computational_discovery/umbrella/analysis_archive_20260725/paired_pmf/LiN3-Core/NaCl/wham_full.log</x:v>
      </x:c>
      <x:c r="C215" s="32" t="n">
        <x:v>7111096</x:v>
      </x:c>
      <x:c r="D215" s="33" t="str">
        <x:v>98b02110fdd8d1c836241635fb34f809f6a5053bfafe890f3b112e4f86410e01</x:v>
      </x:c>
      <x:c r="E215" s="34" t="str">
        <x:v>wham_log</x:v>
      </x:c>
    </x:row>
    <x:row r="216" ht="34" customHeight="1">
      <x:c r="A216" s="30" t="str">
        <x:v>01_computational_discovery/data/raw/pmf/LiN3-Core/paired_qc.tsv</x:v>
      </x:c>
      <x:c r="B216" s="31" t="str">
        <x:v>01_computational_discovery/umbrella/analysis_archive_20260725/paired_pmf/LiN3-Core/LiN3-Core_paired_qc.tsv</x:v>
      </x:c>
      <x:c r="C216" s="32" t="n">
        <x:v>894</x:v>
      </x:c>
      <x:c r="D216" s="33" t="str">
        <x:v>df4efff01d27779a0b3f9bc16b77434b5b293988b132bf2e34a73b61e7e7e6b3</x:v>
      </x:c>
      <x:c r="E216" s="34" t="str">
        <x:v>paired_qc</x:v>
      </x:c>
    </x:row>
    <x:row r="217" ht="34" customHeight="1">
      <x:c r="A217" s="30" t="str">
        <x:v>01_computational_discovery/data/raw/pmf/LiN3-Core/paired_regions.tsv</x:v>
      </x:c>
      <x:c r="B217" s="31" t="str">
        <x:v>01_computational_discovery/umbrella/analysis_archive_20260725/paired_pmf/LiN3-Core/paired_regions.tsv</x:v>
      </x:c>
      <x:c r="C217" s="32" t="n">
        <x:v>214</x:v>
      </x:c>
      <x:c r="D217" s="33" t="str">
        <x:v>732e801218fe8636efca26a5969bb17ee7652be8b48e26b0727312f35ceeb6a2</x:v>
      </x:c>
      <x:c r="E217" s="34" t="str">
        <x:v>paired_regions</x:v>
      </x:c>
    </x:row>
    <x:row r="218" ht="34" customHeight="1">
      <x:c r="A218" s="30" t="str">
        <x:v>01_computational_discovery/data/raw/pmf/LiND-Hybrid/LiCl/analysis_times.tsv</x:v>
      </x:c>
      <x:c r="B218" s="31" t="str">
        <x:v>01_computational_discovery/umbrella/analysis_archive_20260725/paired_pmf/LiND-Hybrid/LiCl/analysis_times.tsv</x:v>
      </x:c>
      <x:c r="C218" s="32" t="n">
        <x:v>154</x:v>
      </x:c>
      <x:c r="D218" s="33" t="str">
        <x:v>99bb2eba7f9ea4e0ec1d94935a67cbd218812023006103fc0db9e39b93567f07</x:v>
      </x:c>
      <x:c r="E218" s="34" t="str">
        <x:v>pmf_evidence</x:v>
      </x:c>
    </x:row>
    <x:row r="219" ht="34" customHeight="1">
      <x:c r="A219" s="30" t="str">
        <x:v>01_computational_discovery/data/raw/pmf/LiND-Hybrid/LiCl/bootstrap_std.xvg</x:v>
      </x:c>
      <x:c r="B219" s="31" t="str">
        <x:v>01_computational_discovery/umbrella/analysis_archive_20260725/paired_pmf/LiND-Hybrid/LiCl/bootstrap_std.xvg</x:v>
      </x:c>
      <x:c r="C219" s="32" t="n">
        <x:v>8610</x:v>
      </x:c>
      <x:c r="D219" s="33" t="str">
        <x:v>7edbbf60008981ca93c5c3038e7d2b24c4df66a26e9db2b182fe5477e9a72708</x:v>
      </x:c>
      <x:c r="E219" s="34" t="str">
        <x:v>pmf_evidence</x:v>
      </x:c>
    </x:row>
    <x:row r="220" ht="34" customHeight="1">
      <x:c r="A220" s="30" t="str">
        <x:v>01_computational_discovery/data/raw/pmf/LiND-Hybrid/LiCl/histo_full.xvg</x:v>
      </x:c>
      <x:c r="B220" s="31" t="str">
        <x:v>01_computational_discovery/umbrella/analysis_archive_20260725/paired_pmf/LiND-Hybrid/LiCl/histo_full.xvg</x:v>
      </x:c>
      <x:c r="C220" s="32" t="n">
        <x:v>81548</x:v>
      </x:c>
      <x:c r="D220" s="33" t="str">
        <x:v>6d8ad41cd2b547f0d6919734aa3e38e4a028d1fe7a05e792ae45defcee25f25a</x:v>
      </x:c>
      <x:c r="E220" s="34" t="str">
        <x:v>pmf_evidence</x:v>
      </x:c>
    </x:row>
    <x:row r="221" ht="34" customHeight="1">
      <x:c r="A221" s="30" t="str">
        <x:v>01_computational_discovery/data/raw/pmf/LiND-Hybrid/LiCl/iact_full.xvg</x:v>
      </x:c>
      <x:c r="B221" s="31" t="str">
        <x:v>01_computational_discovery/umbrella/analysis_archive_20260725/paired_pmf/LiND-Hybrid/LiCl/iact_full.xvg</x:v>
      </x:c>
      <x:c r="C221" s="32" t="n">
        <x:v>2033</x:v>
      </x:c>
      <x:c r="D221" s="33" t="str">
        <x:v>24ae0585023a698df006c73ab76bc097de6992c952211278bf2e90168b8418e1</x:v>
      </x:c>
      <x:c r="E221" s="34" t="str">
        <x:v>pmf_evidence</x:v>
      </x:c>
    </x:row>
    <x:row r="222" ht="34" customHeight="1">
      <x:c r="A222" s="30" t="str">
        <x:v>01_computational_discovery/data/raw/pmf/LiND-Hybrid/LiCl/profile_burnin_12p5.xvg</x:v>
      </x:c>
      <x:c r="B222" s="31" t="str">
        <x:v>01_computational_discovery/umbrella/analysis_archive_20260725/paired_pmf/LiND-Hybrid/LiCl/profile_burnin_12p5.xvg</x:v>
      </x:c>
      <x:c r="C222" s="32" t="n">
        <x:v>6046</x:v>
      </x:c>
      <x:c r="D222" s="33" t="str">
        <x:v>539bea555c584d6e0c75d904713032d9c4799bcf438b94f9ec6e769fb147ea94</x:v>
      </x:c>
      <x:c r="E222" s="34" t="str">
        <x:v>pmf_evidence</x:v>
      </x:c>
    </x:row>
    <x:row r="223" ht="34" customHeight="1">
      <x:c r="A223" s="30" t="str">
        <x:v>01_computational_discovery/data/raw/pmf/LiND-Hybrid/LiCl/profile_burnin_25.xvg</x:v>
      </x:c>
      <x:c r="B223" s="31" t="str">
        <x:v>01_computational_discovery/umbrella/analysis_archive_20260725/paired_pmf/LiND-Hybrid/LiCl/profile_burnin_25.xvg</x:v>
      </x:c>
      <x:c r="C223" s="32" t="n">
        <x:v>6043</x:v>
      </x:c>
      <x:c r="D223" s="33" t="str">
        <x:v>1069befeceb63dbd84457b4f53d7a07d45df5b593c766b748f41a4aceedddc67</x:v>
      </x:c>
      <x:c r="E223" s="34" t="str">
        <x:v>pmf_evidence</x:v>
      </x:c>
    </x:row>
    <x:row r="224" ht="34" customHeight="1">
      <x:c r="A224" s="30" t="str">
        <x:v>01_computational_discovery/data/raw/pmf/LiND-Hybrid/LiCl/profile_full.xvg</x:v>
      </x:c>
      <x:c r="B224" s="31" t="str">
        <x:v>01_computational_discovery/umbrella/analysis_archive_20260725/paired_pmf/LiND-Hybrid/LiCl/profile_full.xvg</x:v>
      </x:c>
      <x:c r="C224" s="32" t="n">
        <x:v>6097</x:v>
      </x:c>
      <x:c r="D224" s="33" t="str">
        <x:v>a312d67fbc8b2f3c07b07150ad4f206195b619e634766df79e59bcc565d9de37</x:v>
      </x:c>
      <x:c r="E224" s="34" t="str">
        <x:v>pmf_evidence</x:v>
      </x:c>
    </x:row>
    <x:row r="225" ht="34" customHeight="1">
      <x:c r="A225" s="30" t="str">
        <x:v>01_computational_discovery/data/raw/pmf/LiND-Hybrid/LiCl/profile_half_early.xvg</x:v>
      </x:c>
      <x:c r="B225" s="31" t="str">
        <x:v>01_computational_discovery/umbrella/analysis_archive_20260725/paired_pmf/LiND-Hybrid/LiCl/profile_half_early.xvg</x:v>
      </x:c>
      <x:c r="C225" s="32" t="n">
        <x:v>6048</x:v>
      </x:c>
      <x:c r="D225" s="33" t="str">
        <x:v>1e26c0fa97f9b227a03ffb975da17241883a4f62a5fabc8ccddd372a0743a84a</x:v>
      </x:c>
      <x:c r="E225" s="34" t="str">
        <x:v>pmf_evidence</x:v>
      </x:c>
    </x:row>
    <x:row r="226" ht="34" customHeight="1">
      <x:c r="A226" s="30" t="str">
        <x:v>01_computational_discovery/data/raw/pmf/LiND-Hybrid/LiCl/profile_half_late.xvg</x:v>
      </x:c>
      <x:c r="B226" s="31" t="str">
        <x:v>01_computational_discovery/umbrella/analysis_archive_20260725/paired_pmf/LiND-Hybrid/LiCl/profile_half_late.xvg</x:v>
      </x:c>
      <x:c r="C226" s="32" t="n">
        <x:v>6013</x:v>
      </x:c>
      <x:c r="D226" s="33" t="str">
        <x:v>a3619fde61c28cacf2ca3020891666c5579630b4be8d1d996728786b2fcdfa6f</x:v>
      </x:c>
      <x:c r="E226" s="34" t="str">
        <x:v>pmf_evidence</x:v>
      </x:c>
    </x:row>
    <x:row r="227" ht="34" customHeight="1">
      <x:c r="A227" s="30" t="str">
        <x:v>01_computational_discovery/data/raw/pmf/LiND-Hybrid/LiCl/pullf-files.dat</x:v>
      </x:c>
      <x:c r="B227" s="31" t="str">
        <x:v>01_computational_discovery/umbrella/analysis_archive_20260725/paired_pmf/LiND-Hybrid/LiCl/pullf-files.dat</x:v>
      </x:c>
      <x:c r="C227" s="32" t="n">
        <x:v>3630</x:v>
      </x:c>
      <x:c r="D227" s="33" t="str">
        <x:v>65979ee04d0e0c7cae1705f375d20d4627250c1515f9df20ec7add1121480294</x:v>
      </x:c>
      <x:c r="E227" s="34" t="str">
        <x:v>pmf_evidence</x:v>
      </x:c>
    </x:row>
    <x:row r="228" ht="34" customHeight="1">
      <x:c r="A228" s="30" t="str">
        <x:v>01_computational_discovery/data/raw/pmf/LiND-Hybrid/LiCl/tpr-files.dat</x:v>
      </x:c>
      <x:c r="B228" s="31" t="str">
        <x:v>01_computational_discovery/umbrella/analysis_archive_20260725/paired_pmf/LiND-Hybrid/LiCl/tpr-files.dat</x:v>
      </x:c>
      <x:c r="C228" s="32" t="n">
        <x:v>3450</x:v>
      </x:c>
      <x:c r="D228" s="33" t="str">
        <x:v>4375392682890cb88e0eb6f5a3b79ca941c300732bd906e0df09c87385948437</x:v>
      </x:c>
      <x:c r="E228" s="34" t="str">
        <x:v>pmf_evidence</x:v>
      </x:c>
    </x:row>
    <x:row r="229" ht="34" customHeight="1">
      <x:c r="A229" s="30" t="str">
        <x:v>01_computational_discovery/data/raw/pmf/LiND-Hybrid/LiCl/wham_full.log</x:v>
      </x:c>
      <x:c r="B229" s="31" t="str">
        <x:v>01_computational_discovery/umbrella/analysis_archive_20260725/paired_pmf/LiND-Hybrid/LiCl/wham_full.log</x:v>
      </x:c>
      <x:c r="C229" s="32" t="n">
        <x:v>6681693</x:v>
      </x:c>
      <x:c r="D229" s="33" t="str">
        <x:v>560d01efbea3aa7ac0a516f18bf359a5f132566221ce65112fc9b7f44a54b316</x:v>
      </x:c>
      <x:c r="E229" s="34" t="str">
        <x:v>wham_log</x:v>
      </x:c>
    </x:row>
    <x:row r="230" ht="34" customHeight="1">
      <x:c r="A230" s="30" t="str">
        <x:v>01_computational_discovery/data/raw/pmf/LiND-Hybrid/NaCl/analysis_times.tsv</x:v>
      </x:c>
      <x:c r="B230" s="31" t="str">
        <x:v>01_computational_discovery/umbrella/analysis_archive_20260725/paired_pmf/LiND-Hybrid/NaCl/analysis_times.tsv</x:v>
      </x:c>
      <x:c r="C230" s="32" t="n">
        <x:v>154</x:v>
      </x:c>
      <x:c r="D230" s="33" t="str">
        <x:v>99bb2eba7f9ea4e0ec1d94935a67cbd218812023006103fc0db9e39b93567f07</x:v>
      </x:c>
      <x:c r="E230" s="34" t="str">
        <x:v>pmf_evidence</x:v>
      </x:c>
    </x:row>
    <x:row r="231" ht="34" customHeight="1">
      <x:c r="A231" s="30" t="str">
        <x:v>01_computational_discovery/data/raw/pmf/LiND-Hybrid/NaCl/bootstrap_std.xvg</x:v>
      </x:c>
      <x:c r="B231" s="31" t="str">
        <x:v>01_computational_discovery/umbrella/analysis_archive_20260725/paired_pmf/LiND-Hybrid/NaCl/bootstrap_std.xvg</x:v>
      </x:c>
      <x:c r="C231" s="32" t="n">
        <x:v>8763</x:v>
      </x:c>
      <x:c r="D231" s="33" t="str">
        <x:v>ddfbef1aab61e2d52533b3907b21bec2696cd31a2509f2e217b6d3a1b8eba430</x:v>
      </x:c>
      <x:c r="E231" s="34" t="str">
        <x:v>pmf_evidence</x:v>
      </x:c>
    </x:row>
    <x:row r="232" ht="34" customHeight="1">
      <x:c r="A232" s="30" t="str">
        <x:v>01_computational_discovery/data/raw/pmf/LiND-Hybrid/NaCl/histo_full.xvg</x:v>
      </x:c>
      <x:c r="B232" s="31" t="str">
        <x:v>01_computational_discovery/umbrella/analysis_archive_20260725/paired_pmf/LiND-Hybrid/NaCl/histo_full.xvg</x:v>
      </x:c>
      <x:c r="C232" s="32" t="n">
        <x:v>81534</x:v>
      </x:c>
      <x:c r="D232" s="33" t="str">
        <x:v>e2f03eb5a18828f228c1cf089c882be820cc5611d9f39b44912c06654b6f046b</x:v>
      </x:c>
      <x:c r="E232" s="34" t="str">
        <x:v>pmf_evidence</x:v>
      </x:c>
    </x:row>
    <x:row r="233" ht="34" customHeight="1">
      <x:c r="A233" s="30" t="str">
        <x:v>01_computational_discovery/data/raw/pmf/LiND-Hybrid/NaCl/iact_full.xvg</x:v>
      </x:c>
      <x:c r="B233" s="31" t="str">
        <x:v>01_computational_discovery/umbrella/analysis_archive_20260725/paired_pmf/LiND-Hybrid/NaCl/iact_full.xvg</x:v>
      </x:c>
      <x:c r="C233" s="32" t="n">
        <x:v>2019</x:v>
      </x:c>
      <x:c r="D233" s="33" t="str">
        <x:v>b77a6cbd6ce16d9ba6f09c1770b0917203222d327ffafe7fc8bd185364060aad</x:v>
      </x:c>
      <x:c r="E233" s="34" t="str">
        <x:v>pmf_evidence</x:v>
      </x:c>
    </x:row>
    <x:row r="234" ht="34" customHeight="1">
      <x:c r="A234" s="30" t="str">
        <x:v>01_computational_discovery/data/raw/pmf/LiND-Hybrid/NaCl/profile_burnin_12p5.xvg</x:v>
      </x:c>
      <x:c r="B234" s="31" t="str">
        <x:v>01_computational_discovery/umbrella/analysis_archive_20260725/paired_pmf/LiND-Hybrid/NaCl/profile_burnin_12p5.xvg</x:v>
      </x:c>
      <x:c r="C234" s="32" t="n">
        <x:v>6052</x:v>
      </x:c>
      <x:c r="D234" s="33" t="str">
        <x:v>4316150b013798dffc25352281101070f226a1fb28e4e002c2a32fc6d9a1325b</x:v>
      </x:c>
      <x:c r="E234" s="34" t="str">
        <x:v>pmf_evidence</x:v>
      </x:c>
    </x:row>
    <x:row r="235" ht="34" customHeight="1">
      <x:c r="A235" s="30" t="str">
        <x:v>01_computational_discovery/data/raw/pmf/LiND-Hybrid/NaCl/profile_burnin_25.xvg</x:v>
      </x:c>
      <x:c r="B235" s="31" t="str">
        <x:v>01_computational_discovery/umbrella/analysis_archive_20260725/paired_pmf/LiND-Hybrid/NaCl/profile_burnin_25.xvg</x:v>
      </x:c>
      <x:c r="C235" s="32" t="n">
        <x:v>6061</x:v>
      </x:c>
      <x:c r="D235" s="33" t="str">
        <x:v>6fa2b1bbc82aa33a5d913c5747a1372429ad509ea72f5a95950a7ed8641b4df5</x:v>
      </x:c>
      <x:c r="E235" s="34" t="str">
        <x:v>pmf_evidence</x:v>
      </x:c>
    </x:row>
    <x:row r="236" ht="34" customHeight="1">
      <x:c r="A236" s="30" t="str">
        <x:v>01_computational_discovery/data/raw/pmf/LiND-Hybrid/NaCl/profile_full.xvg</x:v>
      </x:c>
      <x:c r="B236" s="31" t="str">
        <x:v>01_computational_discovery/umbrella/analysis_archive_20260725/paired_pmf/LiND-Hybrid/NaCl/profile_full.xvg</x:v>
      </x:c>
      <x:c r="C236" s="32" t="n">
        <x:v>6142</x:v>
      </x:c>
      <x:c r="D236" s="33" t="str">
        <x:v>c306987e9b4b7aafbadccdd0574a4d590661d2ad72b7623695170b8326ff84e4</x:v>
      </x:c>
      <x:c r="E236" s="34" t="str">
        <x:v>pmf_evidence</x:v>
      </x:c>
    </x:row>
    <x:row r="237" ht="34" customHeight="1">
      <x:c r="A237" s="30" t="str">
        <x:v>01_computational_discovery/data/raw/pmf/LiND-Hybrid/NaCl/profile_half_early.xvg</x:v>
      </x:c>
      <x:c r="B237" s="31" t="str">
        <x:v>01_computational_discovery/umbrella/analysis_archive_20260725/paired_pmf/LiND-Hybrid/NaCl/profile_half_early.xvg</x:v>
      </x:c>
      <x:c r="C237" s="32" t="n">
        <x:v>6061</x:v>
      </x:c>
      <x:c r="D237" s="33" t="str">
        <x:v>f5b97c2dd505a4026307245779fd56cd46b1d8501a16b122d38f84b4756ad8aa</x:v>
      </x:c>
      <x:c r="E237" s="34" t="str">
        <x:v>pmf_evidence</x:v>
      </x:c>
    </x:row>
    <x:row r="238" ht="34" customHeight="1">
      <x:c r="A238" s="30" t="str">
        <x:v>01_computational_discovery/data/raw/pmf/LiND-Hybrid/NaCl/profile_half_late.xvg</x:v>
      </x:c>
      <x:c r="B238" s="31" t="str">
        <x:v>01_computational_discovery/umbrella/analysis_archive_20260725/paired_pmf/LiND-Hybrid/NaCl/profile_half_late.xvg</x:v>
      </x:c>
      <x:c r="C238" s="32" t="n">
        <x:v>6077</x:v>
      </x:c>
      <x:c r="D238" s="33" t="str">
        <x:v>f2247209daf7cf48eccbb09028a85c2df91f6dfb2851304e013f18d32e8312fc</x:v>
      </x:c>
      <x:c r="E238" s="34" t="str">
        <x:v>pmf_evidence</x:v>
      </x:c>
    </x:row>
    <x:row r="239" ht="34" customHeight="1">
      <x:c r="A239" s="30" t="str">
        <x:v>01_computational_discovery/data/raw/pmf/LiND-Hybrid/NaCl/pullf-files.dat</x:v>
      </x:c>
      <x:c r="B239" s="31" t="str">
        <x:v>01_computational_discovery/umbrella/analysis_archive_20260725/paired_pmf/LiND-Hybrid/NaCl/pullf-files.dat</x:v>
      </x:c>
      <x:c r="C239" s="32" t="n">
        <x:v>3990</x:v>
      </x:c>
      <x:c r="D239" s="33" t="str">
        <x:v>7ce4fb21d103d9e6976dac47d7e2fa1cc587986e03c5ad78645131de698d3c78</x:v>
      </x:c>
      <x:c r="E239" s="34" t="str">
        <x:v>pmf_evidence</x:v>
      </x:c>
    </x:row>
    <x:row r="240" ht="34" customHeight="1">
      <x:c r="A240" s="30" t="str">
        <x:v>01_computational_discovery/data/raw/pmf/LiND-Hybrid/NaCl/tpr-files.dat</x:v>
      </x:c>
      <x:c r="B240" s="31" t="str">
        <x:v>01_computational_discovery/umbrella/analysis_archive_20260725/paired_pmf/LiND-Hybrid/NaCl/tpr-files.dat</x:v>
      </x:c>
      <x:c r="C240" s="32" t="n">
        <x:v>3810</x:v>
      </x:c>
      <x:c r="D240" s="33" t="str">
        <x:v>d5e66396115e6f1b92b9961c66eb343ac03d2d4fa8d77ec3c04c1dc1f88dd321</x:v>
      </x:c>
      <x:c r="E240" s="34" t="str">
        <x:v>pmf_evidence</x:v>
      </x:c>
    </x:row>
    <x:row r="241" ht="34" customHeight="1">
      <x:c r="A241" s="30" t="str">
        <x:v>01_computational_discovery/data/raw/pmf/LiND-Hybrid/NaCl/wham_full.log</x:v>
      </x:c>
      <x:c r="B241" s="31" t="str">
        <x:v>01_computational_discovery/umbrella/analysis_archive_20260725/paired_pmf/LiND-Hybrid/NaCl/wham_full.log</x:v>
      </x:c>
      <x:c r="C241" s="32" t="n">
        <x:v>6723426</x:v>
      </x:c>
      <x:c r="D241" s="33" t="str">
        <x:v>ea486575e90d26958d10e603d1fdbe701f2c47dace8cef6d4e2abb824aaeee2e</x:v>
      </x:c>
      <x:c r="E241" s="34" t="str">
        <x:v>wham_log</x:v>
      </x:c>
    </x:row>
    <x:row r="242" ht="34" customHeight="1">
      <x:c r="A242" s="30" t="str">
        <x:v>01_computational_discovery/data/raw/pmf/LiND-Hybrid/paired_qc.tsv</x:v>
      </x:c>
      <x:c r="B242" s="31" t="str">
        <x:v>01_computational_discovery/umbrella/analysis_archive_20260725/paired_pmf/LiND-Hybrid/LiND-Hybrid_paired_qc.tsv</x:v>
      </x:c>
      <x:c r="C242" s="32" t="n">
        <x:v>898</x:v>
      </x:c>
      <x:c r="D242" s="33" t="str">
        <x:v>8b8c938c8051adb4b9686bcac8e001635723b998b852214a9285fc2fe1ac2dd3</x:v>
      </x:c>
      <x:c r="E242" s="34" t="str">
        <x:v>paired_qc</x:v>
      </x:c>
    </x:row>
    <x:row r="243" ht="34" customHeight="1">
      <x:c r="A243" s="30" t="str">
        <x:v>01_computational_discovery/data/raw/pmf/LiND-Hybrid/paired_regions.tsv</x:v>
      </x:c>
      <x:c r="B243" s="31" t="str">
        <x:v>01_computational_discovery/umbrella/analysis_archive_20260725/paired_pmf/LiND-Hybrid/paired_regions.tsv</x:v>
      </x:c>
      <x:c r="C243" s="32" t="n">
        <x:v>217</x:v>
      </x:c>
      <x:c r="D243" s="33" t="str">
        <x:v>31f2ccec7e1e982592d1acb48d4f468b9488d976f902a832db687a2ab3aac69b</x:v>
      </x:c>
      <x:c r="E243" s="34" t="str">
        <x:v>paired_regions</x:v>
      </x:c>
    </x:row>
    <x:row r="244" ht="34" customHeight="1">
      <x:c r="A244" s="30" t="str">
        <x:v>01_computational_discovery/data/raw/pmf/summary/delta_g_summary.tsv</x:v>
      </x:c>
      <x:c r="B244" s="31" t="str">
        <x:v>01_computational_discovery/umbrella/analysis_archive_20260725/paired_pmf/delta_g_summary.tsv</x:v>
      </x:c>
      <x:c r="C244" s="32" t="n">
        <x:v>1543</x:v>
      </x:c>
      <x:c r="D244" s="33" t="str">
        <x:v>757e58687d088b01c53cbf8f25d0fc55a9c3d48b09dd905094737ae0f4f30fdd</x:v>
      </x:c>
      <x:c r="E244" s="34" t="str">
        <x:v>condition_summary</x:v>
      </x:c>
    </x:row>
    <x:row r="245" ht="34" customHeight="1">
      <x:c r="A245" s="30" t="str">
        <x:v>01_computational_discovery/data/raw/pmf/summary/selectivity_summary.tsv</x:v>
      </x:c>
      <x:c r="B245" s="31" t="str">
        <x:v>01_computational_discovery/umbrella/analysis_archive_20260725/paired_pmf/selectivity_summary.tsv</x:v>
      </x:c>
      <x:c r="C245" s="32" t="n">
        <x:v>2474</x:v>
      </x:c>
      <x:c r="D245" s="33" t="str">
        <x:v>986bf8700bdfe7443362b181357d2cd01fd0febba3338f8e9ddc8ab95a7b4889</x:v>
      </x:c>
      <x:c r="E245" s="34" t="str">
        <x:v>selectivity_summary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c77c0c0be0eb4330"/>
  </x:tableParts>
</x:worksheet>
</file>