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ckylin/Documents/GitHub/LiSPER/02_experimental_validation/plasmids/"/>
    </mc:Choice>
  </mc:AlternateContent>
  <xr:revisionPtr revIDLastSave="0" documentId="13_ncr:1_{BF1EB36C-7945-D644-ABCF-CE8E14C5AFD6}" xr6:coauthVersionLast="47" xr6:coauthVersionMax="47" xr10:uidLastSave="{00000000-0000-0000-0000-000000000000}"/>
  <bookViews>
    <workbookView xWindow="2660" yWindow="2380" windowWidth="44140" windowHeight="23320" activeTab="2" xr2:uid="{00000000-000D-0000-FFFF-FFFF00000000}"/>
  </bookViews>
  <sheets>
    <sheet name="Construct plan" sheetId="1" r:id="rId1"/>
    <sheet name="Synthesis" sheetId="2" r:id="rId2"/>
    <sheet name="Design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C2" i="2"/>
</calcChain>
</file>

<file path=xl/sharedStrings.xml><?xml version="1.0" encoding="utf-8"?>
<sst xmlns="http://schemas.openxmlformats.org/spreadsheetml/2006/main" count="146" uniqueCount="118">
  <si>
    <t>Construct ID</t>
  </si>
  <si>
    <t>Peptide</t>
  </si>
  <si>
    <t>Protein placement</t>
  </si>
  <si>
    <t>Backbone</t>
  </si>
  <si>
    <t>CDS (bp)</t>
  </si>
  <si>
    <t>Plasmid (bp)</t>
  </si>
  <si>
    <t>Precursor (kDa)</t>
  </si>
  <si>
    <t>Mature (kDa)</t>
  </si>
  <si>
    <t>Arrangement (N to C)</t>
  </si>
  <si>
    <t>pET28a_LiDA1_N</t>
  </si>
  <si>
    <t>LiDA-1</t>
  </si>
  <si>
    <t>N</t>
  </si>
  <si>
    <t>GenScript pET-28a(+) 5369 bp</t>
  </si>
  <si>
    <t>SP–GQSGQ–P–GGQSGQ–eCPX–GGQSGQ–His6–GSG–STOP</t>
  </si>
  <si>
    <t>pET28a_LiDA1_C</t>
  </si>
  <si>
    <t>C</t>
  </si>
  <si>
    <t>SP–GQSGQ–GGQSGQ–eCPX–GGQSGQ–His6–GSG–P–STOP</t>
  </si>
  <si>
    <t>pET28a_LiND_N</t>
  </si>
  <si>
    <t>LiND-Hybrid</t>
  </si>
  <si>
    <t>pET28a_LiND_C</t>
  </si>
  <si>
    <t>pET28a_eCPX_only</t>
  </si>
  <si>
    <t>None</t>
  </si>
  <si>
    <t>Control</t>
  </si>
  <si>
    <t>SP–GQSGQ–GGQSGQ–eCPX–GGQSGQ–His6–GSG–STOP</t>
  </si>
  <si>
    <t>pET28a_empty</t>
  </si>
  <si>
    <t>Empty vector</t>
  </si>
  <si>
    <t>n/a</t>
  </si>
  <si>
    <t>Unmodified vector</t>
  </si>
  <si>
    <t>Synthesis DNA (5′ to 3′, includes overlaps)</t>
  </si>
  <si>
    <t>Fragment (bp)</t>
  </si>
  <si>
    <t>Insertion site / assembly</t>
  </si>
  <si>
    <t>DNA direction</t>
  </si>
  <si>
    <t>Precursor protein (signal included)</t>
  </si>
  <si>
    <t>CDS DNA (no overlaps)</t>
  </si>
  <si>
    <t>Full plasmid SHA-256</t>
  </si>
  <si>
    <t>TTTTGTTTAACTTTAAGAAGGAGATATACCATGAAAAAAATTGCATGTCTTTCAGCACTGGCCGCAGTTCTGGCTTTCACCGCAGGTACTTCCGTAGCTGGCCAGTCTGGCCAGGATGCTGATGGTCCGGGTGATCCGGATGCTGGT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TAACTCGAGCACCACCACCACCACCACTGAGAT</t>
  </si>
  <si>
    <t>Seamless replacement of reference nt 108..243 (native ATG to before XhoI)</t>
  </si>
  <si>
    <t>+ relative to GenScript reference; same transcription direction as T7</t>
  </si>
  <si>
    <t>MKKIACLSALAAVLAFTAGTSVAGQSGQDADGPGDPDAGGGQSGQSGDYNKNQYYGITAGPAYRINDWASIYGVVGVGYGKFQTTEYPTYKHDTSDYGFSYGAGLQFNPMENVALDFSYEQSRIRSVDVGTWILSVGYRFGSKSRRATSTVTGGYAQSDAQGQMNKMGGFNLKYRYEEDNSPLGVIGSFTYTEKSRTASGGQSGQHHHHHHGSG</t>
  </si>
  <si>
    <t>ATGAAAAAAATTGCATGTCTTTCAGCACTGGCCGCAGTTCTGGCTTTCACCGCAGGTACTTCCGTAGCTGGCCAGTCTGGCCAGGATGCTGATGGTCCGGGTGATCCGGATGCTGGT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TAA</t>
  </si>
  <si>
    <t>07b5117dd8f778743a47ee872ff5f45e0292a09156a0021e9aeaf2b8a91a767b</t>
  </si>
  <si>
    <t>TTTTGTTTAACTTTAAGAAGGAGATATACC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GATGCTGATGGTCCGGGTGATCCGGATGCTGGTTAACTCGAGCACCACCACCACCACCACTGAGAT</t>
  </si>
  <si>
    <t>MKKIACLSALAAVLAFTAGTSVAGQSGQGGQSGQSGDYNKNQYYGITAGPAYRINDWASIYGVVGVGYGKFQTTEYPTYKHDTSDYGFSYGAGLQFNPMENVALDFSYEQSRIRSVDVGTWILSVGYRFGSKSRRATSTVTGGYAQSDAQGQMNKMGGFNLKYRYEEDNSPLGVIGSFTYTEKSRTASGGQSGQHHHHHHGSGDADGPGDPDAG</t>
  </si>
  <si>
    <t>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GATGCTGATGGTCCGGGTGATCCGGATGCTGGTTAA</t>
  </si>
  <si>
    <t>8923a82a0fe1efb75538a8f7531f48f555f7257a15d95498f65f636afd395dcf</t>
  </si>
  <si>
    <t>TTTTGTTTAACTTTAAGAAGGAGATATACCATGAAAAAAATTGCATGTCTTTCAGCACTGGCCGCAGTTCTGGCTTTCACCGCAGGTACTTCCGTAGCTGGCCAGTCTGGCCAGGGTCCGGGTAACCCGGGTTCTGGTCCGGGTGATCCGGGTTCTGGTCCGGGTAACCC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TAACTCGAGCACCACCACCACCACCACTGAGAT</t>
  </si>
  <si>
    <t>MKKIACLSALAAVLAFTAGTSVAGQSGQGPGNPGSGPGDPGSGPGNPGGQSGQSGDYNKNQYYGITAGPAYRINDWASIYGVVGVGYGKFQTTEYPTYKHDTSDYGFSYGAGLQFNPMENVALDFSYEQSRIRSVDVGTWILSVGYRFGSKSRRATSTVTGGYAQSDAQGQMNKMGGFNLKYRYEEDNSPLGVIGSFTYTEKSRTASGGQSGQHHHHHHGSG</t>
  </si>
  <si>
    <t>ATGAAAAAAATTGCATGTCTTTCAGCACTGGCCGCAGTTCTGGCTTTCACCGCAGGTACTTCCGTAGCTGGCCAGTCTGGCCAGGGTCCGGGTAACCCGGGTTCTGGTCCGGGTGATCCGGGTTCTGGTCCGGGTAACCC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TAA</t>
  </si>
  <si>
    <t>88418f16db2bd06fe6150ee94e0c94e25bc91e74a31d48d658ee445777dbac2e</t>
  </si>
  <si>
    <t>TTTTGTTTAACTTTAAGAAGGAGATATACC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GGTCCGGGTAACCCGGGTTCTGGTCCGGGTGATCCGGGTTCTGGTCCGGGTAACCCGTAACTCGAGCACCACCACCACCACCACTGAGAT</t>
  </si>
  <si>
    <t>MKKIACLSALAAVLAFTAGTSVAGQSGQGGQSGQSGDYNKNQYYGITAGPAYRINDWASIYGVVGVGYGKFQTTEYPTYKHDTSDYGFSYGAGLQFNPMENVALDFSYEQSRIRSVDVGTWILSVGYRFGSKSRRATSTVTGGYAQSDAQGQMNKMGGFNLKYRYEEDNSPLGVIGSFTYTEKSRTASGGQSGQHHHHHHGSGGPGNPGSGPGDPGSGPGNP</t>
  </si>
  <si>
    <t>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GGTCCGGGTAACCCGGGTTCTGGTCCGGGTGATCCGGGTTCTGGTCCGGGTAACCCGTAA</t>
  </si>
  <si>
    <t>b7c42254a85e3515b827193023ed88a47779a876daad18c1f49f3dca4698ea2a</t>
  </si>
  <si>
    <t>TTTTGTTTAACTTTAAGAAGGAGATATACC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TAACTCGAGCACCACCACCACCACCACTGAGAT</t>
  </si>
  <si>
    <t>MKKIACLSALAAVLAFTAGTSVAGQSGQGGQSGQSGDYNKNQYYGITAGPAYRINDWASIYGVVGVGYGKFQTTEYPTYKHDTSDYGFSYGAGLQFNPMENVALDFSYEQSRIRSVDVGTWILSVGYRFGSKSRRATSTVTGGYAQSDAQGQMNKMGGFNLKYRYEEDNSPLGVIGSFTYTEKSRTASGGQSGQHHHHHHGSG</t>
  </si>
  <si>
    <t>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CAGTCTGGTCAGCATCACCATCACCATCACGGTTCTGGTTAA</t>
  </si>
  <si>
    <t>492a87a58eb1f2af1ca7feb4cae5f466ecbc9f1fb8795b79fb4130df7ce214fb</t>
  </si>
  <si>
    <t>No synthesis or insertion; supply unmodified backbone</t>
  </si>
  <si>
    <t>Not applicable</t>
  </si>
  <si>
    <t>6bc21811387dfe338269746b9b6eb21c756bc46282a98dc28910c775f8939bbc</t>
  </si>
  <si>
    <t>Item</t>
  </si>
  <si>
    <t>Specification / evidence</t>
  </si>
  <si>
    <t>Status</t>
  </si>
  <si>
    <t>Sequence-defined experimental designs. GenScript production-backbone match and biological surface-display validation remain to be confirmed.</t>
  </si>
  <si>
    <t>Scope</t>
  </si>
  <si>
    <t>Six plasmids: two placements for each peptide, one shared His-eCPX-only control, and unmodified pET-28a(+).</t>
  </si>
  <si>
    <t>Coordinate reference</t>
  </si>
  <si>
    <t>GenScript 5369-bp sequence beginning AGATCTCGATCCCGCG. Native start ATG = nt 108–110. Replace nt 108–243 inclusive.</t>
  </si>
  <si>
    <t>Assembly boundaries</t>
  </si>
  <si>
    <t>Retain reference nt 1–107 and 244–5369. Insert complete CDS including TAA between them. Use seamless assembly, not routine NdeI/XhoI ligation.</t>
  </si>
  <si>
    <t>Left 30-bp overlap</t>
  </si>
  <si>
    <t>TTTTGTTTAACTTTAAGAAGGAGATATACC</t>
  </si>
  <si>
    <t>Right 30-bp overlap</t>
  </si>
  <si>
    <t>CTCGAGCACCACCACCACCACCACTGAGAT</t>
  </si>
  <si>
    <t>Fragment definition</t>
  </si>
  <si>
    <t>Synthesis DNA = left overlap + complete CDS with stop + right overlap. Overlaps appear once in the final plasmid and are not translated additions. Empty vector requires no insert.</t>
  </si>
  <si>
    <t>Restriction-site consequence</t>
  </si>
  <si>
    <t>NcoI (106–111) is destroyed to preserve native Met-Lys signal start. NdeI (165–170) and original N-tag region are removed. XhoI (244–249) is retained after the stop.</t>
  </si>
  <si>
    <t>Signal and scaffold</t>
  </si>
  <si>
    <t>SP = MKKIACLSALAAVLAFTAGTSVA (23 aa). eCPX core = 154 aa. Native OmpX precursor A165L/G166S, circular permutation and internal GSKSRR linker were verified.</t>
  </si>
  <si>
    <t>Meaning of N and C</t>
  </si>
  <si>
    <t>Both DNA inserts follow T7 transcription. P denotes the unchanged candidate peptide. N-series retains GQSGQ before P, so P lacks an exact free native N terminus. C-series ends at P.</t>
  </si>
  <si>
    <t>His6 design</t>
  </si>
  <si>
    <t>One encoded His6 on the shared C-side scaffold extension. It precedes P in C-series. Choose an antibody recognizing an internal His tag. Residual vector His DNA after TAA is untranslated.</t>
  </si>
  <si>
    <t>Host</t>
  </si>
  <si>
    <t>Use BL21(DE3) or another verified T7-polymerase host. Ordinary BL21 does not support the pET T7 promoter. The vendor shipping strain may be a cloning host.</t>
  </si>
  <si>
    <t>Western and SDS–PAGE</t>
  </si>
  <si>
    <t>Assess whole fusion, not free peptide. Mature masses assume 23-aa signal removal. N/C pairs have equal mass. Anti-His-positive scaffold control is not a tag-negative control.</t>
  </si>
  <si>
    <t>Protease assessment</t>
  </si>
  <si>
    <t>Compare intact ± protease and disrupted ± protease. Validate protection of periplasmic and cytoplasmic markers and their digestion after disruption. Quench before lysis.</t>
  </si>
  <si>
    <t>Protease choice</t>
  </si>
  <si>
    <t>Proteinase K is a candidate for a validated intact-cell assay. Neither peptide contains Lys/Arg, so trypsin is unsuitable as a direct peptide-cleavage expectation.</t>
  </si>
  <si>
    <t>Evidence limit</t>
  </si>
  <si>
    <t>Anti-His loss tests the tagged region. Candidate-specific intact-cell detection or released-fragment identification is needed for direct peptide-exposure evidence.</t>
  </si>
  <si>
    <t>Ion-binding interpretation</t>
  </si>
  <si>
    <t>His6/linkers and free termini can influence results. Compare with matched His-eCPX and empty-vector cells. Shared control does not remove nonadditive tag–peptide effects.</t>
  </si>
  <si>
    <t>Vendor sequence changes</t>
  </si>
  <si>
    <t>Scaffold codons retained. New segments explicitly encoded; no optimization score claimed. Any recoding must preserve protein identity and junctions and return updated full sequences.</t>
  </si>
  <si>
    <t>GenScript backbone source</t>
  </si>
  <si>
    <t>https://www.genscript.com/tools/vector-design/queryLibraryList</t>
  </si>
  <si>
    <t>GenScript backbone map</t>
  </si>
  <si>
    <t>https://www.genscript.com/gsfiles/vector-map/bacteria/pET-28a.pdf</t>
  </si>
  <si>
    <t>Scaffold reference</t>
  </si>
  <si>
    <t>Rice &amp; Daugherty (2008). https://doi.org/10.1093/protein/gzn020</t>
  </si>
  <si>
    <t>Signal/linker architecture</t>
  </si>
  <si>
    <t>Li et al. (2023). https://elifesciences.org/articles/82345v2</t>
  </si>
  <si>
    <t>Independent OmpX check</t>
  </si>
  <si>
    <t>https://www.uniprot.org/uniprotkb/P0A917/entry</t>
  </si>
  <si>
    <t>Candidate source</t>
  </si>
  <si>
    <t>Frozen active LiSPER candidates.fasta. LiDA-1: DADGPGDPDAG. LiND-Hybrid: GPGNPGSGPGDPGSGPGNP.</t>
  </si>
  <si>
    <t>Scaffold DNA source</t>
  </si>
  <si>
    <t>sources/eCPX_scaffold_precursor.fasta: isolated 567-nt precursor CDS including stop, retained from the previous digital scaffold reference. Protein independently checked against native OmpX.</t>
  </si>
  <si>
    <t>Host reference</t>
  </si>
  <si>
    <t>https://www.neb.com/en-us/faqs/what-is-the-difference-between-bl21-and-bl21-de3-competent-e-coli-cells</t>
  </si>
  <si>
    <t>Protease specificities</t>
  </si>
  <si>
    <t>https://www.neb.com/en/products/protein-tools/proteases</t>
  </si>
  <si>
    <t>Protease control reference</t>
  </si>
  <si>
    <t>https://pmc.ncbi.nlm.nih.gov/articles/PMC4838181/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</si>
</sst>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sz val="11"/>
      <color rgb="FF233746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3485F"/>
      </patternFill>
    </fill>
    <fill>
      <patternFill patternType="solid">
        <fgColor rgb="FFF0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3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3" fontId="1" fillId="3" borderId="0" xfId="0" applyNumberFormat="1" applyFont="1" applyFill="1" applyAlignment="1">
      <alignment horizontal="right" vertical="top" wrapText="1"/>
    </xf>
    <xf numFmtId="164" fontId="1" fillId="3" borderId="0" xfId="0" applyNumberFormat="1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485F"/>
  </sheetPr>
  <dimension ref="A1:I7"/>
  <sheetViews>
    <sheetView showGridLines="0" zoomScale="150" workbookViewId="0">
      <pane xSplit="1" ySplit="1" topLeftCell="B2" activePane="bottomRight" state="frozen"/>
      <selection pane="topRight"/>
      <selection pane="bottomLeft"/>
      <selection pane="bottomRight" activeCell="C11" sqref="C11"/>
    </sheetView>
  </sheetViews>
  <sheetFormatPr baseColWidth="10" defaultColWidth="8.83203125" defaultRowHeight="14"/>
  <cols>
    <col min="1" max="1" width="25" customWidth="1"/>
    <col min="2" max="2" width="19" customWidth="1"/>
    <col min="3" max="3" width="18" customWidth="1"/>
    <col min="4" max="4" width="30" customWidth="1"/>
    <col min="5" max="5" width="12" customWidth="1"/>
    <col min="6" max="6" width="14" customWidth="1"/>
    <col min="7" max="8" width="17" customWidth="1"/>
    <col min="9" max="9" width="55" customWidth="1"/>
  </cols>
  <sheetData>
    <row r="1" spans="1:9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8" customHeight="1">
      <c r="A2" s="1" t="s">
        <v>9</v>
      </c>
      <c r="B2" s="1" t="s">
        <v>10</v>
      </c>
      <c r="C2" s="1" t="s">
        <v>11</v>
      </c>
      <c r="D2" s="1" t="s">
        <v>12</v>
      </c>
      <c r="E2" s="4">
        <v>645</v>
      </c>
      <c r="F2" s="4">
        <v>5878</v>
      </c>
      <c r="G2" s="5">
        <v>22.824999999999999</v>
      </c>
      <c r="H2" s="5">
        <v>20.605</v>
      </c>
      <c r="I2" s="1" t="s">
        <v>13</v>
      </c>
    </row>
    <row r="3" spans="1:9" ht="38" customHeight="1">
      <c r="A3" s="3" t="s">
        <v>14</v>
      </c>
      <c r="B3" s="3" t="s">
        <v>10</v>
      </c>
      <c r="C3" s="3" t="s">
        <v>15</v>
      </c>
      <c r="D3" s="3" t="s">
        <v>12</v>
      </c>
      <c r="E3" s="6">
        <v>645</v>
      </c>
      <c r="F3" s="6">
        <v>5878</v>
      </c>
      <c r="G3" s="7">
        <v>22.824999999999999</v>
      </c>
      <c r="H3" s="7">
        <v>20.605</v>
      </c>
      <c r="I3" s="3" t="s">
        <v>16</v>
      </c>
    </row>
    <row r="4" spans="1:9" ht="38" customHeight="1">
      <c r="A4" s="1" t="s">
        <v>17</v>
      </c>
      <c r="B4" s="1" t="s">
        <v>18</v>
      </c>
      <c r="C4" s="1" t="s">
        <v>11</v>
      </c>
      <c r="D4" s="1" t="s">
        <v>12</v>
      </c>
      <c r="E4" s="4">
        <v>669</v>
      </c>
      <c r="F4" s="4">
        <v>5902</v>
      </c>
      <c r="G4" s="5">
        <v>23.413</v>
      </c>
      <c r="H4" s="5">
        <v>21.193999999999999</v>
      </c>
      <c r="I4" s="1" t="s">
        <v>13</v>
      </c>
    </row>
    <row r="5" spans="1:9" ht="38" customHeight="1">
      <c r="A5" s="3" t="s">
        <v>19</v>
      </c>
      <c r="B5" s="3" t="s">
        <v>18</v>
      </c>
      <c r="C5" s="3" t="s">
        <v>15</v>
      </c>
      <c r="D5" s="3" t="s">
        <v>12</v>
      </c>
      <c r="E5" s="6">
        <v>669</v>
      </c>
      <c r="F5" s="6">
        <v>5902</v>
      </c>
      <c r="G5" s="7">
        <v>23.413</v>
      </c>
      <c r="H5" s="7">
        <v>21.193999999999999</v>
      </c>
      <c r="I5" s="3" t="s">
        <v>16</v>
      </c>
    </row>
    <row r="6" spans="1:9" ht="38" customHeight="1">
      <c r="A6" s="1" t="s">
        <v>20</v>
      </c>
      <c r="B6" s="1" t="s">
        <v>21</v>
      </c>
      <c r="C6" s="1" t="s">
        <v>22</v>
      </c>
      <c r="D6" s="1" t="s">
        <v>12</v>
      </c>
      <c r="E6" s="4">
        <v>612</v>
      </c>
      <c r="F6" s="4">
        <v>5845</v>
      </c>
      <c r="G6" s="5">
        <v>21.856999999999999</v>
      </c>
      <c r="H6" s="5">
        <v>19.637</v>
      </c>
      <c r="I6" s="1" t="s">
        <v>23</v>
      </c>
    </row>
    <row r="7" spans="1:9" ht="38" customHeight="1">
      <c r="A7" s="3" t="s">
        <v>24</v>
      </c>
      <c r="B7" s="3" t="s">
        <v>21</v>
      </c>
      <c r="C7" s="3" t="s">
        <v>25</v>
      </c>
      <c r="D7" s="3" t="s">
        <v>12</v>
      </c>
      <c r="E7" s="6">
        <v>0</v>
      </c>
      <c r="F7" s="6">
        <v>5369</v>
      </c>
      <c r="G7" s="7" t="s">
        <v>26</v>
      </c>
      <c r="H7" s="7" t="s">
        <v>26</v>
      </c>
      <c r="I7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showGridLines="0" zoomScale="150" workbookViewId="0">
      <pane xSplit="1" ySplit="1" topLeftCell="B2" activePane="bottomRight" state="frozen"/>
      <selection pane="topRight"/>
      <selection pane="bottomLeft"/>
      <selection pane="bottomRight" sqref="A1:XFD3"/>
    </sheetView>
  </sheetViews>
  <sheetFormatPr baseColWidth="10" defaultColWidth="8.83203125" defaultRowHeight="14"/>
  <cols>
    <col min="1" max="1" width="25" customWidth="1"/>
    <col min="2" max="2" width="105" customWidth="1"/>
    <col min="3" max="3" width="14" customWidth="1"/>
    <col min="4" max="4" width="43" customWidth="1"/>
    <col min="5" max="5" width="33" customWidth="1"/>
    <col min="6" max="6" width="72" customWidth="1"/>
    <col min="7" max="7" width="105" customWidth="1"/>
    <col min="8" max="8" width="45" customWidth="1"/>
  </cols>
  <sheetData>
    <row r="1" spans="1:8" ht="34" customHeight="1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</row>
    <row r="2" spans="1:8" ht="135" customHeight="1">
      <c r="A2" s="1" t="s">
        <v>9</v>
      </c>
      <c r="B2" s="1" t="s">
        <v>35</v>
      </c>
      <c r="C2" s="4">
        <f t="shared" ref="C2:C7" si="0">LEN(B2)</f>
        <v>705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</row>
    <row r="3" spans="1:8" ht="135" customHeight="1">
      <c r="A3" s="3" t="s">
        <v>14</v>
      </c>
      <c r="B3" s="3" t="s">
        <v>41</v>
      </c>
      <c r="C3" s="6">
        <f t="shared" si="0"/>
        <v>705</v>
      </c>
      <c r="D3" s="3" t="s">
        <v>36</v>
      </c>
      <c r="E3" s="3" t="s">
        <v>37</v>
      </c>
      <c r="F3" s="3" t="s">
        <v>42</v>
      </c>
      <c r="G3" s="3" t="s">
        <v>43</v>
      </c>
      <c r="H3" s="3" t="s">
        <v>44</v>
      </c>
    </row>
    <row r="4" spans="1:8" ht="135" customHeight="1">
      <c r="A4" s="1" t="s">
        <v>17</v>
      </c>
      <c r="B4" s="1" t="s">
        <v>45</v>
      </c>
      <c r="C4" s="4">
        <f t="shared" si="0"/>
        <v>729</v>
      </c>
      <c r="D4" s="1" t="s">
        <v>36</v>
      </c>
      <c r="E4" s="1" t="s">
        <v>37</v>
      </c>
      <c r="F4" s="1" t="s">
        <v>46</v>
      </c>
      <c r="G4" s="1" t="s">
        <v>47</v>
      </c>
      <c r="H4" s="1" t="s">
        <v>48</v>
      </c>
    </row>
    <row r="5" spans="1:8" ht="135" customHeight="1">
      <c r="A5" s="3" t="s">
        <v>19</v>
      </c>
      <c r="B5" s="3" t="s">
        <v>49</v>
      </c>
      <c r="C5" s="6">
        <f t="shared" si="0"/>
        <v>729</v>
      </c>
      <c r="D5" s="3" t="s">
        <v>36</v>
      </c>
      <c r="E5" s="3" t="s">
        <v>37</v>
      </c>
      <c r="F5" s="3" t="s">
        <v>50</v>
      </c>
      <c r="G5" s="3" t="s">
        <v>51</v>
      </c>
      <c r="H5" s="3" t="s">
        <v>52</v>
      </c>
    </row>
    <row r="6" spans="1:8" ht="135" customHeight="1">
      <c r="A6" s="1" t="s">
        <v>20</v>
      </c>
      <c r="B6" s="1" t="s">
        <v>53</v>
      </c>
      <c r="C6" s="4">
        <f t="shared" si="0"/>
        <v>672</v>
      </c>
      <c r="D6" s="1" t="s">
        <v>36</v>
      </c>
      <c r="E6" s="1" t="s">
        <v>37</v>
      </c>
      <c r="F6" s="1" t="s">
        <v>54</v>
      </c>
      <c r="G6" s="1" t="s">
        <v>55</v>
      </c>
      <c r="H6" s="1" t="s">
        <v>56</v>
      </c>
    </row>
    <row r="7" spans="1:8" ht="135" customHeight="1">
      <c r="A7" s="3" t="s">
        <v>24</v>
      </c>
      <c r="B7" s="3"/>
      <c r="C7" s="6">
        <f t="shared" si="0"/>
        <v>0</v>
      </c>
      <c r="D7" s="3" t="s">
        <v>57</v>
      </c>
      <c r="E7" s="3" t="s">
        <v>58</v>
      </c>
      <c r="F7" s="3"/>
      <c r="G7" s="3"/>
      <c r="H7" s="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showGridLines="0" tabSelected="1" zoomScale="141" workbookViewId="0">
      <pane xSplit="1" ySplit="1" topLeftCell="B2" activePane="bottomRight" state="frozen"/>
      <selection pane="topRight"/>
      <selection pane="bottomLeft"/>
      <selection pane="bottomRight" sqref="A1:XFD3"/>
    </sheetView>
  </sheetViews>
  <sheetFormatPr baseColWidth="10" defaultColWidth="8.83203125" defaultRowHeight="14"/>
  <cols>
    <col min="1" max="1" width="30" customWidth="1"/>
    <col min="2" max="2" width="135" customWidth="1"/>
  </cols>
  <sheetData>
    <row r="1" spans="1:2" ht="34" customHeight="1">
      <c r="A1" s="2" t="s">
        <v>60</v>
      </c>
      <c r="B1" s="2" t="s">
        <v>61</v>
      </c>
    </row>
    <row r="2" spans="1:2" ht="44" customHeight="1">
      <c r="A2" s="1" t="s">
        <v>62</v>
      </c>
      <c r="B2" s="1" t="s">
        <v>63</v>
      </c>
    </row>
    <row r="3" spans="1:2" ht="44" customHeight="1">
      <c r="A3" s="3" t="s">
        <v>64</v>
      </c>
      <c r="B3" s="3" t="s">
        <v>65</v>
      </c>
    </row>
    <row r="4" spans="1:2" ht="44" customHeight="1">
      <c r="A4" s="1" t="s">
        <v>66</v>
      </c>
      <c r="B4" s="1" t="s">
        <v>67</v>
      </c>
    </row>
    <row r="5" spans="1:2" ht="44" customHeight="1">
      <c r="A5" s="3" t="s">
        <v>68</v>
      </c>
      <c r="B5" s="3" t="s">
        <v>69</v>
      </c>
    </row>
    <row r="6" spans="1:2" ht="44" customHeight="1">
      <c r="A6" s="1" t="s">
        <v>70</v>
      </c>
      <c r="B6" s="1" t="s">
        <v>71</v>
      </c>
    </row>
    <row r="7" spans="1:2" ht="44" customHeight="1">
      <c r="A7" s="3" t="s">
        <v>72</v>
      </c>
      <c r="B7" s="3" t="s">
        <v>73</v>
      </c>
    </row>
    <row r="8" spans="1:2" ht="44" customHeight="1">
      <c r="A8" s="1" t="s">
        <v>74</v>
      </c>
      <c r="B8" s="1" t="s">
        <v>75</v>
      </c>
    </row>
    <row r="9" spans="1:2" ht="44" customHeight="1">
      <c r="A9" s="3" t="s">
        <v>76</v>
      </c>
      <c r="B9" s="3" t="s">
        <v>77</v>
      </c>
    </row>
    <row r="10" spans="1:2" ht="44" customHeight="1">
      <c r="A10" s="1" t="s">
        <v>78</v>
      </c>
      <c r="B10" s="1" t="s">
        <v>79</v>
      </c>
    </row>
    <row r="11" spans="1:2" ht="44" customHeight="1">
      <c r="A11" s="3" t="s">
        <v>80</v>
      </c>
      <c r="B11" s="3" t="s">
        <v>81</v>
      </c>
    </row>
    <row r="12" spans="1:2" ht="44" customHeight="1">
      <c r="A12" s="1" t="s">
        <v>82</v>
      </c>
      <c r="B12" s="1" t="s">
        <v>83</v>
      </c>
    </row>
    <row r="13" spans="1:2" ht="44" customHeight="1">
      <c r="A13" s="3" t="s">
        <v>84</v>
      </c>
      <c r="B13" s="3" t="s">
        <v>85</v>
      </c>
    </row>
    <row r="14" spans="1:2" ht="44" customHeight="1">
      <c r="A14" s="1" t="s">
        <v>86</v>
      </c>
      <c r="B14" s="1" t="s">
        <v>87</v>
      </c>
    </row>
    <row r="15" spans="1:2" ht="44" customHeight="1">
      <c r="A15" s="3" t="s">
        <v>88</v>
      </c>
      <c r="B15" s="3" t="s">
        <v>89</v>
      </c>
    </row>
    <row r="16" spans="1:2" ht="44" customHeight="1">
      <c r="A16" s="1" t="s">
        <v>90</v>
      </c>
      <c r="B16" s="1" t="s">
        <v>91</v>
      </c>
    </row>
    <row r="17" spans="1:2" ht="44" customHeight="1">
      <c r="A17" s="3" t="s">
        <v>92</v>
      </c>
      <c r="B17" s="3" t="s">
        <v>93</v>
      </c>
    </row>
    <row r="18" spans="1:2" ht="44" customHeight="1">
      <c r="A18" s="1" t="s">
        <v>94</v>
      </c>
      <c r="B18" s="1" t="s">
        <v>95</v>
      </c>
    </row>
    <row r="19" spans="1:2" ht="44" customHeight="1">
      <c r="A19" s="3" t="s">
        <v>96</v>
      </c>
      <c r="B19" s="3" t="s">
        <v>97</v>
      </c>
    </row>
    <row r="20" spans="1:2" ht="44" customHeight="1">
      <c r="A20" s="1" t="s">
        <v>98</v>
      </c>
      <c r="B20" s="1" t="s">
        <v>99</v>
      </c>
    </row>
    <row r="21" spans="1:2" ht="44" customHeight="1">
      <c r="A21" s="3" t="s">
        <v>100</v>
      </c>
      <c r="B21" s="3" t="s">
        <v>101</v>
      </c>
    </row>
    <row r="22" spans="1:2" ht="44" customHeight="1">
      <c r="A22" s="1" t="s">
        <v>102</v>
      </c>
      <c r="B22" s="1" t="s">
        <v>103</v>
      </c>
    </row>
    <row r="23" spans="1:2" ht="44" customHeight="1">
      <c r="A23" s="3" t="s">
        <v>104</v>
      </c>
      <c r="B23" s="3" t="s">
        <v>105</v>
      </c>
    </row>
    <row r="24" spans="1:2" ht="44" customHeight="1">
      <c r="A24" s="1" t="s">
        <v>106</v>
      </c>
      <c r="B24" s="1" t="s">
        <v>107</v>
      </c>
    </row>
    <row r="25" spans="1:2" ht="44" customHeight="1">
      <c r="A25" s="3" t="s">
        <v>108</v>
      </c>
      <c r="B25" s="3" t="s">
        <v>109</v>
      </c>
    </row>
    <row r="26" spans="1:2" ht="44" customHeight="1">
      <c r="A26" s="1" t="s">
        <v>110</v>
      </c>
      <c r="B26" s="1" t="s">
        <v>111</v>
      </c>
    </row>
    <row r="27" spans="1:2" ht="44" customHeight="1">
      <c r="A27" s="3" t="s">
        <v>112</v>
      </c>
      <c r="B27" s="3" t="s">
        <v>113</v>
      </c>
    </row>
    <row r="28" spans="1:2" ht="44" customHeight="1">
      <c r="A28" s="1" t="s">
        <v>114</v>
      </c>
      <c r="B28" s="1" t="s">
        <v>115</v>
      </c>
    </row>
    <row r="29" spans="1:2" ht="44" customHeight="1">
      <c r="A29" s="3" t="s">
        <v>116</v>
      </c>
      <c r="B29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Construct plan</vt:lpstr>
      <vt:lpstr>Synthesis</vt:lpstr>
      <vt:lpstr>Design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Yukun Lin</cp:lastModifiedBy>
  <dcterms:modified xsi:type="dcterms:W3CDTF">2026-09-08T02:15:58Z</dcterms:modified>
</cp:coreProperties>
</file>